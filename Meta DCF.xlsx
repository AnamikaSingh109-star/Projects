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693E38F-EC03-4D47-9D44-1882DBF49CAE}" xr6:coauthVersionLast="47" xr6:coauthVersionMax="47" xr10:uidLastSave="{00000000-0000-0000-0000-000000000000}"/>
  <bookViews>
    <workbookView xWindow="-108" yWindow="-108" windowWidth="23256" windowHeight="12456" activeTab="3" xr2:uid="{CDC7122D-136B-477A-B6DC-173B4DAB2F63}"/>
  </bookViews>
  <sheets>
    <sheet name="Meta 10k Report " sheetId="1" r:id="rId1"/>
    <sheet name="Revenue Sources" sheetId="2" r:id="rId2"/>
    <sheet name="Other Items" sheetId="3" r:id="rId3"/>
    <sheet name="Schedules" sheetId="4" r:id="rId4"/>
    <sheet name="P&amp;L" sheetId="5" r:id="rId5"/>
    <sheet name="Balanace Sheet" sheetId="6" r:id="rId6"/>
    <sheet name="Cash Flow" sheetId="7" r:id="rId7"/>
    <sheet name="WACC" sheetId="8" r:id="rId8"/>
    <sheet name="DCF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3" l="1"/>
  <c r="C27" i="3"/>
  <c r="C16" i="8" l="1"/>
  <c r="C21" i="9"/>
  <c r="C20" i="9"/>
  <c r="D5" i="9"/>
  <c r="E5" i="9"/>
  <c r="F5" i="9"/>
  <c r="G5" i="9"/>
  <c r="C5" i="9"/>
  <c r="C4" i="9"/>
  <c r="D4" i="9"/>
  <c r="E4" i="9"/>
  <c r="F4" i="9"/>
  <c r="G4" i="9"/>
  <c r="B4" i="9"/>
  <c r="B3" i="9"/>
  <c r="C11" i="8"/>
  <c r="C13" i="8" s="1"/>
  <c r="C12" i="8"/>
  <c r="C14" i="8" s="1"/>
  <c r="C9" i="8"/>
  <c r="D30" i="7"/>
  <c r="E30" i="7"/>
  <c r="F30" i="7"/>
  <c r="G30" i="7"/>
  <c r="G26" i="6"/>
  <c r="H26" i="6"/>
  <c r="I26" i="6"/>
  <c r="J26" i="6"/>
  <c r="F26" i="6"/>
  <c r="C30" i="7"/>
  <c r="C20" i="7"/>
  <c r="D18" i="7"/>
  <c r="E18" i="7"/>
  <c r="F18" i="7"/>
  <c r="G18" i="7"/>
  <c r="G10" i="6"/>
  <c r="H10" i="6"/>
  <c r="I10" i="6"/>
  <c r="J10" i="6"/>
  <c r="F10" i="6"/>
  <c r="D17" i="3"/>
  <c r="E17" i="3"/>
  <c r="C17" i="3"/>
  <c r="D17" i="7"/>
  <c r="E17" i="7"/>
  <c r="F17" i="7"/>
  <c r="G17" i="7"/>
  <c r="G23" i="6"/>
  <c r="H23" i="6"/>
  <c r="I23" i="6"/>
  <c r="I24" i="6" s="1"/>
  <c r="I29" i="6" s="1"/>
  <c r="J23" i="6"/>
  <c r="F23" i="6"/>
  <c r="C17" i="7"/>
  <c r="D15" i="7"/>
  <c r="D20" i="7" s="1"/>
  <c r="E15" i="7"/>
  <c r="F15" i="7"/>
  <c r="G15" i="7"/>
  <c r="G21" i="6"/>
  <c r="G24" i="6" s="1"/>
  <c r="G29" i="6" s="1"/>
  <c r="H21" i="6"/>
  <c r="H24" i="6" s="1"/>
  <c r="H29" i="6" s="1"/>
  <c r="I21" i="6"/>
  <c r="J21" i="6"/>
  <c r="F21" i="6"/>
  <c r="C15" i="7"/>
  <c r="G13" i="6"/>
  <c r="H13" i="6"/>
  <c r="I13" i="6"/>
  <c r="J13" i="6"/>
  <c r="D22" i="7"/>
  <c r="E22" i="7"/>
  <c r="E24" i="7" s="1"/>
  <c r="F22" i="7"/>
  <c r="F24" i="7" s="1"/>
  <c r="G22" i="7"/>
  <c r="D13" i="7"/>
  <c r="E13" i="7"/>
  <c r="F13" i="7"/>
  <c r="G13" i="7"/>
  <c r="C22" i="7"/>
  <c r="C13" i="7"/>
  <c r="F13" i="6"/>
  <c r="D11" i="7"/>
  <c r="E11" i="7"/>
  <c r="F11" i="7"/>
  <c r="G11" i="7"/>
  <c r="C11" i="7"/>
  <c r="G34" i="6"/>
  <c r="H34" i="6"/>
  <c r="H35" i="6" s="1"/>
  <c r="I34" i="6"/>
  <c r="I35" i="6" s="1"/>
  <c r="J34" i="6"/>
  <c r="J35" i="6" s="1"/>
  <c r="G9" i="6"/>
  <c r="H9" i="6"/>
  <c r="I9" i="6"/>
  <c r="J9" i="6"/>
  <c r="D29" i="7"/>
  <c r="E29" i="7"/>
  <c r="F29" i="7"/>
  <c r="G29" i="7"/>
  <c r="D28" i="7"/>
  <c r="E28" i="7"/>
  <c r="F28" i="7"/>
  <c r="G28" i="7"/>
  <c r="D24" i="7"/>
  <c r="G24" i="7"/>
  <c r="D16" i="7"/>
  <c r="E16" i="7"/>
  <c r="F16" i="7"/>
  <c r="G16" i="7"/>
  <c r="D9" i="7"/>
  <c r="E9" i="7"/>
  <c r="F9" i="7"/>
  <c r="G9" i="7"/>
  <c r="F9" i="6"/>
  <c r="C16" i="7"/>
  <c r="L26" i="3"/>
  <c r="F34" i="6"/>
  <c r="F35" i="6" s="1"/>
  <c r="C9" i="7"/>
  <c r="C6" i="7"/>
  <c r="C5" i="7"/>
  <c r="C24" i="7"/>
  <c r="G26" i="3"/>
  <c r="H26" i="3"/>
  <c r="I26" i="3"/>
  <c r="J26" i="3"/>
  <c r="F26" i="3"/>
  <c r="F20" i="3"/>
  <c r="G27" i="3"/>
  <c r="H27" i="3"/>
  <c r="I27" i="3"/>
  <c r="J27" i="3"/>
  <c r="F27" i="3"/>
  <c r="D27" i="3"/>
  <c r="E27" i="3"/>
  <c r="D26" i="3"/>
  <c r="E26" i="3"/>
  <c r="C26" i="3"/>
  <c r="C29" i="7"/>
  <c r="D38" i="6"/>
  <c r="E38" i="6"/>
  <c r="C38" i="6"/>
  <c r="G35" i="6"/>
  <c r="F24" i="6"/>
  <c r="F29" i="6" s="1"/>
  <c r="D7" i="7"/>
  <c r="E7" i="7"/>
  <c r="F7" i="7"/>
  <c r="G7" i="7"/>
  <c r="C7" i="7"/>
  <c r="D5" i="7"/>
  <c r="E5" i="7"/>
  <c r="E6" i="7" s="1"/>
  <c r="F5" i="7"/>
  <c r="F6" i="7" s="1"/>
  <c r="G5" i="7"/>
  <c r="C4" i="7"/>
  <c r="D4" i="7"/>
  <c r="E4" i="7"/>
  <c r="F4" i="7"/>
  <c r="G4" i="7"/>
  <c r="B4" i="7"/>
  <c r="B3" i="7"/>
  <c r="C7" i="6"/>
  <c r="D7" i="6"/>
  <c r="E7" i="6"/>
  <c r="C8" i="6"/>
  <c r="D8" i="6"/>
  <c r="E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C15" i="6"/>
  <c r="D15" i="6"/>
  <c r="E15" i="6"/>
  <c r="C16" i="6"/>
  <c r="D16" i="6"/>
  <c r="E16" i="6"/>
  <c r="C17" i="6"/>
  <c r="D17" i="6"/>
  <c r="E17" i="6"/>
  <c r="C21" i="6"/>
  <c r="D21" i="6"/>
  <c r="E21" i="6"/>
  <c r="C22" i="6"/>
  <c r="D22" i="6"/>
  <c r="E22" i="6"/>
  <c r="C23" i="6"/>
  <c r="D23" i="6"/>
  <c r="E23" i="6"/>
  <c r="C24" i="6"/>
  <c r="D24" i="6"/>
  <c r="E24" i="6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E29" i="6"/>
  <c r="C32" i="6"/>
  <c r="D32" i="6"/>
  <c r="E32" i="6"/>
  <c r="C33" i="6"/>
  <c r="D33" i="6"/>
  <c r="E33" i="6"/>
  <c r="C34" i="6"/>
  <c r="D34" i="6"/>
  <c r="E34" i="6"/>
  <c r="C35" i="6"/>
  <c r="D35" i="6"/>
  <c r="E35" i="6"/>
  <c r="C36" i="6"/>
  <c r="D36" i="6"/>
  <c r="E36" i="6"/>
  <c r="B33" i="6"/>
  <c r="B34" i="6"/>
  <c r="B35" i="6"/>
  <c r="B36" i="6"/>
  <c r="B26" i="6"/>
  <c r="B27" i="6"/>
  <c r="B28" i="6"/>
  <c r="B29" i="6"/>
  <c r="B30" i="6"/>
  <c r="B31" i="6"/>
  <c r="B32" i="6"/>
  <c r="B6" i="6"/>
  <c r="B7" i="6"/>
  <c r="B8" i="6"/>
  <c r="B9" i="6"/>
  <c r="B10" i="6"/>
  <c r="B11" i="6"/>
  <c r="B12" i="6"/>
  <c r="B13" i="6"/>
  <c r="B14" i="6"/>
  <c r="B15" i="6"/>
  <c r="B16" i="6"/>
  <c r="B17" i="6"/>
  <c r="B19" i="6"/>
  <c r="B20" i="6"/>
  <c r="B21" i="6"/>
  <c r="B22" i="6"/>
  <c r="B23" i="6"/>
  <c r="B24" i="6"/>
  <c r="B25" i="6"/>
  <c r="B5" i="6"/>
  <c r="D4" i="6"/>
  <c r="E4" i="6"/>
  <c r="F4" i="6"/>
  <c r="G4" i="6"/>
  <c r="H4" i="6"/>
  <c r="I4" i="6"/>
  <c r="J4" i="6"/>
  <c r="C4" i="6"/>
  <c r="B3" i="6"/>
  <c r="D35" i="5"/>
  <c r="E35" i="5"/>
  <c r="F35" i="5"/>
  <c r="G35" i="5"/>
  <c r="H35" i="5"/>
  <c r="I35" i="5"/>
  <c r="J35" i="5"/>
  <c r="C35" i="5"/>
  <c r="D28" i="5"/>
  <c r="E28" i="5"/>
  <c r="F28" i="5"/>
  <c r="G28" i="5"/>
  <c r="H28" i="5"/>
  <c r="H31" i="5" s="1"/>
  <c r="H34" i="5" s="1"/>
  <c r="I28" i="5"/>
  <c r="J28" i="5"/>
  <c r="D34" i="5"/>
  <c r="E34" i="5"/>
  <c r="C34" i="5"/>
  <c r="H32" i="5"/>
  <c r="J32" i="5"/>
  <c r="J31" i="5" s="1"/>
  <c r="J34" i="5" s="1"/>
  <c r="D32" i="5"/>
  <c r="E32" i="5"/>
  <c r="F32" i="5" s="1"/>
  <c r="F31" i="5" s="1"/>
  <c r="F34" i="5" s="1"/>
  <c r="C32" i="5"/>
  <c r="D31" i="5"/>
  <c r="E31" i="5"/>
  <c r="C31" i="5"/>
  <c r="D29" i="5"/>
  <c r="E29" i="5"/>
  <c r="F29" i="5"/>
  <c r="G29" i="5"/>
  <c r="H29" i="5"/>
  <c r="I29" i="5"/>
  <c r="J29" i="5"/>
  <c r="C29" i="5"/>
  <c r="C28" i="5"/>
  <c r="D26" i="5"/>
  <c r="E26" i="5"/>
  <c r="F26" i="5"/>
  <c r="G26" i="5"/>
  <c r="H26" i="5"/>
  <c r="I26" i="5"/>
  <c r="J26" i="5"/>
  <c r="C26" i="5"/>
  <c r="B26" i="5"/>
  <c r="D24" i="5"/>
  <c r="E24" i="5"/>
  <c r="F24" i="5"/>
  <c r="G24" i="5"/>
  <c r="H24" i="5"/>
  <c r="I24" i="5"/>
  <c r="J24" i="5"/>
  <c r="C24" i="5"/>
  <c r="D23" i="5"/>
  <c r="E23" i="5"/>
  <c r="F23" i="5"/>
  <c r="G23" i="5"/>
  <c r="H23" i="5"/>
  <c r="I23" i="5"/>
  <c r="J23" i="5"/>
  <c r="C23" i="5"/>
  <c r="D21" i="5"/>
  <c r="E21" i="5"/>
  <c r="F21" i="5"/>
  <c r="G21" i="5"/>
  <c r="H21" i="5"/>
  <c r="I21" i="5"/>
  <c r="J21" i="5"/>
  <c r="C21" i="5"/>
  <c r="D19" i="5"/>
  <c r="E19" i="5"/>
  <c r="F19" i="5"/>
  <c r="G19" i="5"/>
  <c r="H19" i="5"/>
  <c r="I19" i="5"/>
  <c r="J19" i="5"/>
  <c r="C19" i="5"/>
  <c r="H12" i="2"/>
  <c r="I12" i="2"/>
  <c r="J12" i="2" s="1"/>
  <c r="G12" i="2"/>
  <c r="F12" i="2"/>
  <c r="H18" i="2"/>
  <c r="I18" i="2" s="1"/>
  <c r="J18" i="2" s="1"/>
  <c r="G18" i="2"/>
  <c r="F18" i="2"/>
  <c r="D18" i="5"/>
  <c r="E18" i="5"/>
  <c r="C18" i="5"/>
  <c r="C16" i="5"/>
  <c r="D16" i="5"/>
  <c r="E16" i="5"/>
  <c r="C15" i="5"/>
  <c r="D15" i="5"/>
  <c r="E15" i="5"/>
  <c r="C14" i="5"/>
  <c r="D14" i="5"/>
  <c r="E14" i="5"/>
  <c r="B16" i="5"/>
  <c r="B15" i="5"/>
  <c r="B14" i="5"/>
  <c r="D11" i="5"/>
  <c r="E11" i="5"/>
  <c r="C11" i="5"/>
  <c r="D10" i="5"/>
  <c r="E10" i="5"/>
  <c r="D8" i="5"/>
  <c r="E8" i="5"/>
  <c r="C8" i="5"/>
  <c r="D5" i="3"/>
  <c r="E5" i="3"/>
  <c r="C5" i="3"/>
  <c r="D5" i="5"/>
  <c r="E5" i="5"/>
  <c r="E6" i="5" s="1"/>
  <c r="C5" i="5"/>
  <c r="C10" i="5" s="1"/>
  <c r="G10" i="4"/>
  <c r="H10" i="4"/>
  <c r="I10" i="4" s="1"/>
  <c r="J10" i="4" s="1"/>
  <c r="F10" i="4"/>
  <c r="J4" i="5"/>
  <c r="D4" i="5"/>
  <c r="E4" i="5"/>
  <c r="F4" i="5"/>
  <c r="G4" i="5"/>
  <c r="H4" i="5"/>
  <c r="I4" i="5"/>
  <c r="C4" i="5"/>
  <c r="B3" i="5"/>
  <c r="D19" i="4"/>
  <c r="E19" i="4"/>
  <c r="I19" i="4" s="1"/>
  <c r="C19" i="4"/>
  <c r="D18" i="4"/>
  <c r="E18" i="4"/>
  <c r="C18" i="4"/>
  <c r="F14" i="4"/>
  <c r="E14" i="4"/>
  <c r="E15" i="4" s="1"/>
  <c r="C8" i="9" l="1"/>
  <c r="E20" i="7"/>
  <c r="E26" i="7" s="1"/>
  <c r="E32" i="7" s="1"/>
  <c r="G20" i="7"/>
  <c r="G26" i="7" s="1"/>
  <c r="G32" i="7" s="1"/>
  <c r="F20" i="7"/>
  <c r="J24" i="6"/>
  <c r="J29" i="6" s="1"/>
  <c r="F26" i="7"/>
  <c r="F32" i="7" s="1"/>
  <c r="G36" i="6"/>
  <c r="I36" i="6"/>
  <c r="H36" i="6"/>
  <c r="J36" i="6"/>
  <c r="F36" i="6"/>
  <c r="D26" i="7"/>
  <c r="D32" i="7" s="1"/>
  <c r="C28" i="7"/>
  <c r="D6" i="7"/>
  <c r="G6" i="7"/>
  <c r="I32" i="5"/>
  <c r="I31" i="5" s="1"/>
  <c r="I34" i="5" s="1"/>
  <c r="G32" i="5"/>
  <c r="G31" i="5" s="1"/>
  <c r="G34" i="5" s="1"/>
  <c r="D6" i="5"/>
  <c r="J19" i="4"/>
  <c r="H19" i="4"/>
  <c r="G19" i="4"/>
  <c r="H15" i="4"/>
  <c r="I15" i="4"/>
  <c r="J15" i="4"/>
  <c r="F15" i="4"/>
  <c r="F16" i="4" s="1"/>
  <c r="G15" i="4"/>
  <c r="F19" i="4"/>
  <c r="D6" i="9" l="1"/>
  <c r="D10" i="9" s="1"/>
  <c r="F6" i="9"/>
  <c r="F10" i="9" s="1"/>
  <c r="G6" i="9"/>
  <c r="G10" i="9" s="1"/>
  <c r="C6" i="9"/>
  <c r="C10" i="9" s="1"/>
  <c r="C15" i="9"/>
  <c r="E6" i="9"/>
  <c r="E10" i="9" s="1"/>
  <c r="G14" i="4"/>
  <c r="G16" i="4" s="1"/>
  <c r="F18" i="4"/>
  <c r="C12" i="9" l="1"/>
  <c r="C17" i="9"/>
  <c r="G18" i="4"/>
  <c r="H14" i="4"/>
  <c r="H16" i="4" s="1"/>
  <c r="C19" i="9" l="1"/>
  <c r="I14" i="4"/>
  <c r="I16" i="4" s="1"/>
  <c r="H18" i="4"/>
  <c r="C22" i="9" l="1"/>
  <c r="C25" i="9" s="1"/>
  <c r="E16" i="9"/>
  <c r="J14" i="4"/>
  <c r="J16" i="4" s="1"/>
  <c r="J18" i="4" s="1"/>
  <c r="I18" i="4"/>
  <c r="D14" i="4" l="1"/>
  <c r="D15" i="4" s="1"/>
  <c r="D16" i="4"/>
  <c r="E16" i="4"/>
  <c r="C16" i="4"/>
  <c r="D4" i="4"/>
  <c r="E4" i="4"/>
  <c r="F4" i="4"/>
  <c r="G4" i="4"/>
  <c r="H4" i="4"/>
  <c r="I4" i="4"/>
  <c r="J4" i="4"/>
  <c r="D5" i="4"/>
  <c r="D10" i="4" s="1"/>
  <c r="E5" i="4"/>
  <c r="D6" i="4"/>
  <c r="D8" i="4"/>
  <c r="E8" i="4"/>
  <c r="F5" i="4" s="1"/>
  <c r="C8" i="4"/>
  <c r="C4" i="4"/>
  <c r="B3" i="4"/>
  <c r="G24" i="3"/>
  <c r="H24" i="3"/>
  <c r="I24" i="3"/>
  <c r="J24" i="3"/>
  <c r="F24" i="3"/>
  <c r="G15" i="3"/>
  <c r="H15" i="3"/>
  <c r="I15" i="3"/>
  <c r="J15" i="3"/>
  <c r="F15" i="3"/>
  <c r="H12" i="3"/>
  <c r="I12" i="3"/>
  <c r="J12" i="3"/>
  <c r="G12" i="3"/>
  <c r="F12" i="3"/>
  <c r="G9" i="3"/>
  <c r="H9" i="3"/>
  <c r="I9" i="3"/>
  <c r="J9" i="3"/>
  <c r="F9" i="3"/>
  <c r="D4" i="3"/>
  <c r="E4" i="3"/>
  <c r="F4" i="3"/>
  <c r="G4" i="3"/>
  <c r="H4" i="3"/>
  <c r="I4" i="3"/>
  <c r="J4" i="3"/>
  <c r="C4" i="3"/>
  <c r="F21" i="3"/>
  <c r="D21" i="3"/>
  <c r="H21" i="3" s="1"/>
  <c r="E21" i="3"/>
  <c r="D24" i="3"/>
  <c r="E24" i="3"/>
  <c r="C24" i="3"/>
  <c r="D18" i="3"/>
  <c r="E18" i="3"/>
  <c r="F18" i="3" s="1"/>
  <c r="G18" i="3" s="1"/>
  <c r="H18" i="3" s="1"/>
  <c r="I18" i="3" s="1"/>
  <c r="J18" i="3" s="1"/>
  <c r="C18" i="3"/>
  <c r="D15" i="3"/>
  <c r="E15" i="3"/>
  <c r="C15" i="3"/>
  <c r="D12" i="3"/>
  <c r="E12" i="3"/>
  <c r="C12" i="3"/>
  <c r="D9" i="3"/>
  <c r="E9" i="3"/>
  <c r="C9" i="3"/>
  <c r="D6" i="3"/>
  <c r="E6" i="3"/>
  <c r="F6" i="3" s="1"/>
  <c r="C6" i="3"/>
  <c r="D23" i="3"/>
  <c r="E23" i="3"/>
  <c r="C23" i="3"/>
  <c r="D20" i="3"/>
  <c r="E20" i="3"/>
  <c r="C20" i="3"/>
  <c r="C14" i="3"/>
  <c r="D14" i="3"/>
  <c r="E14" i="3"/>
  <c r="C11" i="3"/>
  <c r="D11" i="3"/>
  <c r="E11" i="3"/>
  <c r="C8" i="3"/>
  <c r="D8" i="3"/>
  <c r="E8" i="3"/>
  <c r="B14" i="3"/>
  <c r="B11" i="3"/>
  <c r="B8" i="3"/>
  <c r="B3" i="3"/>
  <c r="B3" i="2"/>
  <c r="E6" i="2"/>
  <c r="D6" i="2"/>
  <c r="G8" i="2"/>
  <c r="H8" i="2" s="1"/>
  <c r="F8" i="2"/>
  <c r="F15" i="2"/>
  <c r="F14" i="2" s="1"/>
  <c r="G9" i="2"/>
  <c r="H9" i="2"/>
  <c r="I9" i="2"/>
  <c r="J9" i="2"/>
  <c r="F9" i="2"/>
  <c r="D5" i="2"/>
  <c r="E5" i="2"/>
  <c r="C5" i="2"/>
  <c r="E18" i="2"/>
  <c r="D18" i="2"/>
  <c r="E15" i="2"/>
  <c r="D15" i="2"/>
  <c r="D12" i="2"/>
  <c r="E12" i="2"/>
  <c r="E9" i="2"/>
  <c r="D9" i="2"/>
  <c r="D4" i="2"/>
  <c r="E4" i="2"/>
  <c r="C4" i="2"/>
  <c r="G6" i="3" l="1"/>
  <c r="J21" i="3"/>
  <c r="I21" i="3"/>
  <c r="G21" i="3"/>
  <c r="E6" i="4"/>
  <c r="F17" i="2"/>
  <c r="G15" i="2"/>
  <c r="H15" i="2" s="1"/>
  <c r="I15" i="2" s="1"/>
  <c r="J15" i="2" s="1"/>
  <c r="F11" i="2"/>
  <c r="I8" i="2"/>
  <c r="H6" i="3" l="1"/>
  <c r="F6" i="4"/>
  <c r="G6" i="4"/>
  <c r="H6" i="4"/>
  <c r="I6" i="4"/>
  <c r="J6" i="4"/>
  <c r="E10" i="4"/>
  <c r="G17" i="2"/>
  <c r="H17" i="2" s="1"/>
  <c r="I17" i="2" s="1"/>
  <c r="J17" i="2" s="1"/>
  <c r="G14" i="2"/>
  <c r="H14" i="2" s="1"/>
  <c r="I14" i="2" s="1"/>
  <c r="J14" i="2" s="1"/>
  <c r="G11" i="2"/>
  <c r="F5" i="2"/>
  <c r="J8" i="2"/>
  <c r="F5" i="5" l="1"/>
  <c r="F5" i="3"/>
  <c r="F8" i="5" s="1"/>
  <c r="F23" i="3"/>
  <c r="F11" i="3"/>
  <c r="F15" i="5" s="1"/>
  <c r="F14" i="3"/>
  <c r="F16" i="5" s="1"/>
  <c r="F6" i="2"/>
  <c r="F8" i="3"/>
  <c r="F14" i="5" s="1"/>
  <c r="F17" i="3"/>
  <c r="C18" i="7" s="1"/>
  <c r="C26" i="7" s="1"/>
  <c r="I6" i="3"/>
  <c r="F7" i="4"/>
  <c r="H11" i="2"/>
  <c r="G5" i="2"/>
  <c r="C32" i="7" l="1"/>
  <c r="F7" i="6" s="1"/>
  <c r="G5" i="5"/>
  <c r="G8" i="3"/>
  <c r="G14" i="5" s="1"/>
  <c r="G17" i="3"/>
  <c r="G11" i="3"/>
  <c r="G15" i="5" s="1"/>
  <c r="G23" i="3"/>
  <c r="G6" i="2"/>
  <c r="G14" i="3"/>
  <c r="G16" i="5" s="1"/>
  <c r="G5" i="3"/>
  <c r="G8" i="5" s="1"/>
  <c r="F10" i="5"/>
  <c r="F6" i="5"/>
  <c r="J6" i="3"/>
  <c r="F8" i="4"/>
  <c r="G5" i="4" s="1"/>
  <c r="G7" i="4" s="1"/>
  <c r="I11" i="2"/>
  <c r="H5" i="2"/>
  <c r="F11" i="6" l="1"/>
  <c r="F17" i="6" s="1"/>
  <c r="F38" i="6" s="1"/>
  <c r="G7" i="6"/>
  <c r="H7" i="6" s="1"/>
  <c r="H5" i="5"/>
  <c r="H8" i="3"/>
  <c r="H14" i="5" s="1"/>
  <c r="H17" i="3"/>
  <c r="H11" i="3"/>
  <c r="H15" i="5" s="1"/>
  <c r="H14" i="3"/>
  <c r="H16" i="5" s="1"/>
  <c r="H23" i="3"/>
  <c r="H6" i="2"/>
  <c r="H5" i="3"/>
  <c r="H8" i="5" s="1"/>
  <c r="F11" i="5"/>
  <c r="F18" i="5"/>
  <c r="G6" i="5"/>
  <c r="G10" i="5"/>
  <c r="G8" i="4"/>
  <c r="H5" i="4" s="1"/>
  <c r="G20" i="3"/>
  <c r="H7" i="4"/>
  <c r="J11" i="2"/>
  <c r="J5" i="2" s="1"/>
  <c r="I5" i="2"/>
  <c r="G11" i="6" l="1"/>
  <c r="G17" i="6" s="1"/>
  <c r="G38" i="6" s="1"/>
  <c r="I7" i="6"/>
  <c r="H11" i="6"/>
  <c r="H17" i="6" s="1"/>
  <c r="H38" i="6" s="1"/>
  <c r="G11" i="5"/>
  <c r="G18" i="5"/>
  <c r="I5" i="5"/>
  <c r="I14" i="3"/>
  <c r="I16" i="5" s="1"/>
  <c r="I8" i="3"/>
  <c r="I14" i="5" s="1"/>
  <c r="I17" i="3"/>
  <c r="I11" i="3"/>
  <c r="I15" i="5" s="1"/>
  <c r="I23" i="3"/>
  <c r="I6" i="2"/>
  <c r="I5" i="3"/>
  <c r="I8" i="5" s="1"/>
  <c r="J5" i="5"/>
  <c r="J14" i="3"/>
  <c r="J16" i="5" s="1"/>
  <c r="J8" i="3"/>
  <c r="J14" i="5" s="1"/>
  <c r="J6" i="2"/>
  <c r="J17" i="3"/>
  <c r="J23" i="3"/>
  <c r="J11" i="3"/>
  <c r="J15" i="5" s="1"/>
  <c r="J5" i="3"/>
  <c r="J8" i="5" s="1"/>
  <c r="H6" i="5"/>
  <c r="H10" i="5"/>
  <c r="H8" i="4"/>
  <c r="I5" i="4" s="1"/>
  <c r="H20" i="3"/>
  <c r="I7" i="4"/>
  <c r="I20" i="3" s="1"/>
  <c r="J7" i="6" l="1"/>
  <c r="J11" i="6" s="1"/>
  <c r="J17" i="6" s="1"/>
  <c r="J38" i="6" s="1"/>
  <c r="I11" i="6"/>
  <c r="I17" i="6" s="1"/>
  <c r="I38" i="6" s="1"/>
  <c r="I6" i="5"/>
  <c r="I10" i="5"/>
  <c r="H11" i="5"/>
  <c r="H18" i="5"/>
  <c r="J6" i="5"/>
  <c r="J10" i="5"/>
  <c r="I8" i="4"/>
  <c r="J5" i="4" s="1"/>
  <c r="J7" i="4"/>
  <c r="J20" i="3" s="1"/>
  <c r="J11" i="5" l="1"/>
  <c r="J18" i="5"/>
  <c r="I11" i="5"/>
  <c r="I18" i="5"/>
  <c r="J8" i="4"/>
</calcChain>
</file>

<file path=xl/sharedStrings.xml><?xml version="1.0" encoding="utf-8"?>
<sst xmlns="http://schemas.openxmlformats.org/spreadsheetml/2006/main" count="159" uniqueCount="136">
  <si>
    <t>Costs and expenses:</t>
  </si>
  <si>
    <t>Revenue</t>
  </si>
  <si>
    <t>META PLATFORMS, INC. CONSOLIDATED STATEMENTS OF INCOME</t>
  </si>
  <si>
    <t>(In millions, except per share amounts)</t>
  </si>
  <si>
    <t>Cost of revenue</t>
  </si>
  <si>
    <t>Research and development</t>
  </si>
  <si>
    <t>Marketing and sales</t>
  </si>
  <si>
    <t>General and administrative</t>
  </si>
  <si>
    <t>Total costs and expenses</t>
  </si>
  <si>
    <t>Income from operations</t>
  </si>
  <si>
    <t>Interest and other income (expense), net</t>
  </si>
  <si>
    <t>Income before provision for income taxes</t>
  </si>
  <si>
    <t>Provision for income taxes</t>
  </si>
  <si>
    <t>Net income</t>
  </si>
  <si>
    <t>META PLATFORMS, INC. CONSOLIDATED BALANCE SHEETS</t>
  </si>
  <si>
    <t>(In millions, except number of shares and par value)</t>
  </si>
  <si>
    <t>Assets</t>
  </si>
  <si>
    <t>Current assets:</t>
  </si>
  <si>
    <t>Cash and cash equivalents</t>
  </si>
  <si>
    <t>Marketable securities</t>
  </si>
  <si>
    <t>Accounts receivable, net</t>
  </si>
  <si>
    <t>Prepaid expenses and other current assets</t>
  </si>
  <si>
    <t>Total current assets</t>
  </si>
  <si>
    <t>Non-marketable equity securities</t>
  </si>
  <si>
    <t>Property and equipment, net</t>
  </si>
  <si>
    <t>Operating lease right-of-use assets</t>
  </si>
  <si>
    <t>Goodwill</t>
  </si>
  <si>
    <t>Other assets</t>
  </si>
  <si>
    <t>Total assets</t>
  </si>
  <si>
    <t>Liabilities and stockholders' equity</t>
  </si>
  <si>
    <t>Current liabilities:</t>
  </si>
  <si>
    <t>Accounts payable</t>
  </si>
  <si>
    <t>Operating lease liabilities, current</t>
  </si>
  <si>
    <t>Accrued expenses and other current liabilities</t>
  </si>
  <si>
    <t>Total current liabilities</t>
  </si>
  <si>
    <t>Operating lease liabilities, non-current</t>
  </si>
  <si>
    <t>Long-term debt</t>
  </si>
  <si>
    <t>Long-term income taxes</t>
  </si>
  <si>
    <t>Other liabilities</t>
  </si>
  <si>
    <t>Total liabilities</t>
  </si>
  <si>
    <t>Commitments and contingencies</t>
  </si>
  <si>
    <t>Stockholders' equity:</t>
  </si>
  <si>
    <t>Additional paid-in capital</t>
  </si>
  <si>
    <t>Accumulated other comprehensive loss</t>
  </si>
  <si>
    <t>Retained earnings</t>
  </si>
  <si>
    <t>Total stockholders' equity</t>
  </si>
  <si>
    <t>Total liabilities and stockholders' equity</t>
  </si>
  <si>
    <t>United States and Canada</t>
  </si>
  <si>
    <t>2022A</t>
  </si>
  <si>
    <t>2023A</t>
  </si>
  <si>
    <t>2024A</t>
  </si>
  <si>
    <t>%Growth</t>
  </si>
  <si>
    <t>Europe</t>
  </si>
  <si>
    <t>Asia-Pacific</t>
  </si>
  <si>
    <t>Rest of World</t>
  </si>
  <si>
    <t>Revenue Sources</t>
  </si>
  <si>
    <t>Other Items</t>
  </si>
  <si>
    <t>Cost of Good Sold</t>
  </si>
  <si>
    <t>as of % revenue</t>
  </si>
  <si>
    <t>Other Current Asset</t>
  </si>
  <si>
    <t>Account Payable</t>
  </si>
  <si>
    <t>Accrued Expenses and other Liabilities</t>
  </si>
  <si>
    <t>Days Payable</t>
  </si>
  <si>
    <t>Schedules</t>
  </si>
  <si>
    <t>Beginning Balance</t>
  </si>
  <si>
    <t>add: Capex</t>
  </si>
  <si>
    <t>less: Depreciation</t>
  </si>
  <si>
    <t>Closing Balance</t>
  </si>
  <si>
    <t xml:space="preserve">Useful life </t>
  </si>
  <si>
    <t>Debt Schedule</t>
  </si>
  <si>
    <t>Beginning Balance of Debt</t>
  </si>
  <si>
    <t>add/less: Debt Taken /(debt repaid)</t>
  </si>
  <si>
    <t>Interest Expense</t>
  </si>
  <si>
    <t>Income Statement for Meta</t>
  </si>
  <si>
    <t>Particular</t>
  </si>
  <si>
    <t xml:space="preserve"> </t>
  </si>
  <si>
    <t>% of Growth</t>
  </si>
  <si>
    <t>COGS</t>
  </si>
  <si>
    <t>Gross Profit</t>
  </si>
  <si>
    <t>GP %</t>
  </si>
  <si>
    <t>Operating Expense</t>
  </si>
  <si>
    <t>EBITDA</t>
  </si>
  <si>
    <t>EBITDA %</t>
  </si>
  <si>
    <t>Depreciation</t>
  </si>
  <si>
    <t>EBIT</t>
  </si>
  <si>
    <t>EBIT %</t>
  </si>
  <si>
    <t>EBI</t>
  </si>
  <si>
    <t>EBI %</t>
  </si>
  <si>
    <t>Tax</t>
  </si>
  <si>
    <t>Tax %</t>
  </si>
  <si>
    <t>Net Profit</t>
  </si>
  <si>
    <t>Net Profit %</t>
  </si>
  <si>
    <t>Balance Sheet for Meta</t>
  </si>
  <si>
    <t>Cash Flow for Meta</t>
  </si>
  <si>
    <t>(-)Operating Taxes</t>
  </si>
  <si>
    <t>(-)Operation Tax Rate</t>
  </si>
  <si>
    <t>NOPAT</t>
  </si>
  <si>
    <t>(+)Depretiation</t>
  </si>
  <si>
    <t>Gross Cash Flow</t>
  </si>
  <si>
    <t>Accrued Expenses &amp; other Liabilities</t>
  </si>
  <si>
    <t>(-)Investment in Working Capital</t>
  </si>
  <si>
    <t>PP&amp;E</t>
  </si>
  <si>
    <t>(-)Capex</t>
  </si>
  <si>
    <t>UFCF</t>
  </si>
  <si>
    <t>Diff b/w Actual &amp; Operating Tax</t>
  </si>
  <si>
    <t xml:space="preserve">Interest Expense </t>
  </si>
  <si>
    <t>Debt Repaid</t>
  </si>
  <si>
    <t>Net Cash Flow</t>
  </si>
  <si>
    <t>Check</t>
  </si>
  <si>
    <t>Account Receivable</t>
  </si>
  <si>
    <t>Days Receivable</t>
  </si>
  <si>
    <t>Working Average Cost of Capital</t>
  </si>
  <si>
    <t>Risk Free Rate</t>
  </si>
  <si>
    <t>Market Risk Premium</t>
  </si>
  <si>
    <t>Beta</t>
  </si>
  <si>
    <t>Cost of Equity</t>
  </si>
  <si>
    <t>Cost of Debt</t>
  </si>
  <si>
    <t>Equity</t>
  </si>
  <si>
    <t>Debt</t>
  </si>
  <si>
    <t>Weight of Equity</t>
  </si>
  <si>
    <t>Weight of Debt</t>
  </si>
  <si>
    <t>WACC</t>
  </si>
  <si>
    <t>DCF Model</t>
  </si>
  <si>
    <t>Discounted Factor</t>
  </si>
  <si>
    <t>No. of Years</t>
  </si>
  <si>
    <t>PV of Future Cash Flow</t>
  </si>
  <si>
    <t>Sum of PV</t>
  </si>
  <si>
    <t>TV of Cash Flow</t>
  </si>
  <si>
    <t xml:space="preserve">PV of Terminal Value/Continuins Value </t>
  </si>
  <si>
    <t>Enterprise Value</t>
  </si>
  <si>
    <t>Equity Value</t>
  </si>
  <si>
    <t>Growth Rate</t>
  </si>
  <si>
    <t>Cash</t>
  </si>
  <si>
    <t>Outstanding Shares</t>
  </si>
  <si>
    <t>Fair Price</t>
  </si>
  <si>
    <t>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</si>
</sst>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0.000"/>
  </numFmts>
  <fonts count="9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b/>
      <sz val="16"/>
      <color theme="1"/>
      <name val="Calibri"/>
      <family val="2"/>
    </font>
    <font>
      <sz val="11"/>
      <color rgb="FF000000"/>
      <name val="Calibri"/>
      <family val="2"/>
    </font>
    <font>
      <sz val="11"/>
      <color theme="8" tint="-0.499984740745262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3" fontId="0" fillId="0" borderId="0" xfId="0" applyNumberFormat="1"/>
    <xf numFmtId="0" fontId="2" fillId="0" borderId="0" xfId="0" applyFont="1"/>
    <xf numFmtId="0" fontId="2" fillId="0" borderId="1" xfId="0" applyFont="1" applyBorder="1"/>
    <xf numFmtId="3" fontId="2" fillId="0" borderId="1" xfId="0" applyNumberFormat="1" applyFont="1" applyBorder="1"/>
    <xf numFmtId="0" fontId="0" fillId="0" borderId="2" xfId="0" applyBorder="1"/>
    <xf numFmtId="0" fontId="2" fillId="0" borderId="3" xfId="0" applyFont="1" applyBorder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0" fillId="0" borderId="4" xfId="0" applyBorder="1" applyAlignment="1">
      <alignment horizontal="left" indent="2"/>
    </xf>
    <xf numFmtId="0" fontId="2" fillId="0" borderId="5" xfId="0" applyFont="1" applyBorder="1"/>
    <xf numFmtId="164" fontId="5" fillId="0" borderId="0" xfId="0" applyNumberFormat="1" applyFont="1"/>
    <xf numFmtId="164" fontId="4" fillId="0" borderId="1" xfId="0" applyNumberFormat="1" applyFont="1" applyBorder="1"/>
    <xf numFmtId="164" fontId="5" fillId="0" borderId="2" xfId="0" applyNumberFormat="1" applyFont="1" applyBorder="1"/>
    <xf numFmtId="164" fontId="4" fillId="0" borderId="3" xfId="0" applyNumberFormat="1" applyFont="1" applyBorder="1"/>
    <xf numFmtId="164" fontId="4" fillId="0" borderId="5" xfId="0" applyNumberFormat="1" applyFont="1" applyBorder="1"/>
    <xf numFmtId="164" fontId="5" fillId="0" borderId="4" xfId="0" applyNumberFormat="1" applyFont="1" applyBorder="1"/>
    <xf numFmtId="9" fontId="0" fillId="0" borderId="0" xfId="0" applyNumberFormat="1"/>
    <xf numFmtId="3" fontId="0" fillId="0" borderId="0" xfId="0" applyNumberFormat="1" applyAlignment="1">
      <alignment horizontal="right"/>
    </xf>
    <xf numFmtId="0" fontId="2" fillId="0" borderId="6" xfId="0" applyFont="1" applyBorder="1"/>
    <xf numFmtId="3" fontId="2" fillId="0" borderId="6" xfId="0" applyNumberFormat="1" applyFont="1" applyBorder="1" applyAlignment="1">
      <alignment horizontal="right"/>
    </xf>
    <xf numFmtId="0" fontId="0" fillId="2" borderId="0" xfId="0" applyFill="1"/>
    <xf numFmtId="3" fontId="0" fillId="2" borderId="0" xfId="0" applyNumberFormat="1" applyFill="1" applyAlignment="1">
      <alignment horizontal="right"/>
    </xf>
    <xf numFmtId="9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2" fillId="4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2" fontId="0" fillId="0" borderId="0" xfId="0" applyNumberFormat="1"/>
    <xf numFmtId="1" fontId="0" fillId="0" borderId="0" xfId="0" applyNumberFormat="1"/>
    <xf numFmtId="9" fontId="0" fillId="5" borderId="0" xfId="0" applyNumberFormat="1" applyFill="1"/>
    <xf numFmtId="1" fontId="0" fillId="5" borderId="0" xfId="0" applyNumberFormat="1" applyFill="1"/>
    <xf numFmtId="0" fontId="2" fillId="6" borderId="0" xfId="0" applyFont="1" applyFill="1"/>
    <xf numFmtId="3" fontId="0" fillId="5" borderId="0" xfId="0" applyNumberFormat="1" applyFill="1"/>
    <xf numFmtId="1" fontId="0" fillId="3" borderId="0" xfId="0" applyNumberFormat="1" applyFill="1"/>
    <xf numFmtId="164" fontId="0" fillId="3" borderId="0" xfId="0" applyNumberFormat="1" applyFill="1"/>
    <xf numFmtId="9" fontId="0" fillId="3" borderId="0" xfId="0" applyNumberFormat="1" applyFill="1"/>
    <xf numFmtId="3" fontId="2" fillId="0" borderId="6" xfId="0" applyNumberFormat="1" applyFont="1" applyBorder="1"/>
    <xf numFmtId="0" fontId="0" fillId="9" borderId="0" xfId="0" applyFill="1"/>
    <xf numFmtId="9" fontId="0" fillId="9" borderId="0" xfId="0" applyNumberFormat="1" applyFill="1"/>
    <xf numFmtId="0" fontId="2" fillId="10" borderId="0" xfId="0" applyFont="1" applyFill="1"/>
    <xf numFmtId="0" fontId="2" fillId="10" borderId="0" xfId="0" applyFont="1" applyFill="1" applyAlignment="1">
      <alignment horizontal="right"/>
    </xf>
    <xf numFmtId="0" fontId="2" fillId="0" borderId="7" xfId="0" applyFont="1" applyBorder="1"/>
    <xf numFmtId="3" fontId="0" fillId="0" borderId="7" xfId="0" applyNumberFormat="1" applyBorder="1"/>
    <xf numFmtId="0" fontId="2" fillId="11" borderId="5" xfId="0" applyFont="1" applyFill="1" applyBorder="1"/>
    <xf numFmtId="3" fontId="0" fillId="11" borderId="5" xfId="0" applyNumberFormat="1" applyFill="1" applyBorder="1"/>
    <xf numFmtId="0" fontId="2" fillId="6" borderId="0" xfId="0" applyFont="1" applyFill="1" applyAlignment="1">
      <alignment horizontal="right"/>
    </xf>
    <xf numFmtId="0" fontId="2" fillId="12" borderId="1" xfId="0" applyFont="1" applyFill="1" applyBorder="1"/>
    <xf numFmtId="164" fontId="7" fillId="0" borderId="0" xfId="0" applyNumberFormat="1" applyFont="1"/>
    <xf numFmtId="3" fontId="0" fillId="0" borderId="0" xfId="0" applyNumberFormat="1" applyAlignment="1">
      <alignment horizontal="right" indent="1"/>
    </xf>
    <xf numFmtId="164" fontId="2" fillId="0" borderId="4" xfId="0" applyNumberFormat="1" applyFont="1" applyBorder="1"/>
    <xf numFmtId="0" fontId="2" fillId="0" borderId="8" xfId="0" applyFont="1" applyBorder="1" applyAlignment="1">
      <alignment horizontal="left" indent="2"/>
    </xf>
    <xf numFmtId="3" fontId="2" fillId="0" borderId="8" xfId="0" applyNumberFormat="1" applyFont="1" applyBorder="1" applyAlignment="1">
      <alignment horizontal="right" indent="2"/>
    </xf>
    <xf numFmtId="164" fontId="2" fillId="0" borderId="8" xfId="0" applyNumberFormat="1" applyFont="1" applyBorder="1"/>
    <xf numFmtId="0" fontId="2" fillId="0" borderId="8" xfId="0" applyFont="1" applyBorder="1"/>
    <xf numFmtId="3" fontId="2" fillId="0" borderId="8" xfId="0" applyNumberFormat="1" applyFont="1" applyBorder="1" applyAlignment="1">
      <alignment horizontal="right"/>
    </xf>
    <xf numFmtId="0" fontId="2" fillId="0" borderId="4" xfId="0" applyFont="1" applyBorder="1" applyAlignment="1">
      <alignment horizontal="left" indent="2"/>
    </xf>
    <xf numFmtId="3" fontId="2" fillId="0" borderId="4" xfId="0" applyNumberFormat="1" applyFont="1" applyBorder="1" applyAlignment="1">
      <alignment horizontal="right" indent="2"/>
    </xf>
    <xf numFmtId="0" fontId="2" fillId="0" borderId="9" xfId="0" applyFont="1" applyBorder="1"/>
    <xf numFmtId="3" fontId="2" fillId="0" borderId="9" xfId="0" applyNumberFormat="1" applyFont="1" applyBorder="1" applyAlignment="1">
      <alignment horizontal="right"/>
    </xf>
    <xf numFmtId="164" fontId="2" fillId="0" borderId="9" xfId="0" applyNumberFormat="1" applyFont="1" applyBorder="1"/>
    <xf numFmtId="3" fontId="2" fillId="12" borderId="1" xfId="0" applyNumberFormat="1" applyFont="1" applyFill="1" applyBorder="1"/>
    <xf numFmtId="0" fontId="2" fillId="8" borderId="3" xfId="0" applyFont="1" applyFill="1" applyBorder="1"/>
    <xf numFmtId="3" fontId="2" fillId="8" borderId="3" xfId="0" applyNumberFormat="1" applyFont="1" applyFill="1" applyBorder="1"/>
    <xf numFmtId="165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  <xf numFmtId="3" fontId="8" fillId="15" borderId="0" xfId="0" applyNumberFormat="1" applyFont="1" applyFill="1"/>
    <xf numFmtId="9" fontId="1" fillId="15" borderId="0" xfId="0" applyNumberFormat="1" applyFont="1" applyFill="1"/>
    <xf numFmtId="3" fontId="0" fillId="0" borderId="10" xfId="0" applyNumberFormat="1" applyBorder="1"/>
    <xf numFmtId="3" fontId="0" fillId="14" borderId="10" xfId="0" applyNumberFormat="1" applyFill="1" applyBorder="1"/>
    <xf numFmtId="0" fontId="2" fillId="16" borderId="11" xfId="0" applyFont="1" applyFill="1" applyBorder="1"/>
    <xf numFmtId="3" fontId="2" fillId="16" borderId="11" xfId="0" applyNumberFormat="1" applyFont="1" applyFill="1" applyBorder="1"/>
    <xf numFmtId="0" fontId="2" fillId="17" borderId="1" xfId="0" applyFont="1" applyFill="1" applyBorder="1"/>
    <xf numFmtId="3" fontId="2" fillId="17" borderId="1" xfId="0" applyNumberFormat="1" applyFont="1" applyFill="1" applyBorder="1"/>
    <xf numFmtId="0" fontId="2" fillId="18" borderId="5" xfId="0" applyFont="1" applyFill="1" applyBorder="1"/>
    <xf numFmtId="1" fontId="2" fillId="18" borderId="5" xfId="0" applyNumberFormat="1" applyFont="1" applyFill="1" applyBorder="1"/>
    <xf numFmtId="10" fontId="5" fillId="0" borderId="0" xfId="0" applyNumberFormat="1" applyFont="1"/>
    <xf numFmtId="0" fontId="5" fillId="0" borderId="0" xfId="0" applyFont="1"/>
    <xf numFmtId="9" fontId="5" fillId="0" borderId="0" xfId="0" applyNumberFormat="1" applyFont="1"/>
    <xf numFmtId="3" fontId="5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0B1D-A2A8-472D-B7E9-7FEED3A6CA62}">
  <dimension ref="B2:E54"/>
  <sheetViews>
    <sheetView showGridLines="0" topLeftCell="A35" workbookViewId="0">
      <selection activeCell="I20" sqref="I20"/>
    </sheetView>
  </sheetViews>
  <sheetFormatPr defaultRowHeight="14.4" x14ac:dyDescent="0.3"/>
  <cols>
    <col min="1" max="1" width="1.88671875" customWidth="1"/>
    <col min="2" max="2" width="39.88671875" customWidth="1"/>
    <col min="3" max="3" width="11.109375" customWidth="1"/>
    <col min="4" max="4" width="12.21875" customWidth="1"/>
    <col min="5" max="5" width="11.44140625" customWidth="1"/>
  </cols>
  <sheetData>
    <row r="2" spans="2:5" x14ac:dyDescent="0.3">
      <c r="B2" s="81" t="s">
        <v>2</v>
      </c>
      <c r="C2" s="81"/>
      <c r="D2" s="81"/>
      <c r="E2" s="81"/>
    </row>
    <row r="3" spans="2:5" x14ac:dyDescent="0.3">
      <c r="B3" s="82" t="s">
        <v>3</v>
      </c>
      <c r="C3" s="82"/>
      <c r="D3" s="82"/>
      <c r="E3" s="82"/>
    </row>
    <row r="4" spans="2:5" x14ac:dyDescent="0.3">
      <c r="C4" s="27" t="s">
        <v>48</v>
      </c>
      <c r="D4" s="27" t="s">
        <v>49</v>
      </c>
      <c r="E4" s="27" t="s">
        <v>50</v>
      </c>
    </row>
    <row r="5" spans="2:5" x14ac:dyDescent="0.3">
      <c r="B5" t="s">
        <v>1</v>
      </c>
      <c r="C5" s="12">
        <v>116609</v>
      </c>
      <c r="D5" s="12">
        <v>134902</v>
      </c>
      <c r="E5" s="12">
        <v>164501</v>
      </c>
    </row>
    <row r="6" spans="2:5" x14ac:dyDescent="0.3">
      <c r="B6" s="2" t="s">
        <v>0</v>
      </c>
      <c r="C6" s="7"/>
      <c r="D6" s="7"/>
      <c r="E6" s="7"/>
    </row>
    <row r="7" spans="2:5" x14ac:dyDescent="0.3">
      <c r="B7" t="s">
        <v>4</v>
      </c>
      <c r="C7" s="12">
        <v>25249</v>
      </c>
      <c r="D7" s="12">
        <v>25959</v>
      </c>
      <c r="E7" s="12">
        <v>30161</v>
      </c>
    </row>
    <row r="8" spans="2:5" x14ac:dyDescent="0.3">
      <c r="B8" t="s">
        <v>5</v>
      </c>
      <c r="C8" s="12">
        <v>35338</v>
      </c>
      <c r="D8" s="12">
        <v>38483</v>
      </c>
      <c r="E8" s="12">
        <v>43873</v>
      </c>
    </row>
    <row r="9" spans="2:5" x14ac:dyDescent="0.3">
      <c r="B9" t="s">
        <v>6</v>
      </c>
      <c r="C9" s="12">
        <v>15262</v>
      </c>
      <c r="D9" s="12">
        <v>12301</v>
      </c>
      <c r="E9" s="12">
        <v>11347</v>
      </c>
    </row>
    <row r="10" spans="2:5" x14ac:dyDescent="0.3">
      <c r="B10" t="s">
        <v>7</v>
      </c>
      <c r="C10" s="12">
        <v>11816</v>
      </c>
      <c r="D10" s="12">
        <v>11408</v>
      </c>
      <c r="E10" s="12">
        <v>9740</v>
      </c>
    </row>
    <row r="11" spans="2:5" x14ac:dyDescent="0.3">
      <c r="B11" s="3" t="s">
        <v>8</v>
      </c>
      <c r="C11" s="13">
        <v>87665</v>
      </c>
      <c r="D11" s="13">
        <v>88151</v>
      </c>
      <c r="E11" s="13">
        <v>95121</v>
      </c>
    </row>
    <row r="12" spans="2:5" x14ac:dyDescent="0.3">
      <c r="B12" s="2" t="s">
        <v>9</v>
      </c>
      <c r="C12" s="12">
        <v>28944</v>
      </c>
      <c r="D12" s="12">
        <v>46751</v>
      </c>
      <c r="E12" s="12">
        <v>69380</v>
      </c>
    </row>
    <row r="13" spans="2:5" x14ac:dyDescent="0.3">
      <c r="B13" t="s">
        <v>10</v>
      </c>
      <c r="C13" s="12">
        <v>-125</v>
      </c>
      <c r="D13" s="12">
        <v>677</v>
      </c>
      <c r="E13" s="12">
        <v>1283</v>
      </c>
    </row>
    <row r="14" spans="2:5" x14ac:dyDescent="0.3">
      <c r="B14" s="5" t="s">
        <v>11</v>
      </c>
      <c r="C14" s="14">
        <v>28819</v>
      </c>
      <c r="D14" s="14">
        <v>47428</v>
      </c>
      <c r="E14" s="14">
        <v>70663</v>
      </c>
    </row>
    <row r="15" spans="2:5" x14ac:dyDescent="0.3">
      <c r="B15" t="s">
        <v>12</v>
      </c>
      <c r="C15" s="12">
        <v>5619</v>
      </c>
      <c r="D15" s="12">
        <v>8330</v>
      </c>
      <c r="E15" s="12">
        <v>8303</v>
      </c>
    </row>
    <row r="16" spans="2:5" ht="15" thickBot="1" x14ac:dyDescent="0.35">
      <c r="B16" s="6" t="s">
        <v>13</v>
      </c>
      <c r="C16" s="15">
        <v>23200</v>
      </c>
      <c r="D16" s="15">
        <v>39098</v>
      </c>
      <c r="E16" s="15">
        <v>62360</v>
      </c>
    </row>
    <row r="17" spans="2:5" ht="15" thickTop="1" x14ac:dyDescent="0.3"/>
    <row r="19" spans="2:5" x14ac:dyDescent="0.3">
      <c r="B19" s="81" t="s">
        <v>14</v>
      </c>
      <c r="C19" s="81"/>
      <c r="D19" s="81"/>
      <c r="E19" s="81"/>
    </row>
    <row r="20" spans="2:5" x14ac:dyDescent="0.3">
      <c r="B20" s="82" t="s">
        <v>15</v>
      </c>
      <c r="C20" s="82"/>
      <c r="D20" s="82"/>
      <c r="E20" s="82"/>
    </row>
    <row r="21" spans="2:5" x14ac:dyDescent="0.3">
      <c r="C21" s="27" t="s">
        <v>48</v>
      </c>
      <c r="D21" s="27" t="s">
        <v>49</v>
      </c>
      <c r="E21" s="27" t="s">
        <v>50</v>
      </c>
    </row>
    <row r="22" spans="2:5" x14ac:dyDescent="0.3">
      <c r="B22" s="2" t="s">
        <v>16</v>
      </c>
    </row>
    <row r="23" spans="2:5" x14ac:dyDescent="0.3">
      <c r="B23" t="s">
        <v>17</v>
      </c>
    </row>
    <row r="24" spans="2:5" x14ac:dyDescent="0.3">
      <c r="B24" s="9" t="s">
        <v>18</v>
      </c>
      <c r="C24" s="12">
        <v>14681</v>
      </c>
      <c r="D24" s="12">
        <v>41862</v>
      </c>
      <c r="E24" s="12">
        <v>43889</v>
      </c>
    </row>
    <row r="25" spans="2:5" x14ac:dyDescent="0.3">
      <c r="B25" s="9" t="s">
        <v>19</v>
      </c>
      <c r="C25" s="12">
        <v>26057</v>
      </c>
      <c r="D25" s="12">
        <v>23541</v>
      </c>
      <c r="E25" s="12">
        <v>33926</v>
      </c>
    </row>
    <row r="26" spans="2:5" x14ac:dyDescent="0.3">
      <c r="B26" s="9" t="s">
        <v>20</v>
      </c>
      <c r="C26" s="12">
        <v>13466</v>
      </c>
      <c r="D26" s="12">
        <v>16169</v>
      </c>
      <c r="E26" s="12">
        <v>16994</v>
      </c>
    </row>
    <row r="27" spans="2:5" ht="15" thickBot="1" x14ac:dyDescent="0.35">
      <c r="B27" s="9" t="s">
        <v>21</v>
      </c>
      <c r="C27" s="12">
        <v>5345</v>
      </c>
      <c r="D27" s="12">
        <v>3793</v>
      </c>
      <c r="E27" s="12">
        <v>5236</v>
      </c>
    </row>
    <row r="28" spans="2:5" x14ac:dyDescent="0.3">
      <c r="B28" s="10" t="s">
        <v>22</v>
      </c>
      <c r="C28" s="17">
        <v>59549</v>
      </c>
      <c r="D28" s="17">
        <v>85365</v>
      </c>
      <c r="E28" s="17">
        <v>100045</v>
      </c>
    </row>
    <row r="29" spans="2:5" x14ac:dyDescent="0.3">
      <c r="B29" t="s">
        <v>23</v>
      </c>
      <c r="C29" s="12">
        <v>6201</v>
      </c>
      <c r="D29" s="12">
        <v>6141</v>
      </c>
      <c r="E29" s="12">
        <v>6070</v>
      </c>
    </row>
    <row r="30" spans="2:5" x14ac:dyDescent="0.3">
      <c r="B30" t="s">
        <v>24</v>
      </c>
      <c r="C30" s="12">
        <v>79518</v>
      </c>
      <c r="D30" s="12">
        <v>96587</v>
      </c>
      <c r="E30" s="12">
        <v>121346</v>
      </c>
    </row>
    <row r="31" spans="2:5" x14ac:dyDescent="0.3">
      <c r="B31" t="s">
        <v>25</v>
      </c>
      <c r="C31" s="12">
        <v>12673</v>
      </c>
      <c r="D31" s="12">
        <v>13294</v>
      </c>
      <c r="E31" s="12">
        <v>14922</v>
      </c>
    </row>
    <row r="32" spans="2:5" x14ac:dyDescent="0.3">
      <c r="B32" t="s">
        <v>26</v>
      </c>
      <c r="C32" s="12">
        <v>20306</v>
      </c>
      <c r="D32" s="12">
        <v>20654</v>
      </c>
      <c r="E32" s="12">
        <v>20654</v>
      </c>
    </row>
    <row r="33" spans="2:5" ht="15" thickBot="1" x14ac:dyDescent="0.35">
      <c r="B33" t="s">
        <v>27</v>
      </c>
      <c r="C33" s="12">
        <v>7480</v>
      </c>
      <c r="D33" s="12">
        <v>7582</v>
      </c>
      <c r="E33" s="12">
        <v>13017</v>
      </c>
    </row>
    <row r="34" spans="2:5" ht="15" thickBot="1" x14ac:dyDescent="0.35">
      <c r="B34" s="11" t="s">
        <v>28</v>
      </c>
      <c r="C34" s="16">
        <v>185727</v>
      </c>
      <c r="D34" s="16">
        <v>229623</v>
      </c>
      <c r="E34" s="16">
        <v>276054</v>
      </c>
    </row>
    <row r="35" spans="2:5" ht="15" thickTop="1" x14ac:dyDescent="0.3">
      <c r="C35" s="7"/>
      <c r="D35" s="7"/>
      <c r="E35" s="7"/>
    </row>
    <row r="36" spans="2:5" x14ac:dyDescent="0.3">
      <c r="B36" s="2" t="s">
        <v>29</v>
      </c>
      <c r="C36" s="7"/>
      <c r="D36" s="7"/>
      <c r="E36" s="7"/>
    </row>
    <row r="37" spans="2:5" x14ac:dyDescent="0.3">
      <c r="B37" t="s">
        <v>30</v>
      </c>
      <c r="C37" s="7"/>
      <c r="D37" s="7"/>
      <c r="E37" s="7"/>
    </row>
    <row r="38" spans="2:5" x14ac:dyDescent="0.3">
      <c r="B38" s="9" t="s">
        <v>31</v>
      </c>
      <c r="C38" s="12">
        <v>4990</v>
      </c>
      <c r="D38" s="12">
        <v>4849</v>
      </c>
      <c r="E38" s="12">
        <v>7687</v>
      </c>
    </row>
    <row r="39" spans="2:5" x14ac:dyDescent="0.3">
      <c r="B39" s="9" t="s">
        <v>32</v>
      </c>
      <c r="C39" s="12">
        <v>1117</v>
      </c>
      <c r="D39" s="12">
        <v>1623</v>
      </c>
      <c r="E39" s="12">
        <v>1942</v>
      </c>
    </row>
    <row r="40" spans="2:5" ht="15" thickBot="1" x14ac:dyDescent="0.35">
      <c r="B40" s="9" t="s">
        <v>33</v>
      </c>
      <c r="C40" s="12">
        <v>1367</v>
      </c>
      <c r="D40" s="12">
        <v>25488</v>
      </c>
      <c r="E40" s="12">
        <v>23967</v>
      </c>
    </row>
    <row r="41" spans="2:5" x14ac:dyDescent="0.3">
      <c r="B41" s="10" t="s">
        <v>34</v>
      </c>
      <c r="C41" s="17">
        <v>19552</v>
      </c>
      <c r="D41" s="17">
        <v>31960</v>
      </c>
      <c r="E41" s="17">
        <v>33596</v>
      </c>
    </row>
    <row r="42" spans="2:5" x14ac:dyDescent="0.3">
      <c r="B42" t="s">
        <v>35</v>
      </c>
      <c r="C42" s="12">
        <v>27026</v>
      </c>
      <c r="D42" s="12">
        <v>17226</v>
      </c>
      <c r="E42" s="12">
        <v>18292</v>
      </c>
    </row>
    <row r="43" spans="2:5" x14ac:dyDescent="0.3">
      <c r="B43" t="s">
        <v>36</v>
      </c>
      <c r="C43" s="12">
        <v>15301</v>
      </c>
      <c r="D43" s="12">
        <v>18385</v>
      </c>
      <c r="E43" s="12">
        <v>28826</v>
      </c>
    </row>
    <row r="44" spans="2:5" x14ac:dyDescent="0.3">
      <c r="B44" t="s">
        <v>37</v>
      </c>
      <c r="C44" s="12">
        <v>9923</v>
      </c>
      <c r="D44" s="12">
        <v>7514</v>
      </c>
      <c r="E44" s="12">
        <v>9987</v>
      </c>
    </row>
    <row r="45" spans="2:5" ht="15" thickBot="1" x14ac:dyDescent="0.35">
      <c r="B45" t="s">
        <v>38</v>
      </c>
      <c r="C45" s="12">
        <v>7764</v>
      </c>
      <c r="D45" s="12">
        <v>1370</v>
      </c>
      <c r="E45" s="12">
        <v>2716</v>
      </c>
    </row>
    <row r="46" spans="2:5" x14ac:dyDescent="0.3">
      <c r="B46" s="10" t="s">
        <v>39</v>
      </c>
      <c r="C46" s="17">
        <v>60014</v>
      </c>
      <c r="D46" s="17">
        <v>76455</v>
      </c>
      <c r="E46" s="17">
        <v>93417</v>
      </c>
    </row>
    <row r="47" spans="2:5" x14ac:dyDescent="0.3">
      <c r="B47" t="s">
        <v>40</v>
      </c>
      <c r="C47" s="7"/>
      <c r="D47" s="7"/>
      <c r="E47" s="7"/>
    </row>
    <row r="48" spans="2:5" x14ac:dyDescent="0.3">
      <c r="B48" t="s">
        <v>41</v>
      </c>
      <c r="C48" s="7"/>
      <c r="D48" s="7"/>
      <c r="E48" s="7"/>
    </row>
    <row r="49" spans="2:5" x14ac:dyDescent="0.3">
      <c r="B49" s="9" t="s">
        <v>42</v>
      </c>
      <c r="C49" s="12">
        <v>64444</v>
      </c>
      <c r="D49" s="12">
        <v>73253</v>
      </c>
      <c r="E49" s="12">
        <v>83228</v>
      </c>
    </row>
    <row r="50" spans="2:5" x14ac:dyDescent="0.3">
      <c r="B50" s="9" t="s">
        <v>43</v>
      </c>
      <c r="C50" s="12">
        <v>-3530</v>
      </c>
      <c r="D50" s="12">
        <v>-2155</v>
      </c>
      <c r="E50" s="12">
        <v>-3097</v>
      </c>
    </row>
    <row r="51" spans="2:5" ht="15" thickBot="1" x14ac:dyDescent="0.35">
      <c r="B51" s="9" t="s">
        <v>44</v>
      </c>
      <c r="C51" s="12">
        <v>64799</v>
      </c>
      <c r="D51" s="12">
        <v>82070</v>
      </c>
      <c r="E51" s="12">
        <v>102506</v>
      </c>
    </row>
    <row r="52" spans="2:5" ht="15" thickBot="1" x14ac:dyDescent="0.35">
      <c r="B52" s="10" t="s">
        <v>45</v>
      </c>
      <c r="C52" s="17">
        <v>125713</v>
      </c>
      <c r="D52" s="17">
        <v>153168</v>
      </c>
      <c r="E52" s="17">
        <v>182637</v>
      </c>
    </row>
    <row r="53" spans="2:5" ht="15" thickBot="1" x14ac:dyDescent="0.35">
      <c r="B53" s="11" t="s">
        <v>46</v>
      </c>
      <c r="C53" s="16">
        <v>185727</v>
      </c>
      <c r="D53" s="16">
        <v>229623</v>
      </c>
      <c r="E53" s="16">
        <v>276054</v>
      </c>
    </row>
    <row r="54" spans="2:5" ht="15" thickTop="1" x14ac:dyDescent="0.3"/>
  </sheetData>
  <mergeCells count="4">
    <mergeCell ref="B2:E2"/>
    <mergeCell ref="B3:E3"/>
    <mergeCell ref="B19:E19"/>
    <mergeCell ref="B20:E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004D-1958-4E0E-84EE-DBE9471D647E}">
  <dimension ref="B2:J18"/>
  <sheetViews>
    <sheetView showGridLines="0" workbookViewId="0">
      <selection activeCell="N9" sqref="N9"/>
    </sheetView>
  </sheetViews>
  <sheetFormatPr defaultRowHeight="14.4" x14ac:dyDescent="0.3"/>
  <cols>
    <col min="1" max="1" width="1.88671875" customWidth="1"/>
    <col min="2" max="2" width="25.5546875" customWidth="1"/>
    <col min="7" max="7" width="10.6640625" customWidth="1"/>
  </cols>
  <sheetData>
    <row r="2" spans="2:10" ht="21" x14ac:dyDescent="0.4">
      <c r="B2" s="83" t="s">
        <v>55</v>
      </c>
      <c r="C2" s="83"/>
      <c r="D2" s="83"/>
      <c r="E2" s="83"/>
      <c r="F2" s="83"/>
      <c r="G2" s="83"/>
      <c r="H2" s="83"/>
      <c r="I2" s="83"/>
      <c r="J2" s="83"/>
    </row>
    <row r="3" spans="2:10" x14ac:dyDescent="0.3">
      <c r="B3" s="84" t="str">
        <f>'Meta 10k Report '!B3:E3</f>
        <v>(In millions, except per share amounts)</v>
      </c>
      <c r="C3" s="84"/>
      <c r="D3" s="84"/>
      <c r="E3" s="84"/>
      <c r="F3" s="84"/>
      <c r="G3" s="84"/>
      <c r="H3" s="84"/>
      <c r="I3" s="84"/>
      <c r="J3" s="84"/>
    </row>
    <row r="4" spans="2:10" x14ac:dyDescent="0.3">
      <c r="C4" s="26" t="str">
        <f>'Meta 10k Report '!C4</f>
        <v>2022A</v>
      </c>
      <c r="D4" s="26" t="str">
        <f>'Meta 10k Report '!D4</f>
        <v>2023A</v>
      </c>
      <c r="E4" s="26" t="str">
        <f>'Meta 10k Report '!E4</f>
        <v>2024A</v>
      </c>
      <c r="F4" s="26">
        <v>2025</v>
      </c>
      <c r="G4" s="26">
        <v>2026</v>
      </c>
      <c r="H4" s="26">
        <v>2027</v>
      </c>
      <c r="I4" s="26">
        <v>2028</v>
      </c>
      <c r="J4" s="26">
        <v>2029</v>
      </c>
    </row>
    <row r="5" spans="2:10" ht="15" thickBot="1" x14ac:dyDescent="0.35">
      <c r="B5" s="20" t="s">
        <v>1</v>
      </c>
      <c r="C5" s="21">
        <f>SUM(C8,C11,C14,C17)</f>
        <v>116609</v>
      </c>
      <c r="D5" s="21">
        <f t="shared" ref="D5:J5" si="0">SUM(D8,D11,D14,D17)</f>
        <v>134902</v>
      </c>
      <c r="E5" s="21">
        <f t="shared" si="0"/>
        <v>164501</v>
      </c>
      <c r="F5" s="21">
        <f t="shared" si="0"/>
        <v>196325.47733076054</v>
      </c>
      <c r="G5" s="21">
        <f t="shared" si="0"/>
        <v>233965.89210598916</v>
      </c>
      <c r="H5" s="21">
        <f t="shared" si="0"/>
        <v>278506.6714096716</v>
      </c>
      <c r="I5" s="21">
        <f t="shared" si="0"/>
        <v>331050.85568293021</v>
      </c>
      <c r="J5" s="21">
        <f t="shared" si="0"/>
        <v>392834.1872434598</v>
      </c>
    </row>
    <row r="6" spans="2:10" ht="15" thickTop="1" x14ac:dyDescent="0.3">
      <c r="B6" s="22" t="s">
        <v>51</v>
      </c>
      <c r="C6" s="23"/>
      <c r="D6" s="24">
        <f>D5/C5-1</f>
        <v>0.15687468377226454</v>
      </c>
      <c r="E6" s="24">
        <f t="shared" ref="E6:J6" si="1">E5/D5-1</f>
        <v>0.21941112807816054</v>
      </c>
      <c r="F6" s="24">
        <f t="shared" si="1"/>
        <v>0.19346069221926032</v>
      </c>
      <c r="G6" s="24">
        <f t="shared" si="1"/>
        <v>0.19172455499402008</v>
      </c>
      <c r="H6" s="24">
        <f t="shared" si="1"/>
        <v>0.19037295950601618</v>
      </c>
      <c r="I6" s="24">
        <f t="shared" si="1"/>
        <v>0.18866400581107912</v>
      </c>
      <c r="J6" s="24">
        <f t="shared" si="1"/>
        <v>0.18662791682889845</v>
      </c>
    </row>
    <row r="7" spans="2:10" x14ac:dyDescent="0.3">
      <c r="C7" s="19"/>
      <c r="D7" s="19"/>
      <c r="E7" s="19"/>
      <c r="F7" s="19"/>
      <c r="G7" s="19"/>
      <c r="H7" s="19"/>
      <c r="I7" s="19"/>
      <c r="J7" s="19"/>
    </row>
    <row r="8" spans="2:10" x14ac:dyDescent="0.3">
      <c r="B8" t="s">
        <v>47</v>
      </c>
      <c r="C8" s="19">
        <v>50150</v>
      </c>
      <c r="D8" s="19">
        <v>52888</v>
      </c>
      <c r="E8" s="19">
        <v>63207</v>
      </c>
      <c r="F8" s="19">
        <f>E8*(1+F9)</f>
        <v>71098.603588334605</v>
      </c>
      <c r="G8" s="19">
        <f t="shared" ref="G8:J8" si="2">F8*(1+G9)</f>
        <v>79975.500058714155</v>
      </c>
      <c r="H8" s="19">
        <f t="shared" si="2"/>
        <v>89960.706495377861</v>
      </c>
      <c r="I8" s="19">
        <f t="shared" si="2"/>
        <v>101192.5990735423</v>
      </c>
      <c r="J8" s="19">
        <f t="shared" si="2"/>
        <v>113826.83069285141</v>
      </c>
    </row>
    <row r="9" spans="2:10" x14ac:dyDescent="0.3">
      <c r="B9" s="22" t="s">
        <v>51</v>
      </c>
      <c r="C9" s="25"/>
      <c r="D9" s="24">
        <f>D8/C8-1</f>
        <v>5.4596211365902203E-2</v>
      </c>
      <c r="E9" s="24">
        <f>E8/D8-1</f>
        <v>0.1951104220238995</v>
      </c>
      <c r="F9" s="24">
        <f>AVERAGE($D$9:$E$9)</f>
        <v>0.12485331669490085</v>
      </c>
      <c r="G9" s="24">
        <f t="shared" ref="G9:J9" si="3">AVERAGE($D$9:$E$9)</f>
        <v>0.12485331669490085</v>
      </c>
      <c r="H9" s="24">
        <f t="shared" si="3"/>
        <v>0.12485331669490085</v>
      </c>
      <c r="I9" s="24">
        <f t="shared" si="3"/>
        <v>0.12485331669490085</v>
      </c>
      <c r="J9" s="24">
        <f t="shared" si="3"/>
        <v>0.12485331669490085</v>
      </c>
    </row>
    <row r="10" spans="2:10" x14ac:dyDescent="0.3">
      <c r="C10" s="8"/>
      <c r="D10" s="8"/>
      <c r="E10" s="8"/>
      <c r="F10" s="8"/>
      <c r="G10" s="8"/>
      <c r="H10" s="8"/>
      <c r="I10" s="8"/>
      <c r="J10" s="8"/>
    </row>
    <row r="11" spans="2:10" x14ac:dyDescent="0.3">
      <c r="B11" t="s">
        <v>52</v>
      </c>
      <c r="C11" s="19">
        <v>26681</v>
      </c>
      <c r="D11" s="19">
        <v>31210</v>
      </c>
      <c r="E11" s="19">
        <v>38361</v>
      </c>
      <c r="F11" s="19">
        <f>E11*(1+F12)</f>
        <v>46011.555606408612</v>
      </c>
      <c r="G11" s="19">
        <f t="shared" ref="G11" si="4">F11*(1+G12)</f>
        <v>54957.84788974595</v>
      </c>
      <c r="H11" s="19">
        <f t="shared" ref="H11" si="5">G11*(1+H12)</f>
        <v>65368.830170188645</v>
      </c>
      <c r="I11" s="19">
        <f t="shared" ref="I11" si="6">H11*(1+I12)</f>
        <v>77425.180753607492</v>
      </c>
      <c r="J11" s="19">
        <f t="shared" ref="J11" si="7">I11*(1+J12)</f>
        <v>91318.027747010405</v>
      </c>
    </row>
    <row r="12" spans="2:10" x14ac:dyDescent="0.3">
      <c r="B12" s="22" t="s">
        <v>51</v>
      </c>
      <c r="C12" s="25"/>
      <c r="D12" s="24">
        <f>D11/C11-1</f>
        <v>0.16974626138450577</v>
      </c>
      <c r="E12" s="24">
        <f>E11/D11-1</f>
        <v>0.22912528035885926</v>
      </c>
      <c r="F12" s="24">
        <f>AVERAGE(D12:E12)</f>
        <v>0.19943577087168252</v>
      </c>
      <c r="G12" s="24">
        <f>F12-0.5%</f>
        <v>0.19443577087168251</v>
      </c>
      <c r="H12" s="24">
        <f t="shared" ref="H12:J12" si="8">G12-0.5%</f>
        <v>0.18943577087168251</v>
      </c>
      <c r="I12" s="24">
        <f t="shared" si="8"/>
        <v>0.1844357708716825</v>
      </c>
      <c r="J12" s="24">
        <f t="shared" si="8"/>
        <v>0.1794357708716825</v>
      </c>
    </row>
    <row r="13" spans="2:10" x14ac:dyDescent="0.3">
      <c r="C13" s="8"/>
      <c r="D13" s="8"/>
      <c r="E13" s="8"/>
      <c r="F13" s="8"/>
      <c r="G13" s="8"/>
      <c r="H13" s="8"/>
      <c r="I13" s="8"/>
      <c r="J13" s="8"/>
    </row>
    <row r="14" spans="2:10" x14ac:dyDescent="0.3">
      <c r="B14" t="s">
        <v>53</v>
      </c>
      <c r="C14" s="19">
        <v>27760</v>
      </c>
      <c r="D14" s="19">
        <v>36154</v>
      </c>
      <c r="E14" s="19">
        <v>45009</v>
      </c>
      <c r="F14" s="19">
        <f>E14*(1+F15)</f>
        <v>57325.758113230091</v>
      </c>
      <c r="G14" s="19">
        <f t="shared" ref="G14" si="9">F14*(1+G15)</f>
        <v>72497.077647454949</v>
      </c>
      <c r="H14" s="19">
        <f t="shared" ref="H14" si="10">G14*(1+H15)</f>
        <v>91248.519687541338</v>
      </c>
      <c r="I14" s="19">
        <f t="shared" ref="I14" si="11">H14*(1+I15)</f>
        <v>114302.54995052901</v>
      </c>
      <c r="J14" s="19">
        <f t="shared" ref="J14" si="12">I14*(1+J15)</f>
        <v>142495.38884400664</v>
      </c>
    </row>
    <row r="15" spans="2:10" x14ac:dyDescent="0.3">
      <c r="B15" s="22" t="s">
        <v>51</v>
      </c>
      <c r="C15" s="25"/>
      <c r="D15" s="24">
        <f>D14/C14-1</f>
        <v>0.30237752161383291</v>
      </c>
      <c r="E15" s="24">
        <f>E14/D14-1</f>
        <v>0.24492448968302272</v>
      </c>
      <c r="F15" s="24">
        <f>AVERAGE(D15:E15)</f>
        <v>0.27365100564842781</v>
      </c>
      <c r="G15" s="24">
        <f>F15-0.9%</f>
        <v>0.26465100564842781</v>
      </c>
      <c r="H15" s="24">
        <f t="shared" ref="H15:J15" si="13">G15-0.6%</f>
        <v>0.2586510056484278</v>
      </c>
      <c r="I15" s="24">
        <f t="shared" si="13"/>
        <v>0.2526510056484278</v>
      </c>
      <c r="J15" s="24">
        <f t="shared" si="13"/>
        <v>0.24665100564842779</v>
      </c>
    </row>
    <row r="16" spans="2:10" x14ac:dyDescent="0.3">
      <c r="C16" s="8"/>
      <c r="D16" s="8"/>
      <c r="E16" s="8"/>
      <c r="F16" s="8"/>
      <c r="G16" s="8"/>
      <c r="H16" s="8"/>
      <c r="I16" s="8"/>
      <c r="J16" s="8"/>
    </row>
    <row r="17" spans="2:10" x14ac:dyDescent="0.3">
      <c r="B17" t="s">
        <v>54</v>
      </c>
      <c r="C17" s="19">
        <v>12018</v>
      </c>
      <c r="D17" s="19">
        <v>14650</v>
      </c>
      <c r="E17" s="19">
        <v>17924</v>
      </c>
      <c r="F17" s="19">
        <f>E17*(1+F18)</f>
        <v>21889.560022787209</v>
      </c>
      <c r="G17" s="19">
        <f t="shared" ref="G17" si="14">F17*(1+G18)</f>
        <v>26535.466510074093</v>
      </c>
      <c r="H17" s="19">
        <f t="shared" ref="H17" si="15">G17*(1+H18)</f>
        <v>31928.61505656374</v>
      </c>
      <c r="I17" s="19">
        <f t="shared" ref="I17" si="16">H17*(1+I18)</f>
        <v>38130.525905251365</v>
      </c>
      <c r="J17" s="19">
        <f t="shared" ref="J17" si="17">I17*(1+J18)</f>
        <v>45193.939959591393</v>
      </c>
    </row>
    <row r="18" spans="2:10" x14ac:dyDescent="0.3">
      <c r="B18" s="22" t="s">
        <v>51</v>
      </c>
      <c r="C18" s="25"/>
      <c r="D18" s="24">
        <f>D17/C17-1</f>
        <v>0.21900482609419214</v>
      </c>
      <c r="E18" s="24">
        <f>E17/D17-1</f>
        <v>0.22348122866894204</v>
      </c>
      <c r="F18" s="24">
        <f>AVERAGE(D18:E18)</f>
        <v>0.22124302738156709</v>
      </c>
      <c r="G18" s="24">
        <f>F18-0.9%</f>
        <v>0.21224302738156708</v>
      </c>
      <c r="H18" s="24">
        <f t="shared" ref="H18:J18" si="18">G18-0.9%</f>
        <v>0.20324302738156708</v>
      </c>
      <c r="I18" s="24">
        <f t="shared" si="18"/>
        <v>0.19424302738156707</v>
      </c>
      <c r="J18" s="24">
        <f t="shared" si="18"/>
        <v>0.18524302738156706</v>
      </c>
    </row>
  </sheetData>
  <mergeCells count="2">
    <mergeCell ref="B2:J2"/>
    <mergeCell ref="B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A508-DA89-474B-9CFC-FCBC639C70A5}">
  <dimension ref="B2:L27"/>
  <sheetViews>
    <sheetView showGridLines="0" topLeftCell="A2" workbookViewId="0">
      <selection activeCell="C21" sqref="C21"/>
    </sheetView>
  </sheetViews>
  <sheetFormatPr defaultRowHeight="14.4" x14ac:dyDescent="0.3"/>
  <cols>
    <col min="1" max="1" width="1.88671875" customWidth="1"/>
    <col min="2" max="2" width="32.21875" customWidth="1"/>
    <col min="6" max="6" width="9" customWidth="1"/>
  </cols>
  <sheetData>
    <row r="2" spans="2:10" ht="21" x14ac:dyDescent="0.4">
      <c r="B2" s="85" t="s">
        <v>56</v>
      </c>
      <c r="C2" s="85"/>
      <c r="D2" s="85"/>
      <c r="E2" s="85"/>
      <c r="F2" s="85"/>
      <c r="G2" s="85"/>
      <c r="H2" s="85"/>
      <c r="I2" s="85"/>
      <c r="J2" s="85"/>
    </row>
    <row r="3" spans="2:10" x14ac:dyDescent="0.3">
      <c r="B3" s="86" t="str">
        <f>'Revenue Sources'!B3:J3</f>
        <v>(In millions, except per share amounts)</v>
      </c>
      <c r="C3" s="86"/>
      <c r="D3" s="86"/>
      <c r="E3" s="86"/>
      <c r="F3" s="86"/>
      <c r="G3" s="86"/>
      <c r="H3" s="86"/>
      <c r="I3" s="86"/>
      <c r="J3" s="86"/>
    </row>
    <row r="4" spans="2:10" x14ac:dyDescent="0.3">
      <c r="C4" s="46" t="str">
        <f>'Revenue Sources'!C4</f>
        <v>2022A</v>
      </c>
      <c r="D4" s="46" t="str">
        <f>'Revenue Sources'!D4</f>
        <v>2023A</v>
      </c>
      <c r="E4" s="46" t="str">
        <f>'Revenue Sources'!E4</f>
        <v>2024A</v>
      </c>
      <c r="F4" s="32">
        <f>'Revenue Sources'!F4</f>
        <v>2025</v>
      </c>
      <c r="G4" s="32">
        <f>'Revenue Sources'!G4</f>
        <v>2026</v>
      </c>
      <c r="H4" s="32">
        <f>'Revenue Sources'!H4</f>
        <v>2027</v>
      </c>
      <c r="I4" s="32">
        <f>'Revenue Sources'!I4</f>
        <v>2028</v>
      </c>
      <c r="J4" s="32">
        <f>'Revenue Sources'!J4</f>
        <v>2029</v>
      </c>
    </row>
    <row r="5" spans="2:10" x14ac:dyDescent="0.3">
      <c r="B5" t="s">
        <v>57</v>
      </c>
      <c r="C5" s="1">
        <f>'Meta 10k Report '!C7-Schedules!C7</f>
        <v>16563</v>
      </c>
      <c r="D5" s="1">
        <f>'Meta 10k Report '!D7-Schedules!D7</f>
        <v>14781</v>
      </c>
      <c r="E5" s="1">
        <f>'Meta 10k Report '!E7-Schedules!E7</f>
        <v>14663</v>
      </c>
      <c r="F5" s="1">
        <f>'Revenue Sources'!F5*'Other Items'!F6</f>
        <v>16321.761266026448</v>
      </c>
      <c r="G5" s="1">
        <f>'Revenue Sources'!G5*'Other Items'!G6</f>
        <v>18047.248328838064</v>
      </c>
      <c r="H5" s="1">
        <f>'Revenue Sources'!H5*'Other Items'!H6</f>
        <v>19811.916375680943</v>
      </c>
      <c r="I5" s="1">
        <f>'Revenue Sources'!I5*'Other Items'!I6</f>
        <v>21563.406747813446</v>
      </c>
      <c r="J5" s="1">
        <f>'Revenue Sources'!J5*'Other Items'!J6</f>
        <v>23230.735305431324</v>
      </c>
    </row>
    <row r="6" spans="2:10" x14ac:dyDescent="0.3">
      <c r="B6" t="s">
        <v>58</v>
      </c>
      <c r="C6" s="18">
        <f>C5/'Revenue Sources'!C5</f>
        <v>0.14203877916798874</v>
      </c>
      <c r="D6" s="18">
        <f>D5/'Revenue Sources'!D5</f>
        <v>0.10956842745103854</v>
      </c>
      <c r="E6" s="18">
        <f>E5/'Revenue Sources'!E5</f>
        <v>8.913623625388295E-2</v>
      </c>
      <c r="F6" s="30">
        <f>E6-0.6%</f>
        <v>8.3136236253882945E-2</v>
      </c>
      <c r="G6" s="30">
        <f t="shared" ref="G6:J6" si="0">F6-0.6%</f>
        <v>7.7136236253882939E-2</v>
      </c>
      <c r="H6" s="30">
        <f t="shared" si="0"/>
        <v>7.1136236253882934E-2</v>
      </c>
      <c r="I6" s="30">
        <f t="shared" si="0"/>
        <v>6.5136236253882929E-2</v>
      </c>
      <c r="J6" s="30">
        <f t="shared" si="0"/>
        <v>5.913623625388293E-2</v>
      </c>
    </row>
    <row r="8" spans="2:10" x14ac:dyDescent="0.3">
      <c r="B8" t="str">
        <f>'Meta 10k Report '!B8</f>
        <v>Research and development</v>
      </c>
      <c r="C8" s="1">
        <f>'Meta 10k Report '!C8</f>
        <v>35338</v>
      </c>
      <c r="D8" s="1">
        <f>'Meta 10k Report '!D8</f>
        <v>38483</v>
      </c>
      <c r="E8" s="1">
        <f>'Meta 10k Report '!E8</f>
        <v>43873</v>
      </c>
      <c r="F8" s="1">
        <f>'Revenue Sources'!F5*'Other Items'!F9</f>
        <v>50397.446176428006</v>
      </c>
      <c r="G8" s="1">
        <f>'Revenue Sources'!G5*'Other Items'!G9</f>
        <v>57720.215196378842</v>
      </c>
      <c r="H8" s="1">
        <f>'Revenue Sources'!H5*'Other Items'!H9</f>
        <v>65923.516672540893</v>
      </c>
      <c r="I8" s="1">
        <f>'Revenue Sources'!I5*'Other Items'!I9</f>
        <v>75050.402848306621</v>
      </c>
      <c r="J8" s="1">
        <f>'Revenue Sources'!J5*'Other Items'!J9</f>
        <v>85128.561316621126</v>
      </c>
    </row>
    <row r="9" spans="2:10" x14ac:dyDescent="0.3">
      <c r="B9" t="s">
        <v>58</v>
      </c>
      <c r="C9" s="18">
        <f>C8/'Revenue Sources'!C5</f>
        <v>0.30304693462768739</v>
      </c>
      <c r="D9" s="18">
        <f>D8/'Revenue Sources'!D5</f>
        <v>0.28526634149234259</v>
      </c>
      <c r="E9" s="18">
        <f>E8/'Revenue Sources'!E5</f>
        <v>0.26670354587510109</v>
      </c>
      <c r="F9" s="30">
        <f>E9-1%</f>
        <v>0.25670354587510108</v>
      </c>
      <c r="G9" s="30">
        <f t="shared" ref="G9:J9" si="1">F9-1%</f>
        <v>0.24670354587510107</v>
      </c>
      <c r="H9" s="30">
        <f t="shared" si="1"/>
        <v>0.23670354587510106</v>
      </c>
      <c r="I9" s="30">
        <f t="shared" si="1"/>
        <v>0.22670354587510105</v>
      </c>
      <c r="J9" s="30">
        <f t="shared" si="1"/>
        <v>0.21670354587510104</v>
      </c>
    </row>
    <row r="11" spans="2:10" x14ac:dyDescent="0.3">
      <c r="B11" t="str">
        <f>'Meta 10k Report '!B9</f>
        <v>Marketing and sales</v>
      </c>
      <c r="C11" s="1">
        <f>'Meta 10k Report '!C9</f>
        <v>15262</v>
      </c>
      <c r="D11" s="1">
        <f>'Meta 10k Report '!D9</f>
        <v>12301</v>
      </c>
      <c r="E11" s="1">
        <f>'Meta 10k Report '!E9</f>
        <v>11347</v>
      </c>
      <c r="F11" s="1">
        <f>'Revenue Sources'!F5*'Other Items'!F12</f>
        <v>11578.943701304341</v>
      </c>
      <c r="G11" s="1">
        <f>'Revenue Sources'!G5*'Other Items'!G12</f>
        <v>13798.911529737725</v>
      </c>
      <c r="H11" s="1">
        <f>'Revenue Sources'!H5*'Other Items'!H12</f>
        <v>16425.851155615586</v>
      </c>
      <c r="I11" s="1">
        <f>'Revenue Sources'!I5*'Other Items'!I12</f>
        <v>19524.818033490566</v>
      </c>
      <c r="J11" s="1">
        <f>'Revenue Sources'!J5*'Other Items'!J12</f>
        <v>23168.694149544222</v>
      </c>
    </row>
    <row r="12" spans="2:10" x14ac:dyDescent="0.3">
      <c r="B12" t="s">
        <v>58</v>
      </c>
      <c r="C12" s="18">
        <f>C11/'Revenue Sources'!C5</f>
        <v>0.13088183587887728</v>
      </c>
      <c r="D12" s="18">
        <f>D11/'Revenue Sources'!D5</f>
        <v>9.118471186490934E-2</v>
      </c>
      <c r="E12" s="18">
        <f>E11/'Revenue Sources'!E5</f>
        <v>6.8978304083257849E-2</v>
      </c>
      <c r="F12" s="30">
        <f>E12-1%</f>
        <v>5.8978304083257847E-2</v>
      </c>
      <c r="G12" s="30">
        <f>$F$12</f>
        <v>5.8978304083257847E-2</v>
      </c>
      <c r="H12" s="30">
        <f t="shared" ref="H12:J12" si="2">$F$12</f>
        <v>5.8978304083257847E-2</v>
      </c>
      <c r="I12" s="30">
        <f t="shared" si="2"/>
        <v>5.8978304083257847E-2</v>
      </c>
      <c r="J12" s="30">
        <f t="shared" si="2"/>
        <v>5.8978304083257847E-2</v>
      </c>
    </row>
    <row r="14" spans="2:10" x14ac:dyDescent="0.3">
      <c r="B14" t="str">
        <f>'Meta 10k Report '!B10</f>
        <v>General and administrative</v>
      </c>
      <c r="C14" s="1">
        <f>'Meta 10k Report '!C10</f>
        <v>11816</v>
      </c>
      <c r="D14" s="1">
        <f>'Meta 10k Report '!D10</f>
        <v>11408</v>
      </c>
      <c r="E14" s="1">
        <f>'Meta 10k Report '!E10</f>
        <v>9740</v>
      </c>
      <c r="F14" s="1">
        <f>'Revenue Sources'!F5*'Other Items'!F15</f>
        <v>11624.307142215595</v>
      </c>
      <c r="G14" s="1">
        <f>'Revenue Sources'!G5*'Other Items'!G15</f>
        <v>13852.972256170689</v>
      </c>
      <c r="H14" s="1">
        <f>'Revenue Sources'!H5*'Other Items'!H15</f>
        <v>16490.203582532638</v>
      </c>
      <c r="I14" s="1">
        <f>'Revenue Sources'!I5*'Other Items'!I15</f>
        <v>19601.311447053457</v>
      </c>
      <c r="J14" s="1">
        <f>'Revenue Sources'!J5*'Other Items'!J15</f>
        <v>23259.463369531484</v>
      </c>
    </row>
    <row r="15" spans="2:10" x14ac:dyDescent="0.3">
      <c r="B15" t="s">
        <v>58</v>
      </c>
      <c r="C15" s="18">
        <f>C14/'Revenue Sources'!C5</f>
        <v>0.10133008601394404</v>
      </c>
      <c r="D15" s="18">
        <f>D14/'Revenue Sources'!D5</f>
        <v>8.4565091696194278E-2</v>
      </c>
      <c r="E15" s="18">
        <f>E14/'Revenue Sources'!E5</f>
        <v>5.9209366508410285E-2</v>
      </c>
      <c r="F15" s="30">
        <f>$E$15</f>
        <v>5.9209366508410285E-2</v>
      </c>
      <c r="G15" s="30">
        <f t="shared" ref="G15:J15" si="3">$E$15</f>
        <v>5.9209366508410285E-2</v>
      </c>
      <c r="H15" s="30">
        <f t="shared" si="3"/>
        <v>5.9209366508410285E-2</v>
      </c>
      <c r="I15" s="30">
        <f t="shared" si="3"/>
        <v>5.9209366508410285E-2</v>
      </c>
      <c r="J15" s="30">
        <f t="shared" si="3"/>
        <v>5.9209366508410285E-2</v>
      </c>
    </row>
    <row r="17" spans="2:12" x14ac:dyDescent="0.3">
      <c r="B17" t="s">
        <v>59</v>
      </c>
      <c r="C17" s="1">
        <f>'Meta 10k Report '!C27</f>
        <v>5345</v>
      </c>
      <c r="D17" s="1">
        <f>'Meta 10k Report '!D27</f>
        <v>3793</v>
      </c>
      <c r="E17" s="1">
        <f>'Meta 10k Report '!E27</f>
        <v>5236</v>
      </c>
      <c r="F17" s="1">
        <f>'Revenue Sources'!F5*'Other Items'!F18</f>
        <v>4285.7054111524412</v>
      </c>
      <c r="G17" s="1">
        <f>'Revenue Sources'!G5*'Other Items'!G18</f>
        <v>2767.7214528812151</v>
      </c>
      <c r="H17" s="1">
        <f>'Revenue Sources'!H5*'Other Items'!H18</f>
        <v>509.55406285778724</v>
      </c>
      <c r="I17" s="1">
        <f>'Revenue Sources'!I5*'Other Items'!I18</f>
        <v>-2704.8199832954542</v>
      </c>
      <c r="J17" s="1">
        <f>'Revenue Sources'!J5*'Other Items'!J18</f>
        <v>-7137.9567746096591</v>
      </c>
    </row>
    <row r="18" spans="2:12" x14ac:dyDescent="0.3">
      <c r="B18" t="s">
        <v>58</v>
      </c>
      <c r="C18" s="18">
        <f>C17/'Revenue Sources'!C5</f>
        <v>4.5836942260031384E-2</v>
      </c>
      <c r="D18" s="18">
        <f>D17/'Revenue Sources'!D5</f>
        <v>2.8116706942817749E-2</v>
      </c>
      <c r="E18" s="18">
        <f>E17/'Revenue Sources'!E5</f>
        <v>3.1829593741071485E-2</v>
      </c>
      <c r="F18" s="30">
        <f>E18-1%</f>
        <v>2.1829593741071483E-2</v>
      </c>
      <c r="G18" s="30">
        <f t="shared" ref="G18:J18" si="4">F18-1%</f>
        <v>1.1829593741071483E-2</v>
      </c>
      <c r="H18" s="30">
        <f t="shared" si="4"/>
        <v>1.8295937410714828E-3</v>
      </c>
      <c r="I18" s="30">
        <f t="shared" si="4"/>
        <v>-8.1704062589285174E-3</v>
      </c>
      <c r="J18" s="30">
        <f t="shared" si="4"/>
        <v>-1.8170406258928518E-2</v>
      </c>
    </row>
    <row r="20" spans="2:12" x14ac:dyDescent="0.3">
      <c r="B20" t="s">
        <v>60</v>
      </c>
      <c r="C20" s="1">
        <f>'Meta 10k Report '!C38</f>
        <v>4990</v>
      </c>
      <c r="D20" s="1">
        <f>'Meta 10k Report '!D38</f>
        <v>4849</v>
      </c>
      <c r="E20" s="1">
        <f>'Meta 10k Report '!E38</f>
        <v>7687</v>
      </c>
      <c r="F20" s="1">
        <f>F5*F21/365</f>
        <v>6276.1247602005315</v>
      </c>
      <c r="G20" s="1">
        <f t="shared" ref="G20:J20" si="5">G5*G21/365</f>
        <v>6939.6176211614911</v>
      </c>
      <c r="H20" s="1">
        <f t="shared" si="5"/>
        <v>7618.1765488293267</v>
      </c>
      <c r="I20" s="1">
        <f t="shared" si="5"/>
        <v>8291.6683315252631</v>
      </c>
      <c r="J20" s="1">
        <f t="shared" si="5"/>
        <v>8932.7977950247969</v>
      </c>
    </row>
    <row r="21" spans="2:12" x14ac:dyDescent="0.3">
      <c r="B21" t="s">
        <v>62</v>
      </c>
      <c r="C21" s="29">
        <f>(C20/C5)*365</f>
        <v>109.96498218921693</v>
      </c>
      <c r="D21" s="29">
        <f t="shared" ref="D21:E21" si="6">(D20/D5)*365</f>
        <v>119.74054529463501</v>
      </c>
      <c r="E21" s="29">
        <f t="shared" si="6"/>
        <v>191.34931460137761</v>
      </c>
      <c r="F21" s="31">
        <f>AVERAGE($C$21:$E$21)</f>
        <v>140.35161402840984</v>
      </c>
      <c r="G21" s="31">
        <f t="shared" ref="G21:J21" si="7">AVERAGE($C$21:$E$21)</f>
        <v>140.35161402840984</v>
      </c>
      <c r="H21" s="31">
        <f t="shared" si="7"/>
        <v>140.35161402840984</v>
      </c>
      <c r="I21" s="31">
        <f t="shared" si="7"/>
        <v>140.35161402840984</v>
      </c>
      <c r="J21" s="31">
        <f t="shared" si="7"/>
        <v>140.35161402840984</v>
      </c>
    </row>
    <row r="23" spans="2:12" x14ac:dyDescent="0.3">
      <c r="B23" t="s">
        <v>61</v>
      </c>
      <c r="C23" s="1">
        <f>'Meta 10k Report '!C40</f>
        <v>1367</v>
      </c>
      <c r="D23" s="1">
        <f>'Meta 10k Report '!D40</f>
        <v>25488</v>
      </c>
      <c r="E23" s="1">
        <f>'Meta 10k Report '!E40</f>
        <v>23967</v>
      </c>
      <c r="F23" s="1">
        <f>'Revenue Sources'!F5*'Other Items'!F24</f>
        <v>22666.120232620724</v>
      </c>
      <c r="G23" s="1">
        <f>'Revenue Sources'!G5*'Other Items'!G24</f>
        <v>27011.772047660885</v>
      </c>
      <c r="H23" s="1">
        <f>'Revenue Sources'!H5*'Other Items'!H24</f>
        <v>32154.083033875973</v>
      </c>
      <c r="I23" s="1">
        <f>'Revenue Sources'!I5*'Other Items'!I24</f>
        <v>38220.401142229071</v>
      </c>
      <c r="J23" s="1">
        <f>'Revenue Sources'!J5*'Other Items'!J24</f>
        <v>45353.394987768137</v>
      </c>
    </row>
    <row r="24" spans="2:12" x14ac:dyDescent="0.3">
      <c r="B24" t="s">
        <v>58</v>
      </c>
      <c r="C24" s="18">
        <f>C23/'Revenue Sources'!C5</f>
        <v>1.1722937337598299E-2</v>
      </c>
      <c r="D24" s="18">
        <f>D23/'Revenue Sources'!D5</f>
        <v>0.18893715437873418</v>
      </c>
      <c r="E24" s="18">
        <f>E23/'Revenue Sources'!E5</f>
        <v>0.1456951629473377</v>
      </c>
      <c r="F24" s="30">
        <f>AVERAGE($C$24:$E$24)</f>
        <v>0.11545175155455673</v>
      </c>
      <c r="G24" s="30">
        <f t="shared" ref="G24:J24" si="8">AVERAGE($C$24:$E$24)</f>
        <v>0.11545175155455673</v>
      </c>
      <c r="H24" s="30">
        <f t="shared" si="8"/>
        <v>0.11545175155455673</v>
      </c>
      <c r="I24" s="30">
        <f t="shared" si="8"/>
        <v>0.11545175155455673</v>
      </c>
      <c r="J24" s="30">
        <f t="shared" si="8"/>
        <v>0.11545175155455673</v>
      </c>
    </row>
    <row r="26" spans="2:12" x14ac:dyDescent="0.3">
      <c r="B26" t="s">
        <v>109</v>
      </c>
      <c r="C26" s="1">
        <f>'Meta 10k Report '!C26</f>
        <v>13466</v>
      </c>
      <c r="D26" s="1">
        <f>'Meta 10k Report '!D26</f>
        <v>16169</v>
      </c>
      <c r="E26" s="1">
        <f>'Meta 10k Report '!E26</f>
        <v>16994</v>
      </c>
      <c r="F26" s="1">
        <f>('Revenue Sources'!F5*'Other Items'!F27)/365</f>
        <v>20281.671003574109</v>
      </c>
      <c r="G26" s="1">
        <f>('Revenue Sources'!G5*'Other Items'!G27)/365</f>
        <v>24170.165351269472</v>
      </c>
      <c r="H26" s="1">
        <f>('Revenue Sources'!H5*'Other Items'!H27)/365</f>
        <v>28771.511260940417</v>
      </c>
      <c r="I26" s="1">
        <f>('Revenue Sources'!I5*'Other Items'!I27)/365</f>
        <v>34199.659828668009</v>
      </c>
      <c r="J26" s="1">
        <f>('Revenue Sources'!J5*'Other Items'!J27)/365</f>
        <v>40582.271098749283</v>
      </c>
      <c r="L26" s="1">
        <f>F26-E26</f>
        <v>3287.6710035741089</v>
      </c>
    </row>
    <row r="27" spans="2:12" x14ac:dyDescent="0.3">
      <c r="B27" t="s">
        <v>110</v>
      </c>
      <c r="C27" s="29">
        <f>(C26/'Revenue Sources'!C5)*365</f>
        <v>42.150177087531837</v>
      </c>
      <c r="D27" s="29">
        <f>(D26/'Revenue Sources'!D5)*365</f>
        <v>43.747942951179375</v>
      </c>
      <c r="E27" s="29">
        <f>(E26/'Revenue Sources'!E5)*365</f>
        <v>37.706822450927348</v>
      </c>
      <c r="F27" s="31">
        <f>$E$27</f>
        <v>37.706822450927348</v>
      </c>
      <c r="G27" s="31">
        <f t="shared" ref="G27:J27" si="9">$E$27</f>
        <v>37.706822450927348</v>
      </c>
      <c r="H27" s="31">
        <f t="shared" si="9"/>
        <v>37.706822450927348</v>
      </c>
      <c r="I27" s="31">
        <f t="shared" si="9"/>
        <v>37.706822450927348</v>
      </c>
      <c r="J27" s="31">
        <f t="shared" si="9"/>
        <v>37.706822450927348</v>
      </c>
    </row>
  </sheetData>
  <mergeCells count="2">
    <mergeCell ref="B2:J2"/>
    <mergeCell ref="B3:J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1DCEE-13D2-4AC8-981C-375C26FF9124}">
  <dimension ref="B2:J19"/>
  <sheetViews>
    <sheetView showGridLines="0" tabSelected="1" workbookViewId="0">
      <selection activeCell="H7" sqref="H7"/>
    </sheetView>
  </sheetViews>
  <sheetFormatPr defaultRowHeight="14.4" x14ac:dyDescent="0.3"/>
  <cols>
    <col min="1" max="1" width="1.88671875" customWidth="1"/>
    <col min="2" max="2" width="32.77734375" customWidth="1"/>
    <col min="3" max="3" width="11.6640625" customWidth="1"/>
    <col min="7" max="7" width="9.77734375" customWidth="1"/>
  </cols>
  <sheetData>
    <row r="2" spans="2:10" ht="21" x14ac:dyDescent="0.4">
      <c r="B2" s="87" t="s">
        <v>63</v>
      </c>
      <c r="C2" s="87"/>
      <c r="D2" s="87"/>
      <c r="E2" s="87"/>
      <c r="F2" s="87"/>
      <c r="G2" s="87"/>
      <c r="H2" s="87"/>
      <c r="I2" s="87"/>
      <c r="J2" s="87"/>
    </row>
    <row r="3" spans="2:10" x14ac:dyDescent="0.3">
      <c r="B3" s="88" t="str">
        <f>'Meta 10k Report '!B3:E3</f>
        <v>(In millions, except per share amounts)</v>
      </c>
      <c r="C3" s="88"/>
      <c r="D3" s="88"/>
      <c r="E3" s="88"/>
      <c r="F3" s="88"/>
      <c r="G3" s="88"/>
      <c r="H3" s="88"/>
      <c r="I3" s="88"/>
      <c r="J3" s="88"/>
    </row>
    <row r="4" spans="2:10" x14ac:dyDescent="0.3">
      <c r="C4" s="26" t="str">
        <f>'Revenue Sources'!C4</f>
        <v>2022A</v>
      </c>
      <c r="D4" s="26" t="str">
        <f>'Revenue Sources'!D4</f>
        <v>2023A</v>
      </c>
      <c r="E4" s="26" t="str">
        <f>'Revenue Sources'!E4</f>
        <v>2024A</v>
      </c>
      <c r="F4" s="26">
        <f>'Revenue Sources'!F4</f>
        <v>2025</v>
      </c>
      <c r="G4" s="26">
        <f>'Revenue Sources'!G4</f>
        <v>2026</v>
      </c>
      <c r="H4" s="26">
        <f>'Revenue Sources'!H4</f>
        <v>2027</v>
      </c>
      <c r="I4" s="26">
        <f>'Revenue Sources'!I4</f>
        <v>2028</v>
      </c>
      <c r="J4" s="26">
        <f>'Revenue Sources'!J4</f>
        <v>2029</v>
      </c>
    </row>
    <row r="5" spans="2:10" x14ac:dyDescent="0.3">
      <c r="B5" t="s">
        <v>64</v>
      </c>
      <c r="C5" s="1"/>
      <c r="D5" s="1">
        <f>C8</f>
        <v>79518</v>
      </c>
      <c r="E5" s="1">
        <f>D8</f>
        <v>96587</v>
      </c>
      <c r="F5" s="1">
        <f>E8</f>
        <v>121346</v>
      </c>
      <c r="G5" s="1">
        <f t="shared" ref="G5:J5" si="0">F8</f>
        <v>142202.37802393586</v>
      </c>
      <c r="H5" s="1">
        <f t="shared" si="0"/>
        <v>159156.13407180758</v>
      </c>
      <c r="I5" s="1">
        <f t="shared" si="0"/>
        <v>172207.26814361516</v>
      </c>
      <c r="J5" s="1">
        <f t="shared" si="0"/>
        <v>181355.7802393586</v>
      </c>
    </row>
    <row r="6" spans="2:10" x14ac:dyDescent="0.3">
      <c r="B6" t="s">
        <v>65</v>
      </c>
      <c r="C6" s="1"/>
      <c r="D6" s="1">
        <f>SUM(D7:D8)-D5</f>
        <v>28247</v>
      </c>
      <c r="E6" s="1">
        <f>SUM(E7:E8)-E5</f>
        <v>40257</v>
      </c>
      <c r="F6" s="33">
        <f>$E$6</f>
        <v>40257</v>
      </c>
      <c r="G6" s="33">
        <f t="shared" ref="G6:J6" si="1">$E$6</f>
        <v>40257</v>
      </c>
      <c r="H6" s="33">
        <f t="shared" si="1"/>
        <v>40257</v>
      </c>
      <c r="I6" s="33">
        <f t="shared" si="1"/>
        <v>40257</v>
      </c>
      <c r="J6" s="33">
        <f t="shared" si="1"/>
        <v>40257</v>
      </c>
    </row>
    <row r="7" spans="2:10" x14ac:dyDescent="0.3">
      <c r="B7" t="s">
        <v>66</v>
      </c>
      <c r="C7" s="1">
        <v>8686</v>
      </c>
      <c r="D7" s="1">
        <v>11178</v>
      </c>
      <c r="E7" s="1">
        <v>15498</v>
      </c>
      <c r="F7" s="1">
        <f>(F5+F6)/F10</f>
        <v>19400.621976064136</v>
      </c>
      <c r="G7" s="1">
        <f t="shared" ref="G7:J7" si="2">(G5+G6)/G10</f>
        <v>23303.243952128276</v>
      </c>
      <c r="H7" s="1">
        <f t="shared" si="2"/>
        <v>27205.865928192412</v>
      </c>
      <c r="I7" s="1">
        <f t="shared" si="2"/>
        <v>31108.487904256552</v>
      </c>
      <c r="J7" s="1">
        <f t="shared" si="2"/>
        <v>35011.109880320691</v>
      </c>
    </row>
    <row r="8" spans="2:10" ht="15" thickBot="1" x14ac:dyDescent="0.35">
      <c r="B8" s="20" t="s">
        <v>67</v>
      </c>
      <c r="C8" s="37">
        <f>'Meta 10k Report '!C30</f>
        <v>79518</v>
      </c>
      <c r="D8" s="37">
        <f>'Meta 10k Report '!D30</f>
        <v>96587</v>
      </c>
      <c r="E8" s="37">
        <f>'Meta 10k Report '!E30</f>
        <v>121346</v>
      </c>
      <c r="F8" s="37">
        <f>SUM(F5:F6)-F7</f>
        <v>142202.37802393586</v>
      </c>
      <c r="G8" s="37">
        <f t="shared" ref="G8:J8" si="3">SUM(G5:G6)-G7</f>
        <v>159156.13407180758</v>
      </c>
      <c r="H8" s="37">
        <f t="shared" si="3"/>
        <v>172207.26814361516</v>
      </c>
      <c r="I8" s="37">
        <f t="shared" si="3"/>
        <v>181355.7802393586</v>
      </c>
      <c r="J8" s="37">
        <f t="shared" si="3"/>
        <v>186601.6703590379</v>
      </c>
    </row>
    <row r="9" spans="2:10" ht="15" thickTop="1" x14ac:dyDescent="0.3"/>
    <row r="10" spans="2:10" x14ac:dyDescent="0.3">
      <c r="B10" s="2" t="s">
        <v>68</v>
      </c>
      <c r="D10" s="34">
        <f>(D5+D6)/D7</f>
        <v>9.6408123098944358</v>
      </c>
      <c r="E10" s="34">
        <f>(E5+E6)/E7</f>
        <v>8.8297844883210743</v>
      </c>
      <c r="F10" s="34">
        <f>E10-0.5</f>
        <v>8.3297844883210743</v>
      </c>
      <c r="G10" s="34">
        <f t="shared" ref="G10:J10" si="4">F10-0.5</f>
        <v>7.8297844883210743</v>
      </c>
      <c r="H10" s="34">
        <f t="shared" si="4"/>
        <v>7.3297844883210743</v>
      </c>
      <c r="I10" s="34">
        <f t="shared" si="4"/>
        <v>6.8297844883210743</v>
      </c>
      <c r="J10" s="34">
        <f t="shared" si="4"/>
        <v>6.3297844883210743</v>
      </c>
    </row>
    <row r="13" spans="2:10" x14ac:dyDescent="0.3">
      <c r="B13" s="2" t="s">
        <v>69</v>
      </c>
    </row>
    <row r="14" spans="2:10" x14ac:dyDescent="0.3">
      <c r="B14" t="s">
        <v>70</v>
      </c>
      <c r="C14" s="7"/>
      <c r="D14" s="7">
        <f>C16</f>
        <v>15301</v>
      </c>
      <c r="E14" s="7">
        <f>D16</f>
        <v>18385</v>
      </c>
      <c r="F14" s="7">
        <f>E16</f>
        <v>28826</v>
      </c>
      <c r="G14" s="7">
        <f t="shared" ref="G14:J14" si="5">F16</f>
        <v>39267</v>
      </c>
      <c r="H14" s="7">
        <f t="shared" si="5"/>
        <v>49708</v>
      </c>
      <c r="I14" s="7">
        <f t="shared" si="5"/>
        <v>60149</v>
      </c>
      <c r="J14" s="7">
        <f t="shared" si="5"/>
        <v>70590</v>
      </c>
    </row>
    <row r="15" spans="2:10" x14ac:dyDescent="0.3">
      <c r="B15" t="s">
        <v>71</v>
      </c>
      <c r="C15" s="7"/>
      <c r="D15" s="7">
        <f>D16-D14</f>
        <v>3084</v>
      </c>
      <c r="E15" s="7">
        <f>E16-E14</f>
        <v>10441</v>
      </c>
      <c r="F15" s="35">
        <f>$E$15</f>
        <v>10441</v>
      </c>
      <c r="G15" s="35">
        <f t="shared" ref="G15:J15" si="6">$E$15</f>
        <v>10441</v>
      </c>
      <c r="H15" s="35">
        <f t="shared" si="6"/>
        <v>10441</v>
      </c>
      <c r="I15" s="35">
        <f t="shared" si="6"/>
        <v>10441</v>
      </c>
      <c r="J15" s="35">
        <f t="shared" si="6"/>
        <v>10441</v>
      </c>
    </row>
    <row r="16" spans="2:10" ht="15" thickBot="1" x14ac:dyDescent="0.35">
      <c r="B16" s="20" t="s">
        <v>67</v>
      </c>
      <c r="C16" s="37">
        <f>'Meta 10k Report '!C43</f>
        <v>15301</v>
      </c>
      <c r="D16" s="37">
        <f>'Meta 10k Report '!D43</f>
        <v>18385</v>
      </c>
      <c r="E16" s="37">
        <f>'Meta 10k Report '!E43</f>
        <v>28826</v>
      </c>
      <c r="F16" s="37">
        <f>SUM(F14:F15)</f>
        <v>39267</v>
      </c>
      <c r="G16" s="37">
        <f t="shared" ref="G16:J16" si="7">SUM(G14:G15)</f>
        <v>49708</v>
      </c>
      <c r="H16" s="37">
        <f t="shared" si="7"/>
        <v>60149</v>
      </c>
      <c r="I16" s="37">
        <f t="shared" si="7"/>
        <v>70590</v>
      </c>
      <c r="J16" s="37">
        <f t="shared" si="7"/>
        <v>81031</v>
      </c>
    </row>
    <row r="17" spans="2:10" ht="15" thickTop="1" x14ac:dyDescent="0.3">
      <c r="C17" s="7"/>
      <c r="D17" s="7"/>
      <c r="E17" s="7"/>
      <c r="F17" s="7"/>
      <c r="G17" s="7"/>
      <c r="H17" s="7"/>
      <c r="I17" s="7"/>
      <c r="J17" s="7"/>
    </row>
    <row r="18" spans="2:10" x14ac:dyDescent="0.3">
      <c r="B18" s="2" t="s">
        <v>72</v>
      </c>
      <c r="C18" s="7">
        <f>'Meta 10k Report '!C13</f>
        <v>-125</v>
      </c>
      <c r="D18" s="7">
        <f>'Meta 10k Report '!D13</f>
        <v>677</v>
      </c>
      <c r="E18" s="7">
        <f>'Meta 10k Report '!E13</f>
        <v>1283</v>
      </c>
      <c r="F18" s="7">
        <f>F16*F19</f>
        <v>1747.7125164781794</v>
      </c>
      <c r="G18" s="7">
        <f t="shared" ref="G18:J18" si="8">G16*G19</f>
        <v>2212.4250329563588</v>
      </c>
      <c r="H18" s="7">
        <f t="shared" si="8"/>
        <v>2677.1375494345384</v>
      </c>
      <c r="I18" s="7">
        <f t="shared" si="8"/>
        <v>3141.8500659127176</v>
      </c>
      <c r="J18" s="7">
        <f t="shared" si="8"/>
        <v>3606.5625823908972</v>
      </c>
    </row>
    <row r="19" spans="2:10" x14ac:dyDescent="0.3">
      <c r="C19" s="36">
        <f>C18/C16</f>
        <v>-8.1694006927651788E-3</v>
      </c>
      <c r="D19" s="36">
        <f t="shared" ref="D19:E19" si="9">D18/D16</f>
        <v>3.6823497416372045E-2</v>
      </c>
      <c r="E19" s="36">
        <f t="shared" si="9"/>
        <v>4.4508429889682927E-2</v>
      </c>
      <c r="F19" s="36">
        <f>$E$19</f>
        <v>4.4508429889682927E-2</v>
      </c>
      <c r="G19" s="36">
        <f t="shared" ref="G19:J19" si="10">$E$19</f>
        <v>4.4508429889682927E-2</v>
      </c>
      <c r="H19" s="36">
        <f t="shared" si="10"/>
        <v>4.4508429889682927E-2</v>
      </c>
      <c r="I19" s="36">
        <f t="shared" si="10"/>
        <v>4.4508429889682927E-2</v>
      </c>
      <c r="J19" s="36">
        <f t="shared" si="10"/>
        <v>4.4508429889682927E-2</v>
      </c>
    </row>
  </sheetData>
  <mergeCells count="2">
    <mergeCell ref="B2:J2"/>
    <mergeCell ref="B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D473-9070-4F70-8D03-DB62A888A706}">
  <dimension ref="B2:N35"/>
  <sheetViews>
    <sheetView showGridLines="0" workbookViewId="0">
      <pane ySplit="4" topLeftCell="A12" activePane="bottomLeft" state="frozen"/>
      <selection pane="bottomLeft" activeCell="N36" sqref="N36"/>
    </sheetView>
  </sheetViews>
  <sheetFormatPr defaultRowHeight="14.4" x14ac:dyDescent="0.3"/>
  <cols>
    <col min="1" max="1" width="1.88671875" customWidth="1"/>
    <col min="2" max="2" width="34.77734375" customWidth="1"/>
  </cols>
  <sheetData>
    <row r="2" spans="2:10" ht="21" x14ac:dyDescent="0.4">
      <c r="B2" s="87" t="s">
        <v>73</v>
      </c>
      <c r="C2" s="87"/>
      <c r="D2" s="87"/>
      <c r="E2" s="87"/>
      <c r="F2" s="87"/>
      <c r="G2" s="87"/>
      <c r="H2" s="87"/>
      <c r="I2" s="87"/>
      <c r="J2" s="87"/>
    </row>
    <row r="3" spans="2:10" x14ac:dyDescent="0.3">
      <c r="B3" s="88" t="str">
        <f>'Meta 10k Report '!B3:E3</f>
        <v>(In millions, except per share amounts)</v>
      </c>
      <c r="C3" s="88"/>
      <c r="D3" s="88"/>
      <c r="E3" s="88"/>
      <c r="F3" s="88"/>
      <c r="G3" s="88"/>
      <c r="H3" s="88"/>
      <c r="I3" s="88"/>
      <c r="J3" s="88"/>
    </row>
    <row r="4" spans="2:10" x14ac:dyDescent="0.3">
      <c r="B4" s="40" t="s">
        <v>74</v>
      </c>
      <c r="C4" s="41" t="str">
        <f>'Revenue Sources'!C4</f>
        <v>2022A</v>
      </c>
      <c r="D4" s="41" t="str">
        <f>'Revenue Sources'!D4</f>
        <v>2023A</v>
      </c>
      <c r="E4" s="41" t="str">
        <f>'Revenue Sources'!E4</f>
        <v>2024A</v>
      </c>
      <c r="F4" s="41">
        <f>'Revenue Sources'!F4</f>
        <v>2025</v>
      </c>
      <c r="G4" s="41">
        <f>'Revenue Sources'!G4</f>
        <v>2026</v>
      </c>
      <c r="H4" s="41">
        <f>'Revenue Sources'!H4</f>
        <v>2027</v>
      </c>
      <c r="I4" s="41">
        <f>'Revenue Sources'!I4</f>
        <v>2028</v>
      </c>
      <c r="J4" s="41">
        <f>'Revenue Sources'!J4</f>
        <v>2029</v>
      </c>
    </row>
    <row r="5" spans="2:10" x14ac:dyDescent="0.3">
      <c r="B5" t="s">
        <v>1</v>
      </c>
      <c r="C5" s="1">
        <f>'Revenue Sources'!C5</f>
        <v>116609</v>
      </c>
      <c r="D5" s="1">
        <f>'Revenue Sources'!D5</f>
        <v>134902</v>
      </c>
      <c r="E5" s="1">
        <f>'Revenue Sources'!E5</f>
        <v>164501</v>
      </c>
      <c r="F5" s="1">
        <f>'Revenue Sources'!F5</f>
        <v>196325.47733076054</v>
      </c>
      <c r="G5" s="1">
        <f>'Revenue Sources'!G5</f>
        <v>233965.89210598916</v>
      </c>
      <c r="H5" s="1">
        <f>'Revenue Sources'!H5</f>
        <v>278506.6714096716</v>
      </c>
      <c r="I5" s="1">
        <f>'Revenue Sources'!I5</f>
        <v>331050.85568293021</v>
      </c>
      <c r="J5" s="1">
        <f>'Revenue Sources'!J5</f>
        <v>392834.1872434598</v>
      </c>
    </row>
    <row r="6" spans="2:10" x14ac:dyDescent="0.3">
      <c r="B6" s="38" t="s">
        <v>76</v>
      </c>
      <c r="C6" s="38"/>
      <c r="D6" s="39">
        <f>D5/C5-1</f>
        <v>0.15687468377226454</v>
      </c>
      <c r="E6" s="39">
        <f t="shared" ref="E6:J6" si="0">E5/D5-1</f>
        <v>0.21941112807816054</v>
      </c>
      <c r="F6" s="39">
        <f t="shared" si="0"/>
        <v>0.19346069221926032</v>
      </c>
      <c r="G6" s="39">
        <f t="shared" si="0"/>
        <v>0.19172455499402008</v>
      </c>
      <c r="H6" s="39">
        <f t="shared" si="0"/>
        <v>0.19037295950601618</v>
      </c>
      <c r="I6" s="39">
        <f t="shared" si="0"/>
        <v>0.18866400581107912</v>
      </c>
      <c r="J6" s="39">
        <f t="shared" si="0"/>
        <v>0.18662791682889845</v>
      </c>
    </row>
    <row r="8" spans="2:10" x14ac:dyDescent="0.3">
      <c r="B8" t="s">
        <v>77</v>
      </c>
      <c r="C8" s="1">
        <f>'Other Items'!C5</f>
        <v>16563</v>
      </c>
      <c r="D8" s="1">
        <f>'Other Items'!D5</f>
        <v>14781</v>
      </c>
      <c r="E8" s="1">
        <f>'Other Items'!E5</f>
        <v>14663</v>
      </c>
      <c r="F8" s="1">
        <f>'Other Items'!F5</f>
        <v>16321.761266026448</v>
      </c>
      <c r="G8" s="1">
        <f>'Other Items'!G5</f>
        <v>18047.248328838064</v>
      </c>
      <c r="H8" s="1">
        <f>'Other Items'!H5</f>
        <v>19811.916375680943</v>
      </c>
      <c r="I8" s="1">
        <f>'Other Items'!I5</f>
        <v>21563.406747813446</v>
      </c>
      <c r="J8" s="1">
        <f>'Other Items'!J5</f>
        <v>23230.735305431324</v>
      </c>
    </row>
    <row r="9" spans="2:10" x14ac:dyDescent="0.3">
      <c r="C9" s="1"/>
      <c r="D9" s="1"/>
      <c r="E9" s="1"/>
      <c r="F9" s="1"/>
      <c r="G9" s="1"/>
      <c r="H9" s="1"/>
      <c r="I9" s="1"/>
      <c r="J9" s="1"/>
    </row>
    <row r="10" spans="2:10" ht="15" thickBot="1" x14ac:dyDescent="0.35">
      <c r="B10" s="42" t="s">
        <v>78</v>
      </c>
      <c r="C10" s="43">
        <f>C5-C8</f>
        <v>100046</v>
      </c>
      <c r="D10" s="43">
        <f t="shared" ref="D10:J10" si="1">D5-D8</f>
        <v>120121</v>
      </c>
      <c r="E10" s="43">
        <f t="shared" si="1"/>
        <v>149838</v>
      </c>
      <c r="F10" s="43">
        <f t="shared" si="1"/>
        <v>180003.71606473409</v>
      </c>
      <c r="G10" s="43">
        <f t="shared" si="1"/>
        <v>215918.6437771511</v>
      </c>
      <c r="H10" s="43">
        <f t="shared" si="1"/>
        <v>258694.75503399066</v>
      </c>
      <c r="I10" s="43">
        <f t="shared" si="1"/>
        <v>309487.44893511676</v>
      </c>
      <c r="J10" s="43">
        <f t="shared" si="1"/>
        <v>369603.45193802851</v>
      </c>
    </row>
    <row r="11" spans="2:10" x14ac:dyDescent="0.3">
      <c r="B11" s="38" t="s">
        <v>79</v>
      </c>
      <c r="C11" s="39">
        <f>C10/C5</f>
        <v>0.85796122083201121</v>
      </c>
      <c r="D11" s="39">
        <f t="shared" ref="D11:J11" si="2">D10/D5</f>
        <v>0.89043157254896144</v>
      </c>
      <c r="E11" s="39">
        <f t="shared" si="2"/>
        <v>0.91086376374611699</v>
      </c>
      <c r="F11" s="39">
        <f t="shared" si="2"/>
        <v>0.91686376374611711</v>
      </c>
      <c r="G11" s="39">
        <f t="shared" si="2"/>
        <v>0.92286376374611712</v>
      </c>
      <c r="H11" s="39">
        <f t="shared" si="2"/>
        <v>0.92886376374611701</v>
      </c>
      <c r="I11" s="39">
        <f t="shared" si="2"/>
        <v>0.93486376374611702</v>
      </c>
      <c r="J11" s="39">
        <f t="shared" si="2"/>
        <v>0.94086376374611713</v>
      </c>
    </row>
    <row r="13" spans="2:10" x14ac:dyDescent="0.3">
      <c r="B13" s="2" t="s">
        <v>80</v>
      </c>
    </row>
    <row r="14" spans="2:10" x14ac:dyDescent="0.3">
      <c r="B14" t="str">
        <f>'Other Items'!B8</f>
        <v>Research and development</v>
      </c>
      <c r="C14" s="1">
        <f>'Other Items'!C8</f>
        <v>35338</v>
      </c>
      <c r="D14" s="1">
        <f>'Other Items'!D8</f>
        <v>38483</v>
      </c>
      <c r="E14" s="1">
        <f>'Other Items'!E8</f>
        <v>43873</v>
      </c>
      <c r="F14" s="1">
        <f>'Other Items'!F8</f>
        <v>50397.446176428006</v>
      </c>
      <c r="G14" s="1">
        <f>'Other Items'!G8</f>
        <v>57720.215196378842</v>
      </c>
      <c r="H14" s="1">
        <f>'Other Items'!H8</f>
        <v>65923.516672540893</v>
      </c>
      <c r="I14" s="1">
        <f>'Other Items'!I8</f>
        <v>75050.402848306621</v>
      </c>
      <c r="J14" s="1">
        <f>'Other Items'!J8</f>
        <v>85128.561316621126</v>
      </c>
    </row>
    <row r="15" spans="2:10" x14ac:dyDescent="0.3">
      <c r="B15" t="str">
        <f>'Other Items'!B11</f>
        <v>Marketing and sales</v>
      </c>
      <c r="C15" s="1">
        <f>'Other Items'!C11</f>
        <v>15262</v>
      </c>
      <c r="D15" s="1">
        <f>'Other Items'!D11</f>
        <v>12301</v>
      </c>
      <c r="E15" s="1">
        <f>'Other Items'!E11</f>
        <v>11347</v>
      </c>
      <c r="F15" s="1">
        <f>'Other Items'!F11</f>
        <v>11578.943701304341</v>
      </c>
      <c r="G15" s="1">
        <f>'Other Items'!G11</f>
        <v>13798.911529737725</v>
      </c>
      <c r="H15" s="1">
        <f>'Other Items'!H11</f>
        <v>16425.851155615586</v>
      </c>
      <c r="I15" s="1">
        <f>'Other Items'!I11</f>
        <v>19524.818033490566</v>
      </c>
      <c r="J15" s="1">
        <f>'Other Items'!J11</f>
        <v>23168.694149544222</v>
      </c>
    </row>
    <row r="16" spans="2:10" x14ac:dyDescent="0.3">
      <c r="B16" t="str">
        <f>'Other Items'!B14</f>
        <v>General and administrative</v>
      </c>
      <c r="C16" s="1">
        <f>'Other Items'!C14</f>
        <v>11816</v>
      </c>
      <c r="D16" s="1">
        <f>'Other Items'!D14</f>
        <v>11408</v>
      </c>
      <c r="E16" s="1">
        <f>'Other Items'!E14</f>
        <v>9740</v>
      </c>
      <c r="F16" s="1">
        <f>'Other Items'!F14</f>
        <v>11624.307142215595</v>
      </c>
      <c r="G16" s="1">
        <f>'Other Items'!G14</f>
        <v>13852.972256170689</v>
      </c>
      <c r="H16" s="1">
        <f>'Other Items'!H14</f>
        <v>16490.203582532638</v>
      </c>
      <c r="I16" s="1">
        <f>'Other Items'!I14</f>
        <v>19601.311447053457</v>
      </c>
      <c r="J16" s="1">
        <f>'Other Items'!J14</f>
        <v>23259.463369531484</v>
      </c>
    </row>
    <row r="18" spans="2:14" ht="15" thickBot="1" x14ac:dyDescent="0.35">
      <c r="B18" s="42" t="s">
        <v>81</v>
      </c>
      <c r="C18" s="43">
        <f>C10-C14-C15-C16</f>
        <v>37630</v>
      </c>
      <c r="D18" s="43">
        <f t="shared" ref="D18:J18" si="3">D10-D14-D15-D16</f>
        <v>57929</v>
      </c>
      <c r="E18" s="43">
        <f t="shared" si="3"/>
        <v>84878</v>
      </c>
      <c r="F18" s="43">
        <f t="shared" si="3"/>
        <v>106403.01904478617</v>
      </c>
      <c r="G18" s="43">
        <f t="shared" si="3"/>
        <v>130546.54479486383</v>
      </c>
      <c r="H18" s="43">
        <f t="shared" si="3"/>
        <v>159855.18362330153</v>
      </c>
      <c r="I18" s="43">
        <f t="shared" si="3"/>
        <v>195310.91660626611</v>
      </c>
      <c r="J18" s="43">
        <f t="shared" si="3"/>
        <v>238046.73310233164</v>
      </c>
    </row>
    <row r="19" spans="2:14" x14ac:dyDescent="0.3">
      <c r="B19" s="38" t="s">
        <v>82</v>
      </c>
      <c r="C19" s="39">
        <f>C18/C5</f>
        <v>0.32270236431150257</v>
      </c>
      <c r="D19" s="39">
        <f t="shared" ref="D19:J19" si="4">D18/D5</f>
        <v>0.42941542749551526</v>
      </c>
      <c r="E19" s="39">
        <f t="shared" si="4"/>
        <v>0.51597254727934783</v>
      </c>
      <c r="F19" s="39">
        <f t="shared" si="4"/>
        <v>0.54197254727934796</v>
      </c>
      <c r="G19" s="39">
        <f t="shared" si="4"/>
        <v>0.55797254727934786</v>
      </c>
      <c r="H19" s="39">
        <f t="shared" si="4"/>
        <v>0.57397254727934788</v>
      </c>
      <c r="I19" s="39">
        <f t="shared" si="4"/>
        <v>0.58997254727934789</v>
      </c>
      <c r="J19" s="39">
        <f t="shared" si="4"/>
        <v>0.60597254727934791</v>
      </c>
      <c r="N19" t="s">
        <v>75</v>
      </c>
    </row>
    <row r="21" spans="2:14" x14ac:dyDescent="0.3">
      <c r="B21" t="s">
        <v>83</v>
      </c>
      <c r="C21" s="1">
        <f>Schedules!C7</f>
        <v>8686</v>
      </c>
      <c r="D21" s="1">
        <f>Schedules!D7</f>
        <v>11178</v>
      </c>
      <c r="E21" s="1">
        <f>Schedules!E7</f>
        <v>15498</v>
      </c>
      <c r="F21" s="1">
        <f>Schedules!F7</f>
        <v>19400.621976064136</v>
      </c>
      <c r="G21" s="1">
        <f>Schedules!G7</f>
        <v>23303.243952128276</v>
      </c>
      <c r="H21" s="1">
        <f>Schedules!H7</f>
        <v>27205.865928192412</v>
      </c>
      <c r="I21" s="1">
        <f>Schedules!I7</f>
        <v>31108.487904256552</v>
      </c>
      <c r="J21" s="1">
        <f>Schedules!J7</f>
        <v>35011.109880320691</v>
      </c>
    </row>
    <row r="23" spans="2:14" ht="15" thickBot="1" x14ac:dyDescent="0.35">
      <c r="B23" s="42" t="s">
        <v>84</v>
      </c>
      <c r="C23" s="43">
        <f>C18-C21</f>
        <v>28944</v>
      </c>
      <c r="D23" s="43">
        <f t="shared" ref="D23:J23" si="5">D18-D21</f>
        <v>46751</v>
      </c>
      <c r="E23" s="43">
        <f t="shared" si="5"/>
        <v>69380</v>
      </c>
      <c r="F23" s="43">
        <f t="shared" si="5"/>
        <v>87002.397068722028</v>
      </c>
      <c r="G23" s="43">
        <f t="shared" si="5"/>
        <v>107243.30084273555</v>
      </c>
      <c r="H23" s="43">
        <f t="shared" si="5"/>
        <v>132649.31769510912</v>
      </c>
      <c r="I23" s="43">
        <f t="shared" si="5"/>
        <v>164202.42870200955</v>
      </c>
      <c r="J23" s="43">
        <f t="shared" si="5"/>
        <v>203035.62322201094</v>
      </c>
    </row>
    <row r="24" spans="2:14" x14ac:dyDescent="0.3">
      <c r="B24" s="38" t="s">
        <v>85</v>
      </c>
      <c r="C24" s="39">
        <f>C23/C5</f>
        <v>0.24821411726367604</v>
      </c>
      <c r="D24" s="39">
        <f t="shared" ref="D24:J24" si="6">D23/D5</f>
        <v>0.34655527716416362</v>
      </c>
      <c r="E24" s="39">
        <f t="shared" si="6"/>
        <v>0.42176035404040096</v>
      </c>
      <c r="F24" s="39">
        <f t="shared" si="6"/>
        <v>0.44315388023809166</v>
      </c>
      <c r="G24" s="39">
        <f t="shared" si="6"/>
        <v>0.45837151679422206</v>
      </c>
      <c r="H24" s="39">
        <f t="shared" si="6"/>
        <v>0.47628775649681854</v>
      </c>
      <c r="I24" s="39">
        <f t="shared" si="6"/>
        <v>0.4960036377591403</v>
      </c>
      <c r="J24" s="39">
        <f t="shared" si="6"/>
        <v>0.51684815073434331</v>
      </c>
    </row>
    <row r="26" spans="2:14" x14ac:dyDescent="0.3">
      <c r="B26" t="str">
        <f>'Meta 10k Report '!B13</f>
        <v>Interest and other income (expense), net</v>
      </c>
      <c r="C26" s="7">
        <f>Schedules!C18</f>
        <v>-125</v>
      </c>
      <c r="D26" s="7">
        <f>Schedules!D18</f>
        <v>677</v>
      </c>
      <c r="E26" s="7">
        <f>Schedules!E18</f>
        <v>1283</v>
      </c>
      <c r="F26" s="7">
        <f>Schedules!F18</f>
        <v>1747.7125164781794</v>
      </c>
      <c r="G26" s="7">
        <f>Schedules!G18</f>
        <v>2212.4250329563588</v>
      </c>
      <c r="H26" s="7">
        <f>Schedules!H18</f>
        <v>2677.1375494345384</v>
      </c>
      <c r="I26" s="7">
        <f>Schedules!I18</f>
        <v>3141.8500659127176</v>
      </c>
      <c r="J26" s="7">
        <f>Schedules!J18</f>
        <v>3606.5625823908972</v>
      </c>
    </row>
    <row r="28" spans="2:14" ht="15" thickBot="1" x14ac:dyDescent="0.35">
      <c r="B28" s="42" t="s">
        <v>86</v>
      </c>
      <c r="C28" s="43">
        <f>C23+C26</f>
        <v>28819</v>
      </c>
      <c r="D28" s="43">
        <f t="shared" ref="D28:J28" si="7">D23+D26</f>
        <v>47428</v>
      </c>
      <c r="E28" s="43">
        <f t="shared" si="7"/>
        <v>70663</v>
      </c>
      <c r="F28" s="43">
        <f t="shared" si="7"/>
        <v>88750.109585200204</v>
      </c>
      <c r="G28" s="43">
        <f t="shared" si="7"/>
        <v>109455.72587569192</v>
      </c>
      <c r="H28" s="43">
        <f t="shared" si="7"/>
        <v>135326.45524454364</v>
      </c>
      <c r="I28" s="43">
        <f t="shared" si="7"/>
        <v>167344.27876792228</v>
      </c>
      <c r="J28" s="43">
        <f t="shared" si="7"/>
        <v>206642.18580440184</v>
      </c>
    </row>
    <row r="29" spans="2:14" x14ac:dyDescent="0.3">
      <c r="B29" s="38" t="s">
        <v>87</v>
      </c>
      <c r="C29" s="39">
        <f>C28/C5</f>
        <v>0.24714215883851159</v>
      </c>
      <c r="D29" s="39">
        <f t="shared" ref="D29:J29" si="8">D28/D5</f>
        <v>0.35157373500763517</v>
      </c>
      <c r="E29" s="39">
        <f t="shared" si="8"/>
        <v>0.42955969872523569</v>
      </c>
      <c r="F29" s="39">
        <f t="shared" si="8"/>
        <v>0.45205599798786134</v>
      </c>
      <c r="G29" s="39">
        <f t="shared" si="8"/>
        <v>0.46782770296324755</v>
      </c>
      <c r="H29" s="39">
        <f t="shared" si="8"/>
        <v>0.48590022838441854</v>
      </c>
      <c r="I29" s="39">
        <f t="shared" si="8"/>
        <v>0.50549417376585548</v>
      </c>
      <c r="J29" s="39">
        <f t="shared" si="8"/>
        <v>0.52602902831452125</v>
      </c>
    </row>
    <row r="31" spans="2:14" ht="15" thickBot="1" x14ac:dyDescent="0.35">
      <c r="B31" s="42" t="s">
        <v>88</v>
      </c>
      <c r="C31" s="43">
        <f>'Meta 10k Report '!C15</f>
        <v>5619</v>
      </c>
      <c r="D31" s="43">
        <f>'Meta 10k Report '!D15</f>
        <v>8330</v>
      </c>
      <c r="E31" s="43">
        <f>'Meta 10k Report '!E15</f>
        <v>8303</v>
      </c>
      <c r="F31" s="43">
        <f>F28*F32</f>
        <v>10428.260332648164</v>
      </c>
      <c r="G31" s="43">
        <f t="shared" ref="G31:J31" si="9">G28*G32</f>
        <v>12861.198816153716</v>
      </c>
      <c r="H31" s="43">
        <f t="shared" si="9"/>
        <v>15901.045213130576</v>
      </c>
      <c r="I31" s="43">
        <f t="shared" si="9"/>
        <v>19663.183654954624</v>
      </c>
      <c r="J31" s="43">
        <f t="shared" si="9"/>
        <v>24280.741954544083</v>
      </c>
    </row>
    <row r="32" spans="2:14" x14ac:dyDescent="0.3">
      <c r="B32" s="38" t="s">
        <v>89</v>
      </c>
      <c r="C32" s="39">
        <f>C31/C28</f>
        <v>0.19497553697213643</v>
      </c>
      <c r="D32" s="39">
        <f t="shared" ref="D32:E32" si="10">D31/D28</f>
        <v>0.17563464620055663</v>
      </c>
      <c r="E32" s="39">
        <f t="shared" si="10"/>
        <v>0.11750137978857393</v>
      </c>
      <c r="F32" s="39">
        <f>$E$32</f>
        <v>0.11750137978857393</v>
      </c>
      <c r="G32" s="39">
        <f t="shared" ref="G32:J32" si="11">$E$32</f>
        <v>0.11750137978857393</v>
      </c>
      <c r="H32" s="39">
        <f t="shared" si="11"/>
        <v>0.11750137978857393</v>
      </c>
      <c r="I32" s="39">
        <f t="shared" si="11"/>
        <v>0.11750137978857393</v>
      </c>
      <c r="J32" s="39">
        <f t="shared" si="11"/>
        <v>0.11750137978857393</v>
      </c>
    </row>
    <row r="33" spans="2:10" ht="15" thickBot="1" x14ac:dyDescent="0.35"/>
    <row r="34" spans="2:10" ht="15" thickBot="1" x14ac:dyDescent="0.35">
      <c r="B34" s="44" t="s">
        <v>90</v>
      </c>
      <c r="C34" s="45">
        <f>C28-C31</f>
        <v>23200</v>
      </c>
      <c r="D34" s="45">
        <f t="shared" ref="D34:J34" si="12">D28-D31</f>
        <v>39098</v>
      </c>
      <c r="E34" s="45">
        <f t="shared" si="12"/>
        <v>62360</v>
      </c>
      <c r="F34" s="45">
        <f t="shared" si="12"/>
        <v>78321.849252552041</v>
      </c>
      <c r="G34" s="45">
        <f t="shared" si="12"/>
        <v>96594.527059538203</v>
      </c>
      <c r="H34" s="45">
        <f t="shared" si="12"/>
        <v>119425.41003141306</v>
      </c>
      <c r="I34" s="45">
        <f t="shared" si="12"/>
        <v>147681.09511296765</v>
      </c>
      <c r="J34" s="45">
        <f t="shared" si="12"/>
        <v>182361.44384985775</v>
      </c>
    </row>
    <row r="35" spans="2:10" ht="15" thickTop="1" x14ac:dyDescent="0.3">
      <c r="B35" s="38" t="s">
        <v>91</v>
      </c>
      <c r="C35" s="39">
        <f>C34/C5</f>
        <v>0.19895548371051977</v>
      </c>
      <c r="D35" s="39">
        <f t="shared" ref="D35:J35" si="13">D34/D5</f>
        <v>0.28982520644616094</v>
      </c>
      <c r="E35" s="39">
        <f t="shared" si="13"/>
        <v>0.37908584142345642</v>
      </c>
      <c r="F35" s="39">
        <f t="shared" si="13"/>
        <v>0.39893879448258684</v>
      </c>
      <c r="G35" s="39">
        <f t="shared" si="13"/>
        <v>0.41285730236174684</v>
      </c>
      <c r="H35" s="39">
        <f t="shared" si="13"/>
        <v>0.42880628110966618</v>
      </c>
      <c r="I35" s="39">
        <f t="shared" si="13"/>
        <v>0.44609791087328232</v>
      </c>
      <c r="J35" s="39">
        <f t="shared" si="13"/>
        <v>0.46421989167872213</v>
      </c>
    </row>
  </sheetData>
  <mergeCells count="2">
    <mergeCell ref="B2:J2"/>
    <mergeCell ref="B3:J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AD78-F0F8-46C6-8A8D-47F23A85BF3C}">
  <dimension ref="B2:M38"/>
  <sheetViews>
    <sheetView showGridLines="0" workbookViewId="0">
      <pane ySplit="4" topLeftCell="A20" activePane="bottomLeft" state="frozen"/>
      <selection pane="bottomLeft" activeCell="L44" sqref="L44"/>
    </sheetView>
  </sheetViews>
  <sheetFormatPr defaultRowHeight="14.4" x14ac:dyDescent="0.3"/>
  <cols>
    <col min="1" max="1" width="1.88671875" customWidth="1"/>
    <col min="2" max="2" width="40.109375" customWidth="1"/>
    <col min="3" max="3" width="16.21875" customWidth="1"/>
    <col min="4" max="4" width="13.109375" customWidth="1"/>
    <col min="5" max="5" width="15.44140625" customWidth="1"/>
    <col min="6" max="6" width="11.33203125" customWidth="1"/>
    <col min="7" max="7" width="10.6640625" customWidth="1"/>
    <col min="8" max="8" width="10.77734375" customWidth="1"/>
    <col min="9" max="9" width="11.77734375" customWidth="1"/>
    <col min="10" max="10" width="12.33203125" customWidth="1"/>
  </cols>
  <sheetData>
    <row r="2" spans="2:10" ht="21" x14ac:dyDescent="0.4">
      <c r="B2" s="89" t="s">
        <v>92</v>
      </c>
      <c r="C2" s="89"/>
      <c r="D2" s="89"/>
      <c r="E2" s="89"/>
      <c r="F2" s="89"/>
      <c r="G2" s="89"/>
      <c r="H2" s="89"/>
      <c r="I2" s="89"/>
      <c r="J2" s="89"/>
    </row>
    <row r="3" spans="2:10" x14ac:dyDescent="0.3">
      <c r="B3" s="90" t="str">
        <f>'Revenue Sources'!B3:J3</f>
        <v>(In millions, except per share amounts)</v>
      </c>
      <c r="C3" s="90"/>
      <c r="D3" s="90"/>
      <c r="E3" s="90"/>
      <c r="F3" s="90"/>
      <c r="G3" s="90"/>
      <c r="H3" s="90"/>
      <c r="I3" s="90"/>
      <c r="J3" s="90"/>
    </row>
    <row r="4" spans="2:10" x14ac:dyDescent="0.3">
      <c r="C4" s="41" t="str">
        <f>'Revenue Sources'!C4</f>
        <v>2022A</v>
      </c>
      <c r="D4" s="41" t="str">
        <f>'Revenue Sources'!D4</f>
        <v>2023A</v>
      </c>
      <c r="E4" s="41" t="str">
        <f>'Revenue Sources'!E4</f>
        <v>2024A</v>
      </c>
      <c r="F4" s="41">
        <f>'Revenue Sources'!F4</f>
        <v>2025</v>
      </c>
      <c r="G4" s="41">
        <f>'Revenue Sources'!G4</f>
        <v>2026</v>
      </c>
      <c r="H4" s="41">
        <f>'Revenue Sources'!H4</f>
        <v>2027</v>
      </c>
      <c r="I4" s="41">
        <f>'Revenue Sources'!I4</f>
        <v>2028</v>
      </c>
      <c r="J4" s="41">
        <f>'Revenue Sources'!J4</f>
        <v>2029</v>
      </c>
    </row>
    <row r="5" spans="2:10" x14ac:dyDescent="0.3">
      <c r="B5" s="2" t="str">
        <f>'Meta 10k Report '!B22</f>
        <v>Assets</v>
      </c>
      <c r="C5" s="19"/>
      <c r="D5" s="19"/>
      <c r="E5" s="19"/>
    </row>
    <row r="6" spans="2:10" x14ac:dyDescent="0.3">
      <c r="B6" t="str">
        <f>'Meta 10k Report '!B23</f>
        <v>Current assets:</v>
      </c>
      <c r="C6" s="19"/>
      <c r="D6" s="19"/>
      <c r="E6" s="19"/>
    </row>
    <row r="7" spans="2:10" x14ac:dyDescent="0.3">
      <c r="B7" s="9" t="str">
        <f>'Meta 10k Report '!B24</f>
        <v>Cash and cash equivalents</v>
      </c>
      <c r="C7" s="49">
        <f>'Meta 10k Report '!C24</f>
        <v>14681</v>
      </c>
      <c r="D7" s="49">
        <f>'Meta 10k Report '!D24</f>
        <v>41862</v>
      </c>
      <c r="E7" s="49">
        <f>'Meta 10k Report '!E24</f>
        <v>43889</v>
      </c>
      <c r="F7" s="7">
        <f>E7+'Cash Flow'!C32</f>
        <v>106746.33980671089</v>
      </c>
      <c r="G7" s="7">
        <f>F7+'Cash Flow'!D32</f>
        <v>199466.74510495435</v>
      </c>
      <c r="H7" s="7">
        <f>G7+'Cash Flow'!E32</f>
        <v>319759.71245879523</v>
      </c>
      <c r="I7" s="7">
        <f>H7+'Cash Flow'!F32</f>
        <v>473259.33084549417</v>
      </c>
      <c r="J7" s="7">
        <f>I7+'Cash Flow'!G32</f>
        <v>666640.53340594412</v>
      </c>
    </row>
    <row r="8" spans="2:10" x14ac:dyDescent="0.3">
      <c r="B8" s="9" t="str">
        <f>'Meta 10k Report '!B25</f>
        <v>Marketable securities</v>
      </c>
      <c r="C8" s="49">
        <f>'Meta 10k Report '!C25</f>
        <v>26057</v>
      </c>
      <c r="D8" s="49">
        <f>'Meta 10k Report '!D25</f>
        <v>23541</v>
      </c>
      <c r="E8" s="49">
        <f>'Meta 10k Report '!E25</f>
        <v>33926</v>
      </c>
      <c r="F8" s="12">
        <v>33926</v>
      </c>
      <c r="G8" s="12">
        <v>33926</v>
      </c>
      <c r="H8" s="12">
        <v>33926</v>
      </c>
      <c r="I8" s="12">
        <v>33926</v>
      </c>
      <c r="J8" s="12">
        <v>33926</v>
      </c>
    </row>
    <row r="9" spans="2:10" x14ac:dyDescent="0.3">
      <c r="B9" s="9" t="str">
        <f>'Meta 10k Report '!B26</f>
        <v>Accounts receivable, net</v>
      </c>
      <c r="C9" s="49">
        <f>'Meta 10k Report '!C26</f>
        <v>13466</v>
      </c>
      <c r="D9" s="49">
        <f>'Meta 10k Report '!D26</f>
        <v>16169</v>
      </c>
      <c r="E9" s="49">
        <f>'Meta 10k Report '!E26</f>
        <v>16994</v>
      </c>
      <c r="F9" s="7">
        <f>'Other Items'!F26</f>
        <v>20281.671003574109</v>
      </c>
      <c r="G9" s="7">
        <f>'Other Items'!G26</f>
        <v>24170.165351269472</v>
      </c>
      <c r="H9" s="7">
        <f>'Other Items'!H26</f>
        <v>28771.511260940417</v>
      </c>
      <c r="I9" s="7">
        <f>'Other Items'!I26</f>
        <v>34199.659828668009</v>
      </c>
      <c r="J9" s="7">
        <f>'Other Items'!J26</f>
        <v>40582.271098749283</v>
      </c>
    </row>
    <row r="10" spans="2:10" ht="15" thickBot="1" x14ac:dyDescent="0.35">
      <c r="B10" s="9" t="str">
        <f>'Meta 10k Report '!B27</f>
        <v>Prepaid expenses and other current assets</v>
      </c>
      <c r="C10" s="49">
        <f>'Meta 10k Report '!C27</f>
        <v>5345</v>
      </c>
      <c r="D10" s="49">
        <f>'Meta 10k Report '!D27</f>
        <v>3793</v>
      </c>
      <c r="E10" s="49">
        <f>'Meta 10k Report '!E27</f>
        <v>5236</v>
      </c>
      <c r="F10" s="7">
        <f>'Other Items'!F17</f>
        <v>4285.7054111524412</v>
      </c>
      <c r="G10" s="7">
        <f>'Other Items'!G17</f>
        <v>2767.7214528812151</v>
      </c>
      <c r="H10" s="7">
        <f>'Other Items'!H17</f>
        <v>509.55406285778724</v>
      </c>
      <c r="I10" s="7">
        <f>'Other Items'!I17</f>
        <v>-2704.8199832954542</v>
      </c>
      <c r="J10" s="7">
        <f>'Other Items'!J17</f>
        <v>-7137.9567746096591</v>
      </c>
    </row>
    <row r="11" spans="2:10" ht="15" thickBot="1" x14ac:dyDescent="0.35">
      <c r="B11" s="51" t="str">
        <f>'Meta 10k Report '!B28</f>
        <v>Total current assets</v>
      </c>
      <c r="C11" s="52">
        <f>'Meta 10k Report '!C28</f>
        <v>59549</v>
      </c>
      <c r="D11" s="52">
        <f>'Meta 10k Report '!D28</f>
        <v>85365</v>
      </c>
      <c r="E11" s="52">
        <f>'Meta 10k Report '!E28</f>
        <v>100045</v>
      </c>
      <c r="F11" s="53">
        <f>SUM(F7:F10)</f>
        <v>165239.71622143744</v>
      </c>
      <c r="G11" s="53">
        <f t="shared" ref="G11:J11" si="0">SUM(G7:G10)</f>
        <v>260330.63190910502</v>
      </c>
      <c r="H11" s="53">
        <f t="shared" si="0"/>
        <v>382966.77778259339</v>
      </c>
      <c r="I11" s="53">
        <f t="shared" si="0"/>
        <v>538680.17069086677</v>
      </c>
      <c r="J11" s="53">
        <f t="shared" si="0"/>
        <v>734010.84773008374</v>
      </c>
    </row>
    <row r="12" spans="2:10" x14ac:dyDescent="0.3">
      <c r="B12" t="str">
        <f>'Meta 10k Report '!B29</f>
        <v>Non-marketable equity securities</v>
      </c>
      <c r="C12" s="19">
        <f>'Meta 10k Report '!C29</f>
        <v>6201</v>
      </c>
      <c r="D12" s="19">
        <f>'Meta 10k Report '!D29</f>
        <v>6141</v>
      </c>
      <c r="E12" s="19">
        <f>'Meta 10k Report '!E29</f>
        <v>6070</v>
      </c>
      <c r="F12" s="12">
        <v>6070</v>
      </c>
      <c r="G12" s="12">
        <v>6070</v>
      </c>
      <c r="H12" s="12">
        <v>6070</v>
      </c>
      <c r="I12" s="12">
        <v>6070</v>
      </c>
      <c r="J12" s="12">
        <v>6070</v>
      </c>
    </row>
    <row r="13" spans="2:10" x14ac:dyDescent="0.3">
      <c r="B13" t="str">
        <f>'Meta 10k Report '!B30</f>
        <v>Property and equipment, net</v>
      </c>
      <c r="C13" s="19">
        <f>'Meta 10k Report '!C30</f>
        <v>79518</v>
      </c>
      <c r="D13" s="19">
        <f>'Meta 10k Report '!D30</f>
        <v>96587</v>
      </c>
      <c r="E13" s="19">
        <f>'Meta 10k Report '!E30</f>
        <v>121346</v>
      </c>
      <c r="F13" s="7">
        <f>Schedules!F8</f>
        <v>142202.37802393586</v>
      </c>
      <c r="G13" s="7">
        <f>Schedules!G8</f>
        <v>159156.13407180758</v>
      </c>
      <c r="H13" s="7">
        <f>Schedules!H8</f>
        <v>172207.26814361516</v>
      </c>
      <c r="I13" s="7">
        <f>Schedules!I8</f>
        <v>181355.7802393586</v>
      </c>
      <c r="J13" s="7">
        <f>Schedules!J8</f>
        <v>186601.6703590379</v>
      </c>
    </row>
    <row r="14" spans="2:10" x14ac:dyDescent="0.3">
      <c r="B14" t="str">
        <f>'Meta 10k Report '!B31</f>
        <v>Operating lease right-of-use assets</v>
      </c>
      <c r="C14" s="19">
        <f>'Meta 10k Report '!C31</f>
        <v>12673</v>
      </c>
      <c r="D14" s="19">
        <f>'Meta 10k Report '!D31</f>
        <v>13294</v>
      </c>
      <c r="E14" s="19">
        <f>'Meta 10k Report '!E31</f>
        <v>14922</v>
      </c>
      <c r="F14" s="12">
        <v>14922</v>
      </c>
      <c r="G14" s="12">
        <v>14922</v>
      </c>
      <c r="H14" s="12">
        <v>14922</v>
      </c>
      <c r="I14" s="12">
        <v>14922</v>
      </c>
      <c r="J14" s="12">
        <v>14922</v>
      </c>
    </row>
    <row r="15" spans="2:10" x14ac:dyDescent="0.3">
      <c r="B15" t="str">
        <f>'Meta 10k Report '!B32</f>
        <v>Goodwill</v>
      </c>
      <c r="C15" s="19">
        <f>'Meta 10k Report '!C32</f>
        <v>20306</v>
      </c>
      <c r="D15" s="19">
        <f>'Meta 10k Report '!D32</f>
        <v>20654</v>
      </c>
      <c r="E15" s="19">
        <f>'Meta 10k Report '!E32</f>
        <v>20654</v>
      </c>
      <c r="F15" s="12">
        <v>20654</v>
      </c>
      <c r="G15" s="12">
        <v>20654</v>
      </c>
      <c r="H15" s="12">
        <v>20654</v>
      </c>
      <c r="I15" s="12">
        <v>20654</v>
      </c>
      <c r="J15" s="12">
        <v>20654</v>
      </c>
    </row>
    <row r="16" spans="2:10" ht="15" thickBot="1" x14ac:dyDescent="0.35">
      <c r="B16" t="str">
        <f>'Meta 10k Report '!B33</f>
        <v>Other assets</v>
      </c>
      <c r="C16" s="19">
        <f>'Meta 10k Report '!C33</f>
        <v>7480</v>
      </c>
      <c r="D16" s="19">
        <f>'Meta 10k Report '!D33</f>
        <v>7582</v>
      </c>
      <c r="E16" s="19">
        <f>'Meta 10k Report '!E33</f>
        <v>13017</v>
      </c>
      <c r="F16" s="12">
        <v>13017</v>
      </c>
      <c r="G16" s="12">
        <v>13017</v>
      </c>
      <c r="H16" s="12">
        <v>13017</v>
      </c>
      <c r="I16" s="12">
        <v>13017</v>
      </c>
      <c r="J16" s="12">
        <v>13017</v>
      </c>
    </row>
    <row r="17" spans="2:13" ht="15" thickBot="1" x14ac:dyDescent="0.35">
      <c r="B17" s="54" t="str">
        <f>'Meta 10k Report '!B34</f>
        <v>Total assets</v>
      </c>
      <c r="C17" s="55">
        <f>'Meta 10k Report '!C34</f>
        <v>185727</v>
      </c>
      <c r="D17" s="55">
        <f>'Meta 10k Report '!D34</f>
        <v>229623</v>
      </c>
      <c r="E17" s="55">
        <f>'Meta 10k Report '!E34</f>
        <v>276054</v>
      </c>
      <c r="F17" s="53">
        <f>SUM(F11:F16)</f>
        <v>362105.09424537327</v>
      </c>
      <c r="G17" s="53">
        <f t="shared" ref="G17:J17" si="1">SUM(G11:G16)</f>
        <v>474149.76598091261</v>
      </c>
      <c r="H17" s="53">
        <f t="shared" si="1"/>
        <v>609837.04592620861</v>
      </c>
      <c r="I17" s="53">
        <f t="shared" si="1"/>
        <v>774698.95093022543</v>
      </c>
      <c r="J17" s="53">
        <f t="shared" si="1"/>
        <v>975275.51808912167</v>
      </c>
    </row>
    <row r="18" spans="2:13" x14ac:dyDescent="0.3">
      <c r="C18" s="19"/>
      <c r="D18" s="19"/>
      <c r="E18" s="19"/>
      <c r="F18" s="7"/>
      <c r="G18" s="7"/>
      <c r="H18" s="48"/>
      <c r="I18" s="48"/>
      <c r="J18" s="48"/>
    </row>
    <row r="19" spans="2:13" x14ac:dyDescent="0.3">
      <c r="B19" s="2" t="str">
        <f>'Meta 10k Report '!B36</f>
        <v>Liabilities and stockholders' equity</v>
      </c>
      <c r="C19" s="19"/>
      <c r="D19" s="19"/>
      <c r="E19" s="19"/>
      <c r="F19" s="7"/>
      <c r="G19" s="7"/>
      <c r="H19" s="48"/>
      <c r="I19" s="48"/>
      <c r="J19" s="48"/>
    </row>
    <row r="20" spans="2:13" x14ac:dyDescent="0.3">
      <c r="B20" t="str">
        <f>'Meta 10k Report '!B37</f>
        <v>Current liabilities:</v>
      </c>
      <c r="C20" s="19"/>
      <c r="D20" s="19"/>
      <c r="E20" s="19"/>
      <c r="F20" s="7"/>
      <c r="G20" s="7"/>
      <c r="H20" s="48"/>
      <c r="I20" s="48"/>
      <c r="J20" s="48"/>
      <c r="M20" s="7"/>
    </row>
    <row r="21" spans="2:13" x14ac:dyDescent="0.3">
      <c r="B21" s="9" t="str">
        <f>'Meta 10k Report '!B38</f>
        <v>Accounts payable</v>
      </c>
      <c r="C21" s="49">
        <f>'Meta 10k Report '!C38</f>
        <v>4990</v>
      </c>
      <c r="D21" s="49">
        <f>'Meta 10k Report '!D38</f>
        <v>4849</v>
      </c>
      <c r="E21" s="49">
        <f>'Meta 10k Report '!E38</f>
        <v>7687</v>
      </c>
      <c r="F21" s="7">
        <f>'Other Items'!F20</f>
        <v>6276.1247602005315</v>
      </c>
      <c r="G21" s="7">
        <f>'Other Items'!G20</f>
        <v>6939.6176211614911</v>
      </c>
      <c r="H21" s="7">
        <f>'Other Items'!H20</f>
        <v>7618.1765488293267</v>
      </c>
      <c r="I21" s="7">
        <f>'Other Items'!I20</f>
        <v>8291.6683315252631</v>
      </c>
      <c r="J21" s="7">
        <f>'Other Items'!J20</f>
        <v>8932.7977950247969</v>
      </c>
      <c r="L21" s="7"/>
    </row>
    <row r="22" spans="2:13" x14ac:dyDescent="0.3">
      <c r="B22" s="9" t="str">
        <f>'Meta 10k Report '!B39</f>
        <v>Operating lease liabilities, current</v>
      </c>
      <c r="C22" s="49">
        <f>'Meta 10k Report '!C39</f>
        <v>1117</v>
      </c>
      <c r="D22" s="49">
        <f>'Meta 10k Report '!D39</f>
        <v>1623</v>
      </c>
      <c r="E22" s="49">
        <f>'Meta 10k Report '!E39</f>
        <v>1942</v>
      </c>
      <c r="F22" s="12">
        <v>1942</v>
      </c>
      <c r="G22" s="12">
        <v>1942</v>
      </c>
      <c r="H22" s="12">
        <v>1942</v>
      </c>
      <c r="I22" s="12">
        <v>1942</v>
      </c>
      <c r="J22" s="12">
        <v>1942</v>
      </c>
    </row>
    <row r="23" spans="2:13" ht="15" thickBot="1" x14ac:dyDescent="0.35">
      <c r="B23" s="9" t="str">
        <f>'Meta 10k Report '!B40</f>
        <v>Accrued expenses and other current liabilities</v>
      </c>
      <c r="C23" s="49">
        <f>'Meta 10k Report '!C40</f>
        <v>1367</v>
      </c>
      <c r="D23" s="49">
        <f>'Meta 10k Report '!D40</f>
        <v>25488</v>
      </c>
      <c r="E23" s="49">
        <f>'Meta 10k Report '!E40</f>
        <v>23967</v>
      </c>
      <c r="F23" s="7">
        <f>'Other Items'!F23</f>
        <v>22666.120232620724</v>
      </c>
      <c r="G23" s="7">
        <f>'Other Items'!G23</f>
        <v>27011.772047660885</v>
      </c>
      <c r="H23" s="7">
        <f>'Other Items'!H23</f>
        <v>32154.083033875973</v>
      </c>
      <c r="I23" s="7">
        <f>'Other Items'!I23</f>
        <v>38220.401142229071</v>
      </c>
      <c r="J23" s="7">
        <f>'Other Items'!J23</f>
        <v>45353.394987768137</v>
      </c>
    </row>
    <row r="24" spans="2:13" ht="15" thickBot="1" x14ac:dyDescent="0.35">
      <c r="B24" s="51" t="str">
        <f>'Meta 10k Report '!B41</f>
        <v>Total current liabilities</v>
      </c>
      <c r="C24" s="52">
        <f>'Meta 10k Report '!C41</f>
        <v>19552</v>
      </c>
      <c r="D24" s="52">
        <f>'Meta 10k Report '!D41</f>
        <v>31960</v>
      </c>
      <c r="E24" s="52">
        <f>'Meta 10k Report '!E41</f>
        <v>33596</v>
      </c>
      <c r="F24" s="53">
        <f>SUM(F21:F23)</f>
        <v>30884.244992821255</v>
      </c>
      <c r="G24" s="53">
        <f t="shared" ref="G24:J24" si="2">SUM(G21:G23)</f>
        <v>35893.389668822376</v>
      </c>
      <c r="H24" s="53">
        <f t="shared" si="2"/>
        <v>41714.259582705301</v>
      </c>
      <c r="I24" s="53">
        <f t="shared" si="2"/>
        <v>48454.069473754338</v>
      </c>
      <c r="J24" s="53">
        <f t="shared" si="2"/>
        <v>56228.192782792932</v>
      </c>
    </row>
    <row r="25" spans="2:13" x14ac:dyDescent="0.3">
      <c r="B25" t="str">
        <f>'Meta 10k Report '!B42</f>
        <v>Operating lease liabilities, non-current</v>
      </c>
      <c r="C25" s="19">
        <f>'Meta 10k Report '!C42</f>
        <v>27026</v>
      </c>
      <c r="D25" s="19">
        <f>'Meta 10k Report '!D42</f>
        <v>17226</v>
      </c>
      <c r="E25" s="19">
        <f>'Meta 10k Report '!E42</f>
        <v>18292</v>
      </c>
      <c r="F25" s="12">
        <v>18292</v>
      </c>
      <c r="G25" s="12">
        <v>18292</v>
      </c>
      <c r="H25" s="12">
        <v>18292</v>
      </c>
      <c r="I25" s="12">
        <v>18292</v>
      </c>
      <c r="J25" s="12">
        <v>18292</v>
      </c>
    </row>
    <row r="26" spans="2:13" x14ac:dyDescent="0.3">
      <c r="B26" t="str">
        <f>'Meta 10k Report '!B43</f>
        <v>Long-term debt</v>
      </c>
      <c r="C26" s="19">
        <f>'Meta 10k Report '!C43</f>
        <v>15301</v>
      </c>
      <c r="D26" s="19">
        <f>'Meta 10k Report '!D43</f>
        <v>18385</v>
      </c>
      <c r="E26" s="19">
        <f>'Meta 10k Report '!E43</f>
        <v>28826</v>
      </c>
      <c r="F26" s="7">
        <f>Schedules!F16</f>
        <v>39267</v>
      </c>
      <c r="G26" s="7">
        <f>Schedules!G16</f>
        <v>49708</v>
      </c>
      <c r="H26" s="7">
        <f>Schedules!H16</f>
        <v>60149</v>
      </c>
      <c r="I26" s="7">
        <f>Schedules!I16</f>
        <v>70590</v>
      </c>
      <c r="J26" s="7">
        <f>Schedules!J16</f>
        <v>81031</v>
      </c>
    </row>
    <row r="27" spans="2:13" x14ac:dyDescent="0.3">
      <c r="B27" t="str">
        <f>'Meta 10k Report '!B44</f>
        <v>Long-term income taxes</v>
      </c>
      <c r="C27" s="19">
        <f>'Meta 10k Report '!C44</f>
        <v>9923</v>
      </c>
      <c r="D27" s="19">
        <f>'Meta 10k Report '!D44</f>
        <v>7514</v>
      </c>
      <c r="E27" s="19">
        <f>'Meta 10k Report '!E44</f>
        <v>9987</v>
      </c>
      <c r="F27" s="12">
        <v>9987</v>
      </c>
      <c r="G27" s="12">
        <v>9987</v>
      </c>
      <c r="H27" s="12">
        <v>9987</v>
      </c>
      <c r="I27" s="12">
        <v>9987</v>
      </c>
      <c r="J27" s="12">
        <v>9987</v>
      </c>
    </row>
    <row r="28" spans="2:13" ht="15" thickBot="1" x14ac:dyDescent="0.35">
      <c r="B28" t="str">
        <f>'Meta 10k Report '!B45</f>
        <v>Other liabilities</v>
      </c>
      <c r="C28" s="19">
        <f>'Meta 10k Report '!C45</f>
        <v>7764</v>
      </c>
      <c r="D28" s="19">
        <f>'Meta 10k Report '!D45</f>
        <v>1370</v>
      </c>
      <c r="E28" s="19">
        <f>'Meta 10k Report '!E45</f>
        <v>2716</v>
      </c>
      <c r="F28" s="12">
        <v>2716</v>
      </c>
      <c r="G28" s="12">
        <v>2716</v>
      </c>
      <c r="H28" s="12">
        <v>2716</v>
      </c>
      <c r="I28" s="12">
        <v>2716</v>
      </c>
      <c r="J28" s="12">
        <v>2716</v>
      </c>
    </row>
    <row r="29" spans="2:13" ht="15" thickBot="1" x14ac:dyDescent="0.35">
      <c r="B29" s="51" t="str">
        <f>'Meta 10k Report '!B46</f>
        <v>Total liabilities</v>
      </c>
      <c r="C29" s="52">
        <f>'Meta 10k Report '!C46</f>
        <v>60014</v>
      </c>
      <c r="D29" s="52">
        <f>'Meta 10k Report '!D46</f>
        <v>76455</v>
      </c>
      <c r="E29" s="52">
        <f>'Meta 10k Report '!E46</f>
        <v>93417</v>
      </c>
      <c r="F29" s="53">
        <f>SUM(F24:F28)</f>
        <v>101146.24499282126</v>
      </c>
      <c r="G29" s="53">
        <f t="shared" ref="G29:J29" si="3">SUM(G24:G28)</f>
        <v>116596.38966882238</v>
      </c>
      <c r="H29" s="53">
        <f t="shared" si="3"/>
        <v>132858.2595827053</v>
      </c>
      <c r="I29" s="53">
        <f t="shared" si="3"/>
        <v>150039.06947375432</v>
      </c>
      <c r="J29" s="53">
        <f t="shared" si="3"/>
        <v>168254.19278279293</v>
      </c>
    </row>
    <row r="30" spans="2:13" x14ac:dyDescent="0.3">
      <c r="B30" s="2" t="str">
        <f>'Meta 10k Report '!B47</f>
        <v>Commitments and contingencies</v>
      </c>
      <c r="C30" s="19"/>
      <c r="D30" s="19"/>
      <c r="E30" s="19"/>
      <c r="F30" s="7"/>
      <c r="G30" s="7"/>
      <c r="H30" s="48"/>
      <c r="I30" s="48"/>
      <c r="J30" s="48"/>
    </row>
    <row r="31" spans="2:13" x14ac:dyDescent="0.3">
      <c r="B31" s="2" t="str">
        <f>'Meta 10k Report '!B48</f>
        <v>Stockholders' equity:</v>
      </c>
      <c r="C31" s="19"/>
      <c r="D31" s="19"/>
      <c r="E31" s="19"/>
      <c r="F31" s="7"/>
      <c r="G31" s="7"/>
      <c r="H31" s="48"/>
      <c r="I31" s="48"/>
      <c r="J31" s="48"/>
    </row>
    <row r="32" spans="2:13" x14ac:dyDescent="0.3">
      <c r="B32" s="9" t="str">
        <f>'Meta 10k Report '!B49</f>
        <v>Additional paid-in capital</v>
      </c>
      <c r="C32" s="49">
        <f>'Meta 10k Report '!C49</f>
        <v>64444</v>
      </c>
      <c r="D32" s="49">
        <f>'Meta 10k Report '!D49</f>
        <v>73253</v>
      </c>
      <c r="E32" s="49">
        <f>'Meta 10k Report '!E49</f>
        <v>83228</v>
      </c>
      <c r="F32" s="12">
        <v>83228</v>
      </c>
      <c r="G32" s="12">
        <v>83228</v>
      </c>
      <c r="H32" s="12">
        <v>83228</v>
      </c>
      <c r="I32" s="12">
        <v>83228</v>
      </c>
      <c r="J32" s="12">
        <v>83228</v>
      </c>
    </row>
    <row r="33" spans="2:10" x14ac:dyDescent="0.3">
      <c r="B33" s="9" t="str">
        <f>'Meta 10k Report '!B50</f>
        <v>Accumulated other comprehensive loss</v>
      </c>
      <c r="C33" s="49">
        <f>'Meta 10k Report '!C50</f>
        <v>-3530</v>
      </c>
      <c r="D33" s="49">
        <f>'Meta 10k Report '!D50</f>
        <v>-2155</v>
      </c>
      <c r="E33" s="49">
        <f>'Meta 10k Report '!E50</f>
        <v>-3097</v>
      </c>
      <c r="F33" s="12">
        <v>-3097</v>
      </c>
      <c r="G33" s="12">
        <v>-3097</v>
      </c>
      <c r="H33" s="12">
        <v>-3097</v>
      </c>
      <c r="I33" s="12">
        <v>-3097</v>
      </c>
      <c r="J33" s="12">
        <v>-3097</v>
      </c>
    </row>
    <row r="34" spans="2:10" ht="15" thickBot="1" x14ac:dyDescent="0.35">
      <c r="B34" s="9" t="str">
        <f>'Meta 10k Report '!B51</f>
        <v>Retained earnings</v>
      </c>
      <c r="C34" s="49">
        <f>'Meta 10k Report '!C51</f>
        <v>64799</v>
      </c>
      <c r="D34" s="49">
        <f>'Meta 10k Report '!D51</f>
        <v>82070</v>
      </c>
      <c r="E34" s="49">
        <f>'Meta 10k Report '!E51</f>
        <v>102506</v>
      </c>
      <c r="F34" s="7">
        <f>E34+'P&amp;L'!F34</f>
        <v>180827.84925255203</v>
      </c>
      <c r="G34" s="7">
        <f>F34+'P&amp;L'!G34</f>
        <v>277422.3763120902</v>
      </c>
      <c r="H34" s="7">
        <f>G34+'P&amp;L'!H34</f>
        <v>396847.78634350328</v>
      </c>
      <c r="I34" s="7">
        <f>H34+'P&amp;L'!I34</f>
        <v>544528.88145647093</v>
      </c>
      <c r="J34" s="7">
        <f>I34+'P&amp;L'!J34</f>
        <v>726890.32530632871</v>
      </c>
    </row>
    <row r="35" spans="2:10" ht="15" thickBot="1" x14ac:dyDescent="0.35">
      <c r="B35" s="56" t="str">
        <f>'Meta 10k Report '!B52</f>
        <v>Total stockholders' equity</v>
      </c>
      <c r="C35" s="57">
        <f>'Meta 10k Report '!C52</f>
        <v>125713</v>
      </c>
      <c r="D35" s="57">
        <f>'Meta 10k Report '!D52</f>
        <v>153168</v>
      </c>
      <c r="E35" s="57">
        <f>'Meta 10k Report '!E52</f>
        <v>182637</v>
      </c>
      <c r="F35" s="50">
        <f>SUM(F32:F34)</f>
        <v>260958.84925255203</v>
      </c>
      <c r="G35" s="50">
        <f t="shared" ref="G35:J35" si="4">SUM(G32:G34)</f>
        <v>357553.3763120902</v>
      </c>
      <c r="H35" s="50">
        <f t="shared" si="4"/>
        <v>476978.78634350328</v>
      </c>
      <c r="I35" s="50">
        <f t="shared" si="4"/>
        <v>624659.88145647093</v>
      </c>
      <c r="J35" s="50">
        <f t="shared" si="4"/>
        <v>807021.32530632871</v>
      </c>
    </row>
    <row r="36" spans="2:10" ht="15.6" thickTop="1" thickBot="1" x14ac:dyDescent="0.35">
      <c r="B36" s="58" t="str">
        <f>'Meta 10k Report '!B53</f>
        <v>Total liabilities and stockholders' equity</v>
      </c>
      <c r="C36" s="59">
        <f>'Meta 10k Report '!C53</f>
        <v>185727</v>
      </c>
      <c r="D36" s="59">
        <f>'Meta 10k Report '!D53</f>
        <v>229623</v>
      </c>
      <c r="E36" s="59">
        <f>'Meta 10k Report '!E53</f>
        <v>276054</v>
      </c>
      <c r="F36" s="60">
        <f>F29+F35</f>
        <v>362105.09424537327</v>
      </c>
      <c r="G36" s="60">
        <f t="shared" ref="G36:J36" si="5">G29+G35</f>
        <v>474149.76598091261</v>
      </c>
      <c r="H36" s="60">
        <f t="shared" si="5"/>
        <v>609837.04592620861</v>
      </c>
      <c r="I36" s="60">
        <f t="shared" si="5"/>
        <v>774698.9509302252</v>
      </c>
      <c r="J36" s="60">
        <f t="shared" si="5"/>
        <v>975275.51808912167</v>
      </c>
    </row>
    <row r="37" spans="2:10" ht="15" thickTop="1" x14ac:dyDescent="0.3"/>
    <row r="38" spans="2:10" x14ac:dyDescent="0.3">
      <c r="B38" t="s">
        <v>108</v>
      </c>
      <c r="C38" s="8" t="b">
        <f>C17=C36</f>
        <v>1</v>
      </c>
      <c r="D38" s="8" t="b">
        <f t="shared" ref="D38:J38" si="6">D17=D36</f>
        <v>1</v>
      </c>
      <c r="E38" s="8" t="b">
        <f t="shared" si="6"/>
        <v>1</v>
      </c>
      <c r="F38" s="8" t="b">
        <f t="shared" si="6"/>
        <v>1</v>
      </c>
      <c r="G38" s="8" t="b">
        <f t="shared" si="6"/>
        <v>1</v>
      </c>
      <c r="H38" s="8" t="b">
        <f t="shared" si="6"/>
        <v>1</v>
      </c>
      <c r="I38" s="8" t="b">
        <f t="shared" si="6"/>
        <v>1</v>
      </c>
      <c r="J38" s="8" t="b">
        <f t="shared" si="6"/>
        <v>1</v>
      </c>
    </row>
  </sheetData>
  <mergeCells count="2">
    <mergeCell ref="B2:J2"/>
    <mergeCell ref="B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1875-22C4-4845-9106-3DBD63EE2583}">
  <dimension ref="B2:G33"/>
  <sheetViews>
    <sheetView showGridLines="0" workbookViewId="0">
      <pane ySplit="4" topLeftCell="A5" activePane="bottomLeft" state="frozen"/>
      <selection pane="bottomLeft" activeCell="M17" sqref="M17"/>
    </sheetView>
  </sheetViews>
  <sheetFormatPr defaultRowHeight="14.4" x14ac:dyDescent="0.3"/>
  <cols>
    <col min="1" max="1" width="1.88671875" customWidth="1"/>
    <col min="2" max="2" width="31.33203125" customWidth="1"/>
  </cols>
  <sheetData>
    <row r="2" spans="2:7" ht="21" x14ac:dyDescent="0.4">
      <c r="B2" s="87" t="s">
        <v>93</v>
      </c>
      <c r="C2" s="87"/>
      <c r="D2" s="87"/>
      <c r="E2" s="87"/>
      <c r="F2" s="87"/>
      <c r="G2" s="87"/>
    </row>
    <row r="3" spans="2:7" x14ac:dyDescent="0.3">
      <c r="B3" s="88" t="str">
        <f>'Revenue Sources'!B3:J3</f>
        <v>(In millions, except per share amounts)</v>
      </c>
      <c r="C3" s="88"/>
      <c r="D3" s="88"/>
      <c r="E3" s="88"/>
      <c r="F3" s="88"/>
      <c r="G3" s="88"/>
    </row>
    <row r="4" spans="2:7" x14ac:dyDescent="0.3">
      <c r="B4" s="40" t="str">
        <f>'P&amp;L'!B4</f>
        <v>Particular</v>
      </c>
      <c r="C4" s="41">
        <f>'P&amp;L'!F4</f>
        <v>2025</v>
      </c>
      <c r="D4" s="41">
        <f>'P&amp;L'!G4</f>
        <v>2026</v>
      </c>
      <c r="E4" s="41">
        <f>'P&amp;L'!H4</f>
        <v>2027</v>
      </c>
      <c r="F4" s="41">
        <f>'P&amp;L'!I4</f>
        <v>2028</v>
      </c>
      <c r="G4" s="41">
        <f>'P&amp;L'!J4</f>
        <v>2029</v>
      </c>
    </row>
    <row r="5" spans="2:7" x14ac:dyDescent="0.3">
      <c r="B5" t="s">
        <v>84</v>
      </c>
      <c r="C5" s="1">
        <f>'P&amp;L'!F23</f>
        <v>87002.397068722028</v>
      </c>
      <c r="D5" s="1">
        <f>'P&amp;L'!G23</f>
        <v>107243.30084273555</v>
      </c>
      <c r="E5" s="1">
        <f>'P&amp;L'!H23</f>
        <v>132649.31769510912</v>
      </c>
      <c r="F5" s="1">
        <f>'P&amp;L'!I23</f>
        <v>164202.42870200955</v>
      </c>
      <c r="G5" s="1">
        <f>'P&amp;L'!J23</f>
        <v>203035.62322201094</v>
      </c>
    </row>
    <row r="6" spans="2:7" x14ac:dyDescent="0.3">
      <c r="B6" t="s">
        <v>94</v>
      </c>
      <c r="C6" s="1">
        <f>C5*C7</f>
        <v>10222.901700488219</v>
      </c>
      <c r="D6" s="1">
        <f t="shared" ref="D6:G6" si="0">D5*D7</f>
        <v>12601.235822102561</v>
      </c>
      <c r="E6" s="1">
        <f t="shared" si="0"/>
        <v>15586.477857188216</v>
      </c>
      <c r="F6" s="1">
        <f t="shared" si="0"/>
        <v>19294.011937121057</v>
      </c>
      <c r="G6" s="1">
        <f t="shared" si="0"/>
        <v>23856.965874819307</v>
      </c>
    </row>
    <row r="7" spans="2:7" x14ac:dyDescent="0.3">
      <c r="B7" t="s">
        <v>95</v>
      </c>
      <c r="C7" s="18">
        <f>'P&amp;L'!F32</f>
        <v>0.11750137978857393</v>
      </c>
      <c r="D7" s="18">
        <f>'P&amp;L'!G32</f>
        <v>0.11750137978857393</v>
      </c>
      <c r="E7" s="18">
        <f>'P&amp;L'!H32</f>
        <v>0.11750137978857393</v>
      </c>
      <c r="F7" s="18">
        <f>'P&amp;L'!I32</f>
        <v>0.11750137978857393</v>
      </c>
      <c r="G7" s="18">
        <f>'P&amp;L'!J32</f>
        <v>0.11750137978857393</v>
      </c>
    </row>
    <row r="9" spans="2:7" x14ac:dyDescent="0.3">
      <c r="B9" s="3" t="s">
        <v>96</v>
      </c>
      <c r="C9" s="4">
        <f>C5-C6</f>
        <v>76779.495368233809</v>
      </c>
      <c r="D9" s="4">
        <f t="shared" ref="D9:G9" si="1">D5-D6</f>
        <v>94642.065020632988</v>
      </c>
      <c r="E9" s="4">
        <f t="shared" si="1"/>
        <v>117062.8398379209</v>
      </c>
      <c r="F9" s="4">
        <f t="shared" si="1"/>
        <v>144908.4167648885</v>
      </c>
      <c r="G9" s="4">
        <f t="shared" si="1"/>
        <v>179178.65734719162</v>
      </c>
    </row>
    <row r="10" spans="2:7" x14ac:dyDescent="0.3">
      <c r="C10" s="1"/>
      <c r="D10" s="1"/>
      <c r="E10" s="1"/>
      <c r="F10" s="1"/>
      <c r="G10" s="1"/>
    </row>
    <row r="11" spans="2:7" x14ac:dyDescent="0.3">
      <c r="B11" t="s">
        <v>97</v>
      </c>
      <c r="C11" s="1">
        <f>Schedules!F7</f>
        <v>19400.621976064136</v>
      </c>
      <c r="D11" s="1">
        <f>Schedules!G7</f>
        <v>23303.243952128276</v>
      </c>
      <c r="E11" s="1">
        <f>Schedules!H7</f>
        <v>27205.865928192412</v>
      </c>
      <c r="F11" s="1">
        <f>Schedules!I7</f>
        <v>31108.487904256552</v>
      </c>
      <c r="G11" s="1">
        <f>Schedules!J7</f>
        <v>35011.109880320691</v>
      </c>
    </row>
    <row r="12" spans="2:7" x14ac:dyDescent="0.3">
      <c r="C12" s="1"/>
      <c r="D12" s="1"/>
      <c r="E12" s="1"/>
      <c r="F12" s="1"/>
      <c r="G12" s="1"/>
    </row>
    <row r="13" spans="2:7" x14ac:dyDescent="0.3">
      <c r="B13" s="3" t="s">
        <v>98</v>
      </c>
      <c r="C13" s="4">
        <f>C9+C11</f>
        <v>96180.117344297949</v>
      </c>
      <c r="D13" s="4">
        <f t="shared" ref="D13:G13" si="2">D9+D11</f>
        <v>117945.30897276127</v>
      </c>
      <c r="E13" s="4">
        <f t="shared" si="2"/>
        <v>144268.7057661133</v>
      </c>
      <c r="F13" s="4">
        <f t="shared" si="2"/>
        <v>176016.90466914506</v>
      </c>
      <c r="G13" s="4">
        <f t="shared" si="2"/>
        <v>214189.76722751232</v>
      </c>
    </row>
    <row r="14" spans="2:7" x14ac:dyDescent="0.3">
      <c r="C14" s="1"/>
      <c r="D14" s="1"/>
      <c r="E14" s="1"/>
      <c r="F14" s="1"/>
      <c r="G14" s="1"/>
    </row>
    <row r="15" spans="2:7" x14ac:dyDescent="0.3">
      <c r="B15" t="s">
        <v>60</v>
      </c>
      <c r="C15" s="1">
        <f>'Other Items'!F20-'Other Items'!E20</f>
        <v>-1410.8752397994685</v>
      </c>
      <c r="D15" s="1">
        <f>'Other Items'!G20-'Other Items'!F20</f>
        <v>663.49286096095966</v>
      </c>
      <c r="E15" s="1">
        <f>'Other Items'!H20-'Other Items'!G20</f>
        <v>678.55892766783563</v>
      </c>
      <c r="F15" s="1">
        <f>'Other Items'!I20-'Other Items'!H20</f>
        <v>673.49178269593631</v>
      </c>
      <c r="G15" s="1">
        <f>'Other Items'!J20-'Other Items'!I20</f>
        <v>641.12946349953381</v>
      </c>
    </row>
    <row r="16" spans="2:7" x14ac:dyDescent="0.3">
      <c r="B16" t="s">
        <v>109</v>
      </c>
      <c r="C16" s="1">
        <f>'Other Items'!F26-'Other Items'!E26</f>
        <v>3287.6710035741089</v>
      </c>
      <c r="D16" s="1">
        <f>'Other Items'!G26-'Other Items'!F26</f>
        <v>3888.4943476953631</v>
      </c>
      <c r="E16" s="1">
        <f>'Other Items'!H26-'Other Items'!G26</f>
        <v>4601.3459096709448</v>
      </c>
      <c r="F16" s="1">
        <f>'Other Items'!I26-'Other Items'!H26</f>
        <v>5428.1485677275923</v>
      </c>
      <c r="G16" s="1">
        <f>'Other Items'!J26-'Other Items'!I26</f>
        <v>6382.6112700812737</v>
      </c>
    </row>
    <row r="17" spans="2:7" x14ac:dyDescent="0.3">
      <c r="B17" t="s">
        <v>99</v>
      </c>
      <c r="C17" s="1">
        <f>'Other Items'!F23-'Other Items'!E23</f>
        <v>-1300.879767379276</v>
      </c>
      <c r="D17" s="1">
        <f>'Other Items'!G23-'Other Items'!F23</f>
        <v>4345.6518150401607</v>
      </c>
      <c r="E17" s="1">
        <f>'Other Items'!H23-'Other Items'!G23</f>
        <v>5142.3109862150886</v>
      </c>
      <c r="F17" s="1">
        <f>'Other Items'!I23-'Other Items'!H23</f>
        <v>6066.3181083530981</v>
      </c>
      <c r="G17" s="1">
        <f>'Other Items'!J23-'Other Items'!I23</f>
        <v>7132.9938455390657</v>
      </c>
    </row>
    <row r="18" spans="2:7" x14ac:dyDescent="0.3">
      <c r="B18" t="s">
        <v>59</v>
      </c>
      <c r="C18" s="1">
        <f>'Other Items'!F17-'Other Items'!E17</f>
        <v>-950.29458884755877</v>
      </c>
      <c r="D18" s="1">
        <f>'Other Items'!G17-'Other Items'!F17</f>
        <v>-1517.9839582712261</v>
      </c>
      <c r="E18" s="1">
        <f>'Other Items'!H17-'Other Items'!G17</f>
        <v>-2258.1673900234277</v>
      </c>
      <c r="F18" s="1">
        <f>'Other Items'!I17-'Other Items'!H17</f>
        <v>-3214.3740461532416</v>
      </c>
      <c r="G18" s="1">
        <f>'Other Items'!J17-'Other Items'!I17</f>
        <v>-4433.1367913142049</v>
      </c>
    </row>
    <row r="19" spans="2:7" x14ac:dyDescent="0.3">
      <c r="C19" s="1"/>
      <c r="D19" s="1"/>
      <c r="E19" s="1"/>
      <c r="F19" s="1"/>
      <c r="G19" s="1"/>
    </row>
    <row r="20" spans="2:7" x14ac:dyDescent="0.3">
      <c r="B20" s="3" t="s">
        <v>100</v>
      </c>
      <c r="C20" s="4">
        <f>C15+C17-C16-C18</f>
        <v>-5049.1314219052947</v>
      </c>
      <c r="D20" s="4">
        <f t="shared" ref="D20:G20" si="3">D15+D17-D16-D18</f>
        <v>2638.6342865769834</v>
      </c>
      <c r="E20" s="4">
        <f t="shared" si="3"/>
        <v>3477.6913942354072</v>
      </c>
      <c r="F20" s="4">
        <f t="shared" si="3"/>
        <v>4526.0353694746836</v>
      </c>
      <c r="G20" s="4">
        <f t="shared" si="3"/>
        <v>5824.6488302715306</v>
      </c>
    </row>
    <row r="21" spans="2:7" x14ac:dyDescent="0.3">
      <c r="C21" s="1"/>
      <c r="D21" s="1"/>
      <c r="E21" s="1"/>
      <c r="F21" s="1"/>
      <c r="G21" s="1"/>
    </row>
    <row r="22" spans="2:7" x14ac:dyDescent="0.3">
      <c r="B22" t="s">
        <v>101</v>
      </c>
      <c r="C22" s="1">
        <f>Schedules!F6</f>
        <v>40257</v>
      </c>
      <c r="D22" s="1">
        <f>Schedules!G6</f>
        <v>40257</v>
      </c>
      <c r="E22" s="1">
        <f>Schedules!H6</f>
        <v>40257</v>
      </c>
      <c r="F22" s="1">
        <f>Schedules!I6</f>
        <v>40257</v>
      </c>
      <c r="G22" s="1">
        <f>Schedules!J6</f>
        <v>40257</v>
      </c>
    </row>
    <row r="23" spans="2:7" x14ac:dyDescent="0.3">
      <c r="C23" s="1"/>
      <c r="D23" s="1"/>
      <c r="E23" s="1"/>
      <c r="F23" s="1"/>
      <c r="G23" s="1"/>
    </row>
    <row r="24" spans="2:7" x14ac:dyDescent="0.3">
      <c r="B24" s="3" t="s">
        <v>102</v>
      </c>
      <c r="C24" s="4">
        <f>-C22</f>
        <v>-40257</v>
      </c>
      <c r="D24" s="4">
        <f t="shared" ref="D24:G24" si="4">-D22</f>
        <v>-40257</v>
      </c>
      <c r="E24" s="4">
        <f t="shared" si="4"/>
        <v>-40257</v>
      </c>
      <c r="F24" s="4">
        <f t="shared" si="4"/>
        <v>-40257</v>
      </c>
      <c r="G24" s="4">
        <f t="shared" si="4"/>
        <v>-40257</v>
      </c>
    </row>
    <row r="25" spans="2:7" x14ac:dyDescent="0.3">
      <c r="C25" s="1"/>
      <c r="D25" s="1"/>
      <c r="E25" s="1"/>
      <c r="F25" s="1"/>
      <c r="G25" s="1"/>
    </row>
    <row r="26" spans="2:7" x14ac:dyDescent="0.3">
      <c r="B26" s="47" t="s">
        <v>103</v>
      </c>
      <c r="C26" s="61">
        <f>C24+C20+C13</f>
        <v>50873.985922392654</v>
      </c>
      <c r="D26" s="61">
        <f t="shared" ref="D26:G26" si="5">D24+D20+D13</f>
        <v>80326.943259338252</v>
      </c>
      <c r="E26" s="61">
        <f t="shared" si="5"/>
        <v>107489.39716034872</v>
      </c>
      <c r="F26" s="61">
        <f t="shared" si="5"/>
        <v>140285.94003861974</v>
      </c>
      <c r="G26" s="61">
        <f t="shared" si="5"/>
        <v>179757.41605778385</v>
      </c>
    </row>
    <row r="27" spans="2:7" x14ac:dyDescent="0.3">
      <c r="C27" s="1"/>
      <c r="D27" s="1"/>
      <c r="E27" s="1"/>
      <c r="F27" s="1"/>
      <c r="G27" s="1"/>
    </row>
    <row r="28" spans="2:7" x14ac:dyDescent="0.3">
      <c r="B28" t="s">
        <v>104</v>
      </c>
      <c r="C28" s="1">
        <f>'P&amp;L'!F31-'Cash Flow'!C6</f>
        <v>205.35863215994505</v>
      </c>
      <c r="D28" s="1">
        <f>'P&amp;L'!G31-'Cash Flow'!D6</f>
        <v>259.96299405115496</v>
      </c>
      <c r="E28" s="1">
        <f>'P&amp;L'!H31-'Cash Flow'!E6</f>
        <v>314.56735594235943</v>
      </c>
      <c r="F28" s="1">
        <f>'P&amp;L'!I31-'Cash Flow'!F6</f>
        <v>369.17171783356753</v>
      </c>
      <c r="G28" s="1">
        <f>'P&amp;L'!J31-'Cash Flow'!G6</f>
        <v>423.77607972477563</v>
      </c>
    </row>
    <row r="29" spans="2:7" x14ac:dyDescent="0.3">
      <c r="B29" t="s">
        <v>105</v>
      </c>
      <c r="C29" s="1">
        <f>Schedules!F18</f>
        <v>1747.7125164781794</v>
      </c>
      <c r="D29" s="1">
        <f>Schedules!G18</f>
        <v>2212.4250329563588</v>
      </c>
      <c r="E29" s="1">
        <f>Schedules!H18</f>
        <v>2677.1375494345384</v>
      </c>
      <c r="F29" s="1">
        <f>Schedules!I18</f>
        <v>3141.8500659127176</v>
      </c>
      <c r="G29" s="1">
        <f>Schedules!J18</f>
        <v>3606.5625823908972</v>
      </c>
    </row>
    <row r="30" spans="2:7" x14ac:dyDescent="0.3">
      <c r="B30" t="s">
        <v>106</v>
      </c>
      <c r="C30" s="1">
        <f>Schedules!F15</f>
        <v>10441</v>
      </c>
      <c r="D30" s="1">
        <f>Schedules!G15</f>
        <v>10441</v>
      </c>
      <c r="E30" s="1">
        <f>Schedules!H15</f>
        <v>10441</v>
      </c>
      <c r="F30" s="1">
        <f>Schedules!I15</f>
        <v>10441</v>
      </c>
      <c r="G30" s="1">
        <f>Schedules!J15</f>
        <v>10441</v>
      </c>
    </row>
    <row r="31" spans="2:7" x14ac:dyDescent="0.3">
      <c r="C31" s="1"/>
      <c r="D31" s="1"/>
      <c r="E31" s="1"/>
      <c r="F31" s="1"/>
      <c r="G31" s="1"/>
    </row>
    <row r="32" spans="2:7" ht="15" thickBot="1" x14ac:dyDescent="0.35">
      <c r="B32" s="62" t="s">
        <v>107</v>
      </c>
      <c r="C32" s="63">
        <f>C26-C28+C29+C30</f>
        <v>62857.339806710894</v>
      </c>
      <c r="D32" s="63">
        <f t="shared" ref="D32:G32" si="6">D26-D28+D29+D30</f>
        <v>92720.405298243466</v>
      </c>
      <c r="E32" s="63">
        <f t="shared" si="6"/>
        <v>120292.9673538409</v>
      </c>
      <c r="F32" s="63">
        <f t="shared" si="6"/>
        <v>153499.61838669892</v>
      </c>
      <c r="G32" s="63">
        <f t="shared" si="6"/>
        <v>193381.20256044998</v>
      </c>
    </row>
    <row r="33" ht="15" thickTop="1" x14ac:dyDescent="0.3"/>
  </sheetData>
  <mergeCells count="2">
    <mergeCell ref="B2:G2"/>
    <mergeCell ref="B3:G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27AB-5AC9-4BBF-8989-8E42177447D3}">
  <dimension ref="B2:C16"/>
  <sheetViews>
    <sheetView showGridLines="0" workbookViewId="0">
      <selection activeCell="H12" sqref="H12"/>
    </sheetView>
  </sheetViews>
  <sheetFormatPr defaultRowHeight="14.4" x14ac:dyDescent="0.3"/>
  <cols>
    <col min="1" max="1" width="1.88671875" customWidth="1"/>
    <col min="2" max="2" width="24.109375" customWidth="1"/>
    <col min="3" max="3" width="16.88671875" customWidth="1"/>
  </cols>
  <sheetData>
    <row r="2" spans="2:3" x14ac:dyDescent="0.3">
      <c r="B2" s="91" t="s">
        <v>111</v>
      </c>
      <c r="C2" s="91"/>
    </row>
    <row r="4" spans="2:3" x14ac:dyDescent="0.3">
      <c r="B4" t="s">
        <v>112</v>
      </c>
      <c r="C4" s="77">
        <v>4.3999999999999997E-2</v>
      </c>
    </row>
    <row r="5" spans="2:3" x14ac:dyDescent="0.3">
      <c r="B5" t="s">
        <v>113</v>
      </c>
      <c r="C5" s="77">
        <v>4.4999999999999998E-2</v>
      </c>
    </row>
    <row r="6" spans="2:3" x14ac:dyDescent="0.3">
      <c r="B6" t="s">
        <v>114</v>
      </c>
      <c r="C6" s="78">
        <v>1.39</v>
      </c>
    </row>
    <row r="9" spans="2:3" x14ac:dyDescent="0.3">
      <c r="B9" t="s">
        <v>115</v>
      </c>
      <c r="C9" s="18">
        <f>C4+C5*C6</f>
        <v>0.10654999999999999</v>
      </c>
    </row>
    <row r="10" spans="2:3" x14ac:dyDescent="0.3">
      <c r="B10" t="s">
        <v>116</v>
      </c>
      <c r="C10" s="79">
        <v>0.04</v>
      </c>
    </row>
    <row r="11" spans="2:3" x14ac:dyDescent="0.3">
      <c r="B11" t="s">
        <v>117</v>
      </c>
      <c r="C11" s="1">
        <f>'Balanace Sheet'!J35</f>
        <v>807021.32530632871</v>
      </c>
    </row>
    <row r="12" spans="2:3" x14ac:dyDescent="0.3">
      <c r="B12" t="s">
        <v>118</v>
      </c>
      <c r="C12" s="1">
        <f>'Balanace Sheet'!J26</f>
        <v>81031</v>
      </c>
    </row>
    <row r="13" spans="2:3" x14ac:dyDescent="0.3">
      <c r="B13" t="s">
        <v>119</v>
      </c>
      <c r="C13" s="64">
        <f>C11/(C11+C12)</f>
        <v>0.90875425052003689</v>
      </c>
    </row>
    <row r="14" spans="2:3" x14ac:dyDescent="0.3">
      <c r="B14" t="s">
        <v>120</v>
      </c>
      <c r="C14" s="64">
        <f>C12/(C11+C12)</f>
        <v>9.124574947996314E-2</v>
      </c>
    </row>
    <row r="16" spans="2:3" x14ac:dyDescent="0.3">
      <c r="B16" s="65" t="s">
        <v>121</v>
      </c>
      <c r="C16" s="66">
        <f>(C9*C13)+(C10*C14)</f>
        <v>0.10047759537210844</v>
      </c>
    </row>
  </sheetData>
  <mergeCells count="1"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F842-E87F-4AFD-AABA-EE8DEB6E3110}">
  <dimension ref="B2:J26"/>
  <sheetViews>
    <sheetView showGridLines="0" workbookViewId="0">
      <selection activeCell="N1" sqref="N1"/>
    </sheetView>
  </sheetViews>
  <sheetFormatPr defaultRowHeight="14.4" x14ac:dyDescent="0.3"/>
  <cols>
    <col min="1" max="1" width="1.88671875" customWidth="1"/>
    <col min="2" max="2" width="33.21875" customWidth="1"/>
    <col min="5" max="5" width="11.109375" customWidth="1"/>
    <col min="6" max="6" width="10.6640625" customWidth="1"/>
    <col min="7" max="8" width="10.88671875" customWidth="1"/>
    <col min="9" max="10" width="11.21875" customWidth="1"/>
  </cols>
  <sheetData>
    <row r="2" spans="2:10" ht="21" x14ac:dyDescent="0.4">
      <c r="B2" s="87" t="s">
        <v>122</v>
      </c>
      <c r="C2" s="87"/>
      <c r="D2" s="87"/>
      <c r="E2" s="87"/>
      <c r="F2" s="87"/>
      <c r="G2" s="87"/>
      <c r="H2" s="87"/>
      <c r="I2" s="87"/>
      <c r="J2" s="87"/>
    </row>
    <row r="3" spans="2:10" x14ac:dyDescent="0.3">
      <c r="B3" s="88" t="str">
        <f>'Cash Flow'!B3:G3</f>
        <v>(In millions, except per share amounts)</v>
      </c>
      <c r="C3" s="88"/>
      <c r="D3" s="88"/>
      <c r="E3" s="88"/>
      <c r="F3" s="88"/>
      <c r="G3" s="88"/>
      <c r="H3" s="88"/>
      <c r="I3" s="88"/>
      <c r="J3" s="88"/>
    </row>
    <row r="4" spans="2:10" x14ac:dyDescent="0.3">
      <c r="B4" s="40" t="str">
        <f>'Cash Flow'!B4</f>
        <v>Particular</v>
      </c>
      <c r="C4" s="40">
        <f>'Cash Flow'!C4</f>
        <v>2025</v>
      </c>
      <c r="D4" s="40">
        <f>'Cash Flow'!D4</f>
        <v>2026</v>
      </c>
      <c r="E4" s="40">
        <f>'Cash Flow'!E4</f>
        <v>2027</v>
      </c>
      <c r="F4" s="40">
        <f>'Cash Flow'!F4</f>
        <v>2028</v>
      </c>
      <c r="G4" s="40">
        <f>'Cash Flow'!G4</f>
        <v>2029</v>
      </c>
      <c r="H4" s="40"/>
      <c r="I4" s="40"/>
      <c r="J4" s="40"/>
    </row>
    <row r="5" spans="2:10" x14ac:dyDescent="0.3">
      <c r="B5" t="s">
        <v>103</v>
      </c>
      <c r="C5" s="1">
        <f>'Cash Flow'!C26</f>
        <v>50873.985922392654</v>
      </c>
      <c r="D5" s="1">
        <f>'Cash Flow'!D26</f>
        <v>80326.943259338252</v>
      </c>
      <c r="E5" s="1">
        <f>'Cash Flow'!E26</f>
        <v>107489.39716034872</v>
      </c>
      <c r="F5" s="1">
        <f>'Cash Flow'!F26</f>
        <v>140285.94003861974</v>
      </c>
      <c r="G5" s="1">
        <f>'Cash Flow'!G26</f>
        <v>179757.41605778385</v>
      </c>
    </row>
    <row r="6" spans="2:10" x14ac:dyDescent="0.3">
      <c r="B6" t="s">
        <v>123</v>
      </c>
      <c r="C6" s="28">
        <f>1/(1+$C$8)^C7</f>
        <v>0.90869637347034438</v>
      </c>
      <c r="D6" s="28">
        <f t="shared" ref="D6:G6" si="0">1/(1+$C$8)^D7</f>
        <v>0.82572909915815573</v>
      </c>
      <c r="E6" s="28">
        <f t="shared" si="0"/>
        <v>0.75033703787395045</v>
      </c>
      <c r="F6" s="28">
        <f t="shared" si="0"/>
        <v>0.68182854519653924</v>
      </c>
      <c r="G6" s="28">
        <f t="shared" si="0"/>
        <v>0.61957512634865608</v>
      </c>
    </row>
    <row r="7" spans="2:10" x14ac:dyDescent="0.3">
      <c r="B7" t="s">
        <v>124</v>
      </c>
      <c r="C7" s="78">
        <v>1</v>
      </c>
      <c r="D7" s="78">
        <v>2</v>
      </c>
      <c r="E7" s="78">
        <v>3</v>
      </c>
      <c r="F7" s="78">
        <v>4</v>
      </c>
      <c r="G7" s="78">
        <v>5</v>
      </c>
    </row>
    <row r="8" spans="2:10" x14ac:dyDescent="0.3">
      <c r="B8" t="s">
        <v>121</v>
      </c>
      <c r="C8" s="18">
        <f>WACC!C16</f>
        <v>0.10047759537210844</v>
      </c>
    </row>
    <row r="10" spans="2:10" x14ac:dyDescent="0.3">
      <c r="B10" t="s">
        <v>125</v>
      </c>
      <c r="C10" s="1">
        <f>C5*C6</f>
        <v>46229.006511659558</v>
      </c>
      <c r="D10" s="1">
        <f t="shared" ref="D10:G10" si="1">D5*D6</f>
        <v>66328.29449566167</v>
      </c>
      <c r="E10" s="1">
        <f t="shared" si="1"/>
        <v>80653.275868152676</v>
      </c>
      <c r="F10" s="1">
        <f t="shared" si="1"/>
        <v>95650.958408061037</v>
      </c>
      <c r="G10" s="1">
        <f t="shared" si="1"/>
        <v>111373.22376610937</v>
      </c>
    </row>
    <row r="12" spans="2:10" x14ac:dyDescent="0.3">
      <c r="B12" t="s">
        <v>126</v>
      </c>
      <c r="C12" s="1">
        <f>SUM(C10:G10)</f>
        <v>400234.75904964429</v>
      </c>
    </row>
    <row r="14" spans="2:10" x14ac:dyDescent="0.3">
      <c r="B14" t="s">
        <v>131</v>
      </c>
      <c r="C14" s="79">
        <v>2.8000000000000001E-2</v>
      </c>
    </row>
    <row r="15" spans="2:10" x14ac:dyDescent="0.3">
      <c r="B15" t="s">
        <v>127</v>
      </c>
      <c r="C15" s="1">
        <f>G5*(1+C14)/(C8-C14)</f>
        <v>2549624.0977458637</v>
      </c>
      <c r="E15" s="92" t="s">
        <v>135</v>
      </c>
      <c r="F15" s="92"/>
      <c r="G15" s="92"/>
      <c r="H15" s="92"/>
      <c r="I15" s="92"/>
      <c r="J15" s="92"/>
    </row>
    <row r="16" spans="2:10" x14ac:dyDescent="0.3">
      <c r="E16" s="67">
        <f>C19</f>
        <v>1979918.4315521161</v>
      </c>
      <c r="F16" s="68">
        <v>0.08</v>
      </c>
      <c r="G16" s="68">
        <v>0.09</v>
      </c>
      <c r="H16" s="68">
        <v>0.1004776</v>
      </c>
      <c r="I16" s="68">
        <v>0.11</v>
      </c>
      <c r="J16" s="68">
        <v>0.12</v>
      </c>
    </row>
    <row r="17" spans="2:10" x14ac:dyDescent="0.3">
      <c r="B17" t="s">
        <v>128</v>
      </c>
      <c r="C17" s="1">
        <f>C15*G6</f>
        <v>1579683.6725024718</v>
      </c>
      <c r="E17" s="68">
        <v>0.01</v>
      </c>
      <c r="F17" s="69">
        <f t="dataTable" ref="F17:J21" dt2D="1" dtr="1" r1="C8" r2="C14"/>
        <v>2191945.3816689011</v>
      </c>
      <c r="G17" s="69">
        <v>1888475.1637329755</v>
      </c>
      <c r="H17" s="69">
        <v>1643492.2406909582</v>
      </c>
      <c r="I17" s="69">
        <v>1466151.3615137935</v>
      </c>
      <c r="J17" s="69">
        <v>1313659.59016528</v>
      </c>
    </row>
    <row r="18" spans="2:10" x14ac:dyDescent="0.3">
      <c r="E18" s="68">
        <v>0.02</v>
      </c>
      <c r="F18" s="69">
        <v>2506533.6365832435</v>
      </c>
      <c r="G18" s="70">
        <v>2115876.3876816719</v>
      </c>
      <c r="H18" s="70">
        <v>1811816.1853396813</v>
      </c>
      <c r="I18" s="70">
        <v>1597720.0035021626</v>
      </c>
      <c r="J18" s="69">
        <v>1417513.306194426</v>
      </c>
    </row>
    <row r="19" spans="2:10" x14ac:dyDescent="0.3">
      <c r="B19" s="71" t="s">
        <v>129</v>
      </c>
      <c r="C19" s="72">
        <f>C12+C17</f>
        <v>1979918.4315521161</v>
      </c>
      <c r="E19" s="68">
        <v>2.8000000000000001E-2</v>
      </c>
      <c r="F19" s="69">
        <v>2845320.9880294576</v>
      </c>
      <c r="G19" s="70">
        <v>2350613.1349835517</v>
      </c>
      <c r="H19" s="70">
        <v>1979918.2917488259</v>
      </c>
      <c r="I19" s="70">
        <v>1726079.6542225224</v>
      </c>
      <c r="J19" s="69">
        <v>1516851.6432657831</v>
      </c>
    </row>
    <row r="20" spans="2:10" x14ac:dyDescent="0.3">
      <c r="B20" t="s">
        <v>118</v>
      </c>
      <c r="C20" s="1">
        <f>'Balanace Sheet'!J26</f>
        <v>81031</v>
      </c>
      <c r="E20" s="68">
        <v>0.04</v>
      </c>
      <c r="F20" s="69">
        <v>3607592.5287834406</v>
      </c>
      <c r="G20" s="70">
        <v>2843560.3043174995</v>
      </c>
      <c r="H20" s="70">
        <v>2315458.7417357457</v>
      </c>
      <c r="I20" s="70">
        <v>1973630.4091832163</v>
      </c>
      <c r="J20" s="69">
        <v>1703111.0252745773</v>
      </c>
    </row>
    <row r="21" spans="2:10" x14ac:dyDescent="0.3">
      <c r="B21" t="s">
        <v>132</v>
      </c>
      <c r="C21" s="1">
        <f>'Balanace Sheet'!J7</f>
        <v>666640.53340594412</v>
      </c>
      <c r="E21" s="68">
        <v>0.05</v>
      </c>
      <c r="F21" s="69">
        <v>4708651.4209836386</v>
      </c>
      <c r="G21" s="69">
        <v>3480283.7313738493</v>
      </c>
      <c r="H21" s="69">
        <v>2716943.2041172762</v>
      </c>
      <c r="I21" s="69">
        <v>2255563.2134440076</v>
      </c>
      <c r="J21" s="69">
        <v>1907109.3960461142</v>
      </c>
    </row>
    <row r="22" spans="2:10" x14ac:dyDescent="0.3">
      <c r="B22" s="73" t="s">
        <v>130</v>
      </c>
      <c r="C22" s="74">
        <f>C19-C20+C21</f>
        <v>2565527.9649580601</v>
      </c>
    </row>
    <row r="23" spans="2:10" x14ac:dyDescent="0.3">
      <c r="B23" t="s">
        <v>133</v>
      </c>
      <c r="C23" s="80">
        <v>2521</v>
      </c>
      <c r="J23" t="s">
        <v>75</v>
      </c>
    </row>
    <row r="24" spans="2:10" ht="15" thickBot="1" x14ac:dyDescent="0.35"/>
    <row r="25" spans="2:10" ht="15" thickBot="1" x14ac:dyDescent="0.35">
      <c r="B25" s="75" t="s">
        <v>134</v>
      </c>
      <c r="C25" s="76">
        <f>C22/C23</f>
        <v>1017.6628183094249</v>
      </c>
    </row>
    <row r="26" spans="2:10" ht="15" thickTop="1" x14ac:dyDescent="0.3"/>
  </sheetData>
  <mergeCells count="3">
    <mergeCell ref="E15:J15"/>
    <mergeCell ref="B2:J2"/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 10k Report </vt:lpstr>
      <vt:lpstr>Revenue Sources</vt:lpstr>
      <vt:lpstr>Other Items</vt:lpstr>
      <vt:lpstr>Schedules</vt:lpstr>
      <vt:lpstr>P&amp;L</vt:lpstr>
      <vt:lpstr>Balanace Sheet</vt:lpstr>
      <vt:lpstr>Cash Flow</vt:lpstr>
      <vt:lpstr>WACC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PARMAR</dc:creator>
  <cp:lastModifiedBy>SANJEEV PARMAR</cp:lastModifiedBy>
  <dcterms:created xsi:type="dcterms:W3CDTF">2025-12-27T11:03:11Z</dcterms:created>
  <dcterms:modified xsi:type="dcterms:W3CDTF">2026-01-13T17:49:01Z</dcterms:modified>
</cp:coreProperties>
</file>