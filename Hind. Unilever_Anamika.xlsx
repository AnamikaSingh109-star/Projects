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13_ncr:1_{D554E416-2EBF-4104-BACE-E2BA951474F8}" xr6:coauthVersionLast="47" xr6:coauthVersionMax="47" xr10:uidLastSave="{00000000-0000-0000-0000-000000000000}"/>
  <bookViews>
    <workbookView xWindow="-108" yWindow="-108" windowWidth="23256" windowHeight="12456" firstSheet="5" activeTab="5" xr2:uid="{00000000-000D-0000-FFFF-FFFF00000000}"/>
  </bookViews>
  <sheets>
    <sheet name="Profit &amp; Loss" sheetId="1" state="hidden" r:id="rId1"/>
    <sheet name="Quarters" sheetId="3" state="hidden" r:id="rId2"/>
    <sheet name="Cover Page" sheetId="12" state="hidden" r:id="rId3"/>
    <sheet name="Table of Content" sheetId="13" state="hidden" r:id="rId4"/>
    <sheet name="Source Data Sheet" sheetId="6" state="hidden" r:id="rId5"/>
    <sheet name="Income Statement" sheetId="7" r:id="rId6"/>
    <sheet name="Balance Sheet" sheetId="8" r:id="rId7"/>
    <sheet name="Cash Flow" sheetId="9" r:id="rId8"/>
    <sheet name="Ratios" sheetId="10" r:id="rId9"/>
    <sheet name="Comparative Industry Analysis" sheetId="11" r:id="rId10"/>
  </sheets>
  <definedNames>
    <definedName name="UPDATE">'Source Data Sheet'!$E$1</definedName>
  </definedNames>
  <calcPr calcId="19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8" i="8" l="1"/>
  <c r="J8" i="8"/>
  <c r="H8" i="8"/>
  <c r="E25" i="10"/>
  <c r="D25" i="10"/>
  <c r="E24" i="10"/>
  <c r="D24" i="10"/>
  <c r="E23" i="10"/>
  <c r="D23" i="10"/>
  <c r="D19" i="10"/>
  <c r="E19" i="10"/>
  <c r="C19" i="10"/>
  <c r="D18" i="10"/>
  <c r="E18" i="10"/>
  <c r="C18" i="10"/>
  <c r="C11" i="7"/>
  <c r="C10" i="7"/>
  <c r="D17" i="10"/>
  <c r="E17" i="10"/>
  <c r="C17" i="10"/>
  <c r="D16" i="10"/>
  <c r="E16" i="10"/>
  <c r="C16" i="10"/>
  <c r="D12" i="10"/>
  <c r="E12" i="10"/>
  <c r="C12" i="10"/>
  <c r="D11" i="10"/>
  <c r="E11" i="10"/>
  <c r="C11" i="10"/>
  <c r="D7" i="10"/>
  <c r="E7" i="10"/>
  <c r="C7" i="10"/>
  <c r="D6" i="10"/>
  <c r="E6" i="10"/>
  <c r="C6" i="10"/>
  <c r="B3" i="10"/>
  <c r="H18" i="9"/>
  <c r="H17" i="9"/>
  <c r="G15" i="9"/>
  <c r="H13" i="9"/>
  <c r="H12" i="9"/>
  <c r="G10" i="9"/>
  <c r="H8" i="9"/>
  <c r="H7" i="9"/>
  <c r="G5" i="9"/>
  <c r="B3" i="9"/>
  <c r="D68" i="9"/>
  <c r="E68" i="9"/>
  <c r="C68" i="9"/>
  <c r="D66" i="9"/>
  <c r="E66" i="9"/>
  <c r="C66" i="9"/>
  <c r="D55" i="9"/>
  <c r="E55" i="9"/>
  <c r="C55" i="9"/>
  <c r="D27" i="9"/>
  <c r="D35" i="9" s="1"/>
  <c r="D37" i="9" s="1"/>
  <c r="E27" i="9"/>
  <c r="E35" i="9" s="1"/>
  <c r="E37" i="9" s="1"/>
  <c r="C27" i="9"/>
  <c r="C35" i="9" s="1"/>
  <c r="C37" i="9" s="1"/>
  <c r="H7" i="8"/>
  <c r="I7" i="8"/>
  <c r="J7" i="8"/>
  <c r="H6" i="8"/>
  <c r="I6" i="8"/>
  <c r="J6" i="8"/>
  <c r="G7" i="8"/>
  <c r="G6" i="8"/>
  <c r="D67" i="8"/>
  <c r="E67" i="8"/>
  <c r="C67" i="8"/>
  <c r="C66" i="8"/>
  <c r="D65" i="8"/>
  <c r="D66" i="8" s="1"/>
  <c r="E65" i="8"/>
  <c r="E66" i="8" s="1"/>
  <c r="C65" i="8"/>
  <c r="D64" i="8"/>
  <c r="E64" i="8"/>
  <c r="C64" i="8"/>
  <c r="D60" i="8"/>
  <c r="E60" i="8"/>
  <c r="C60" i="8"/>
  <c r="D58" i="8"/>
  <c r="E58" i="8"/>
  <c r="C58" i="8"/>
  <c r="D47" i="8"/>
  <c r="E47" i="8"/>
  <c r="C47" i="8"/>
  <c r="D39" i="8"/>
  <c r="E39" i="8"/>
  <c r="C39" i="8"/>
  <c r="E32" i="8"/>
  <c r="D32" i="8"/>
  <c r="C32" i="8"/>
  <c r="D30" i="8"/>
  <c r="E30" i="8"/>
  <c r="C30" i="8"/>
  <c r="D18" i="8"/>
  <c r="E18" i="8"/>
  <c r="C18" i="8"/>
  <c r="B3" i="8"/>
  <c r="D27" i="7"/>
  <c r="E27" i="7"/>
  <c r="C27" i="7"/>
  <c r="B27" i="7"/>
  <c r="D23" i="7"/>
  <c r="E23" i="7"/>
  <c r="C23" i="7"/>
  <c r="B23" i="7"/>
  <c r="C19" i="7"/>
  <c r="D19" i="7"/>
  <c r="E19" i="7"/>
  <c r="B19" i="7"/>
  <c r="D18" i="7"/>
  <c r="E18" i="7"/>
  <c r="C18" i="7"/>
  <c r="B18" i="7"/>
  <c r="C15" i="7"/>
  <c r="C21" i="7" s="1"/>
  <c r="C25" i="7" s="1"/>
  <c r="C29" i="7" s="1"/>
  <c r="C30" i="7" s="1"/>
  <c r="D13" i="7"/>
  <c r="E13" i="7"/>
  <c r="C13" i="7"/>
  <c r="B13" i="7"/>
  <c r="D10" i="7"/>
  <c r="D11" i="7" s="1"/>
  <c r="E10" i="7"/>
  <c r="E15" i="7" s="1"/>
  <c r="D8" i="7"/>
  <c r="E8" i="7"/>
  <c r="C8" i="7"/>
  <c r="E6" i="7"/>
  <c r="D6" i="7"/>
  <c r="D5" i="7"/>
  <c r="E5" i="7"/>
  <c r="C5" i="7"/>
  <c r="C6" i="3"/>
  <c r="D6" i="3"/>
  <c r="E6" i="3"/>
  <c r="F6" i="3"/>
  <c r="G6" i="3"/>
  <c r="H6" i="3"/>
  <c r="I6" i="3"/>
  <c r="J6" i="3"/>
  <c r="K6" i="3"/>
  <c r="B6" i="3"/>
  <c r="C5" i="1"/>
  <c r="D5" i="1"/>
  <c r="E5" i="1"/>
  <c r="F5" i="1"/>
  <c r="G5" i="1"/>
  <c r="H5" i="1"/>
  <c r="I5" i="1"/>
  <c r="J5" i="1"/>
  <c r="K5" i="1"/>
  <c r="B5" i="1"/>
  <c r="B6" i="6"/>
  <c r="C4" i="3"/>
  <c r="C14" i="3" s="1"/>
  <c r="D4" i="3"/>
  <c r="D14" i="3" s="1"/>
  <c r="E4" i="3"/>
  <c r="F4" i="3"/>
  <c r="G4" i="3"/>
  <c r="H4" i="3"/>
  <c r="I4" i="3"/>
  <c r="J4" i="3"/>
  <c r="L4" i="1" s="1"/>
  <c r="L23" i="1" s="1"/>
  <c r="K4" i="3"/>
  <c r="K14" i="3" s="1"/>
  <c r="C5" i="3"/>
  <c r="D5" i="3"/>
  <c r="E5" i="3"/>
  <c r="F5" i="3"/>
  <c r="G5" i="3"/>
  <c r="H5" i="3"/>
  <c r="I5" i="3"/>
  <c r="L5" i="1" s="1"/>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G6" i="1" s="1"/>
  <c r="G19" i="1" s="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F14" i="1" s="1"/>
  <c r="G12" i="1"/>
  <c r="G13" i="1" s="1"/>
  <c r="G14" i="1" s="1"/>
  <c r="H12" i="1"/>
  <c r="I12" i="1"/>
  <c r="I13" i="1" s="1"/>
  <c r="J12" i="1"/>
  <c r="J13" i="1" s="1"/>
  <c r="K12" i="1"/>
  <c r="K13" i="1" s="1"/>
  <c r="K14" i="1" s="1"/>
  <c r="C15" i="1"/>
  <c r="D15" i="1"/>
  <c r="E15" i="1"/>
  <c r="F15" i="1"/>
  <c r="G15" i="1"/>
  <c r="H15" i="1"/>
  <c r="H14" i="1" s="1"/>
  <c r="I15" i="1"/>
  <c r="J15" i="1"/>
  <c r="J14" i="1" s="1"/>
  <c r="K15" i="1"/>
  <c r="B15" i="1"/>
  <c r="H13" i="1"/>
  <c r="B7" i="1"/>
  <c r="B4" i="1"/>
  <c r="A1" i="1"/>
  <c r="E1" i="6"/>
  <c r="H1" i="1" s="1"/>
  <c r="E6" i="1"/>
  <c r="E19" i="1"/>
  <c r="I6" i="1"/>
  <c r="I19" i="1" s="1"/>
  <c r="J6" i="1"/>
  <c r="J19" i="1"/>
  <c r="K6" i="1"/>
  <c r="K19" i="1" s="1"/>
  <c r="C6" i="1"/>
  <c r="C19" i="1"/>
  <c r="D6" i="1"/>
  <c r="D19" i="1" s="1"/>
  <c r="B6" i="1"/>
  <c r="B19" i="1" s="1"/>
  <c r="C3" i="3"/>
  <c r="D3" i="3"/>
  <c r="E3" i="3"/>
  <c r="F3" i="3"/>
  <c r="G3" i="3"/>
  <c r="H3" i="3"/>
  <c r="I3" i="3"/>
  <c r="J3" i="3"/>
  <c r="K3" i="3"/>
  <c r="C3" i="1"/>
  <c r="D3" i="1"/>
  <c r="E3" i="1"/>
  <c r="F3" i="1"/>
  <c r="G3" i="1"/>
  <c r="H3" i="1"/>
  <c r="I3" i="1"/>
  <c r="J3" i="1"/>
  <c r="K3" i="1"/>
  <c r="H14" i="3"/>
  <c r="F14" i="3"/>
  <c r="B12" i="3"/>
  <c r="B11" i="3"/>
  <c r="B10" i="3"/>
  <c r="B9" i="3"/>
  <c r="B8" i="3"/>
  <c r="B7" i="3"/>
  <c r="B4" i="3"/>
  <c r="B14" i="3" s="1"/>
  <c r="B3" i="3"/>
  <c r="L15" i="1"/>
  <c r="B12" i="1"/>
  <c r="B13" i="1" s="1"/>
  <c r="B11" i="1"/>
  <c r="B10" i="1"/>
  <c r="B9" i="1"/>
  <c r="B8" i="1"/>
  <c r="B3" i="1"/>
  <c r="E14" i="3"/>
  <c r="I14" i="3"/>
  <c r="G14" i="3"/>
  <c r="L12" i="1"/>
  <c r="L13" i="1" s="1"/>
  <c r="L14" i="1" s="1"/>
  <c r="L25" i="1" s="1"/>
  <c r="L11" i="1"/>
  <c r="L10" i="1"/>
  <c r="L6" i="1"/>
  <c r="A1" i="3"/>
  <c r="H23" i="1"/>
  <c r="I23" i="1"/>
  <c r="J23" i="1"/>
  <c r="M11" i="1"/>
  <c r="E16" i="7" l="1"/>
  <c r="E21" i="7"/>
  <c r="E25" i="7" s="1"/>
  <c r="E29" i="7" s="1"/>
  <c r="E30" i="7" s="1"/>
  <c r="D15" i="7"/>
  <c r="E11" i="7"/>
  <c r="C16" i="7"/>
  <c r="C14" i="1"/>
  <c r="J14" i="3"/>
  <c r="I14" i="1"/>
  <c r="K25" i="1" s="1"/>
  <c r="M25" i="1" s="1"/>
  <c r="M14" i="1" s="1"/>
  <c r="L19" i="1"/>
  <c r="L24" i="1" s="1"/>
  <c r="D13" i="1"/>
  <c r="E13" i="1" s="1"/>
  <c r="E14" i="1" s="1"/>
  <c r="I25" i="1" s="1"/>
  <c r="N11" i="1"/>
  <c r="K24" i="1"/>
  <c r="M24" i="1" s="1"/>
  <c r="L9" i="1"/>
  <c r="M9" i="1" s="1"/>
  <c r="L8" i="1"/>
  <c r="N8" i="1" s="1"/>
  <c r="L7" i="1"/>
  <c r="E1" i="3"/>
  <c r="B14" i="1"/>
  <c r="J25" i="1"/>
  <c r="N23" i="1"/>
  <c r="N4" i="1" s="1"/>
  <c r="K23" i="1"/>
  <c r="M23" i="1" s="1"/>
  <c r="M4" i="1" s="1"/>
  <c r="H6" i="1"/>
  <c r="H19" i="1" s="1"/>
  <c r="J24" i="1" s="1"/>
  <c r="F6" i="1"/>
  <c r="F19" i="1" s="1"/>
  <c r="H24" i="1" s="1"/>
  <c r="D21" i="7" l="1"/>
  <c r="D25" i="7" s="1"/>
  <c r="D29" i="7" s="1"/>
  <c r="D30" i="7" s="1"/>
  <c r="D16" i="7"/>
  <c r="M8" i="1"/>
  <c r="N9" i="1"/>
  <c r="D14" i="1"/>
  <c r="H25" i="1" s="1"/>
  <c r="N25" i="1" s="1"/>
  <c r="N14" i="1" s="1"/>
  <c r="I24" i="1"/>
  <c r="N24" i="1" s="1"/>
  <c r="N6" i="1" s="1"/>
  <c r="M6" i="1"/>
  <c r="M10" i="1" s="1"/>
  <c r="M12" i="1" s="1"/>
  <c r="M13" i="1" s="1"/>
  <c r="M15" i="1" s="1"/>
  <c r="N10" i="1" l="1"/>
  <c r="N12" i="1" s="1"/>
  <c r="N13" i="1" s="1"/>
  <c r="N5" i="1"/>
  <c r="N15" i="1"/>
  <c r="M5" i="1"/>
</calcChain>
</file>

<file path=xl/sharedStrings.xml><?xml version="1.0" encoding="utf-8"?>
<sst xmlns="http://schemas.openxmlformats.org/spreadsheetml/2006/main" count="291" uniqueCount="234">
  <si>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</si>
  <si>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</si>
  <si>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</si>
  <si>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</si>
  <si>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</si>
  <si>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</si>
  <si>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</si>
  <si>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</si>
  <si>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</si>
  <si>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</si>
  <si>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</si>
  <si>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</si>
  <si>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</si>
  <si>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</si>
  <si>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</si>
  <si>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</si>
  <si>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</si>
  <si>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</si>
  <si>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</si>
  <si>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</si>
  <si>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</si>
  <si>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</si>
  <si>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</si>
  <si>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</si>
  <si>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</si>
  <si>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</si>
  <si>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</si>
  <si>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</si>
  <si>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</si>
  <si>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</si>
  <si>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</si>
  <si>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</si>
  <si>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</si>
  <si>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</si>
  <si>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</si>
  <si>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</si>
  <si>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</si>
  <si>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</si>
  <si>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</si>
  <si>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</si>
  <si>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</si>
  <si>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</si>
  <si>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</si>
  <si>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</si>
  <si>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EPS</t>
  </si>
  <si>
    <t>Price</t>
  </si>
  <si>
    <t>LATEST VERSION</t>
  </si>
  <si>
    <t>CURRENT VERSION</t>
  </si>
  <si>
    <t>HINDUSTAN UNILEVER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</si>
  <si>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</si>
  <si>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</si>
  <si>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</si>
  <si>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</si>
  <si>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</si>
  <si>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</si>
  <si>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</si>
  <si>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</si>
  <si>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</si>
  <si>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</si>
  <si>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</si>
  <si>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</si>
  <si>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</si>
  <si>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</si>
  <si>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</si>
  <si>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</si>
  <si>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</si>
  <si>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</si>
  <si>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</si>
  <si>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</si>
  <si>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</si>
  <si>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</si>
  <si>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</si>
  <si>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</si>
  <si>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</si>
  <si>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</si>
  <si>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Income Statement for Hindustan Unilever</t>
  </si>
  <si>
    <t>Amount in Rs. Cr.</t>
  </si>
  <si>
    <t>Particular</t>
  </si>
  <si>
    <t>Revenue</t>
  </si>
  <si>
    <t>% Growth</t>
  </si>
  <si>
    <t>COGS</t>
  </si>
  <si>
    <t>Gross Profit</t>
  </si>
  <si>
    <t>Gross Profit Margin</t>
  </si>
  <si>
    <t>EBITDA</t>
  </si>
  <si>
    <t>EBITDA %</t>
  </si>
  <si>
    <t>EBIT</t>
  </si>
  <si>
    <t>EBT</t>
  </si>
  <si>
    <t>Net Profit</t>
  </si>
  <si>
    <t>Net Profit Margin</t>
  </si>
  <si>
    <t>-</t>
  </si>
  <si>
    <t>Trend</t>
  </si>
  <si>
    <t>Current Liabilities</t>
  </si>
  <si>
    <t>Current Assets</t>
  </si>
  <si>
    <t>Balance Sheet for Hindustan Unilever</t>
  </si>
  <si>
    <t>Ratios</t>
  </si>
  <si>
    <t>Current Ratio</t>
  </si>
  <si>
    <t>Debt to Equity Ratio</t>
  </si>
  <si>
    <t>Other Current Assets</t>
  </si>
  <si>
    <t>Goodwill</t>
  </si>
  <si>
    <t>Other Intangible Assets</t>
  </si>
  <si>
    <t>Other Current Liabilities</t>
  </si>
  <si>
    <t>Particulars</t>
  </si>
  <si>
    <t>Non-Current Assets</t>
  </si>
  <si>
    <t>Property, Plant &amp; Equipment</t>
  </si>
  <si>
    <t>Capital Work-in-Progress</t>
  </si>
  <si>
    <t>Investments (Equity Method)</t>
  </si>
  <si>
    <t>Loans</t>
  </si>
  <si>
    <t>Other Financial Assets</t>
  </si>
  <si>
    <t>Deferred Tax Assets</t>
  </si>
  <si>
    <t>Non-current Tax Assets (Net)</t>
  </si>
  <si>
    <t>Other Non-current Assets</t>
  </si>
  <si>
    <t>Total Non-Current Assets (A)</t>
  </si>
  <si>
    <t>Inventories</t>
  </si>
  <si>
    <t>Trade Receivables</t>
  </si>
  <si>
    <t>Cash &amp; Cash Equivalents</t>
  </si>
  <si>
    <t>Bank Balances (Other)</t>
  </si>
  <si>
    <t>Assets Held for Sale</t>
  </si>
  <si>
    <t>Total Current Assets (B)</t>
  </si>
  <si>
    <t>TOTAL ASSETS (A+B)</t>
  </si>
  <si>
    <t>Equity</t>
  </si>
  <si>
    <t>Other Equity</t>
  </si>
  <si>
    <t>Non-controlling Interest</t>
  </si>
  <si>
    <t>Total Equity (A)</t>
  </si>
  <si>
    <t>Non-Current Liabilities</t>
  </si>
  <si>
    <t>Lease Liabilities</t>
  </si>
  <si>
    <t>Other Financial Liabilities</t>
  </si>
  <si>
    <t>Provisions</t>
  </si>
  <si>
    <t>Deferred Tax Liabilities</t>
  </si>
  <si>
    <t>Non-current Tax Liabilities (Net)</t>
  </si>
  <si>
    <t>Total Non-Current Liabilities (B)</t>
  </si>
  <si>
    <t>Trade Payables (MSME)</t>
  </si>
  <si>
    <t>Trade Payables (Others)</t>
  </si>
  <si>
    <t>Current Tax Liabilities</t>
  </si>
  <si>
    <t>Total Current Liabilities (C)</t>
  </si>
  <si>
    <t>TOTAL EQUITY &amp; LIABILITIES (A+B+C)</t>
  </si>
  <si>
    <t>EQUITY &amp; LIABILITIES</t>
  </si>
  <si>
    <t>ASSETS</t>
  </si>
  <si>
    <t>Profit Before Tax</t>
  </si>
  <si>
    <t>Adjustments:</t>
  </si>
  <si>
    <t>Depreciation &amp; Amortisation</t>
  </si>
  <si>
    <t>Loss on Sale of PPE</t>
  </si>
  <si>
    <t>Fair Value Loss/(Gain) on Financial Liability</t>
  </si>
  <si>
    <t>Interest Income</t>
  </si>
  <si>
    <t>Dividend Income</t>
  </si>
  <si>
    <t>Other Non-Operating Income</t>
  </si>
  <si>
    <t>Interest Expense</t>
  </si>
  <si>
    <t>Profit on Sale of Business</t>
  </si>
  <si>
    <t>Movement in Provisions</t>
  </si>
  <si>
    <t>Payment from Retirement Benefit Reserve</t>
  </si>
  <si>
    <t>Share of Loss of JV</t>
  </si>
  <si>
    <t>Inventory Write-off</t>
  </si>
  <si>
    <t>Bad Debts Written Off</t>
  </si>
  <si>
    <t>Share-Based Payments</t>
  </si>
  <si>
    <t>Mark-to-Market (Gain)/Loss</t>
  </si>
  <si>
    <t>Cash from Operations before WC Changes</t>
  </si>
  <si>
    <t>Working Capital Changes:</t>
  </si>
  <si>
    <t>Change in Non-Current Assets</t>
  </si>
  <si>
    <t>Change in Current Assets</t>
  </si>
  <si>
    <t>Change in Inventories</t>
  </si>
  <si>
    <t>Change in Non-Current Liabilities</t>
  </si>
  <si>
    <t>Change in Current Liabilities</t>
  </si>
  <si>
    <t>Cash Generated from Operations</t>
  </si>
  <si>
    <t>Taxes Paid</t>
  </si>
  <si>
    <t>Net Cash from Operating Activities (A)</t>
  </si>
  <si>
    <t>Purchase of PPE</t>
  </si>
  <si>
    <t>Sale of PPE</t>
  </si>
  <si>
    <t>Purchase of Intangible Assets</t>
  </si>
  <si>
    <t>Sale of Business</t>
  </si>
  <si>
    <t>Contingent Consideration Paid</t>
  </si>
  <si>
    <t>Purchase of Current Investments</t>
  </si>
  <si>
    <t>Sale of Current Investments</t>
  </si>
  <si>
    <t>Loans Repaid</t>
  </si>
  <si>
    <t>Investment in Term Deposits</t>
  </si>
  <si>
    <t>Redemption of Term Deposits</t>
  </si>
  <si>
    <t>Interest Received</t>
  </si>
  <si>
    <t>Dividend Received</t>
  </si>
  <si>
    <t>Net Cash from Investing Activities (B)</t>
  </si>
  <si>
    <t>B. Cash Flows from Investing Activities</t>
  </si>
  <si>
    <t>A. Cash Flows from Operating Activities</t>
  </si>
  <si>
    <t>Dividends Paid</t>
  </si>
  <si>
    <t>Repayment of Short-Term Borrowings</t>
  </si>
  <si>
    <t>Lease Liability Payments (Principal)</t>
  </si>
  <si>
    <t>Interest on Lease Liabilities</t>
  </si>
  <si>
    <t>Interest on Other Borrowings</t>
  </si>
  <si>
    <t>Net Cash from Financing Activities (C)</t>
  </si>
  <si>
    <t>C. Cash Flows from Financing Activities</t>
  </si>
  <si>
    <t>Contingent consideration true up for business combination</t>
  </si>
  <si>
    <t>Provision for expenses on employee stock options</t>
  </si>
  <si>
    <t>Profit on sale of brand rights</t>
  </si>
  <si>
    <t>Transaction cost from acquisition</t>
  </si>
  <si>
    <t>Investment in subsidiary</t>
  </si>
  <si>
    <t>Transaction cost on acquisition</t>
  </si>
  <si>
    <t>Investment in joint venture</t>
  </si>
  <si>
    <t>Amount taken for short term purpose</t>
  </si>
  <si>
    <t>Borrowings repaid</t>
  </si>
  <si>
    <t>Employee stock options paid</t>
  </si>
  <si>
    <t>Net Change in Cash</t>
  </si>
  <si>
    <t>Cash Flow for Hindustan Unilever</t>
  </si>
  <si>
    <t>The largest positive or negative contributors category.</t>
  </si>
  <si>
    <t xml:space="preserve">Positive </t>
  </si>
  <si>
    <t>Negative</t>
  </si>
  <si>
    <t>Ratio Analysis for Hindustan Unilever</t>
  </si>
  <si>
    <t>Liquidity Ratios</t>
  </si>
  <si>
    <t>Quick Ratio</t>
  </si>
  <si>
    <t>Solvency Ratio</t>
  </si>
  <si>
    <t>Debt-to-Equity Ratio</t>
  </si>
  <si>
    <t>Interest Coverage Ratio</t>
  </si>
  <si>
    <t>Profitability Ratios</t>
  </si>
  <si>
    <t>Return on Equity (ROE)</t>
  </si>
  <si>
    <t>Return on Assets (ROA)</t>
  </si>
  <si>
    <t>Efficiency Ratios</t>
  </si>
  <si>
    <t>Inventory Turnove</t>
  </si>
  <si>
    <t>Accounts Receivable Turnover</t>
  </si>
  <si>
    <t>Asset Turnover</t>
  </si>
  <si>
    <t>Key Differences (Latest Year)</t>
  </si>
  <si>
    <t>Revenue Growth:</t>
  </si>
  <si>
    <t>Margins:</t>
  </si>
  <si>
    <t>Key Ratios:</t>
  </si>
  <si>
    <t>Competitive Advantages &amp; Weaknesses</t>
  </si>
  <si>
    <t>Trend Analysis</t>
  </si>
  <si>
    <t>Trade Payables</t>
  </si>
  <si>
    <t>Project Title</t>
  </si>
  <si>
    <t>Student Name</t>
  </si>
  <si>
    <t>Course Name and Instructor Details</t>
  </si>
  <si>
    <t>Date of Submission</t>
  </si>
  <si>
    <t>Financial Statement Analysis for Hindustan Unilever</t>
  </si>
  <si>
    <t>Anamika Singh</t>
  </si>
  <si>
    <t>Financial Modelling &amp; Valuation</t>
  </si>
  <si>
    <t>Table of Content</t>
  </si>
  <si>
    <t>Source Data</t>
  </si>
  <si>
    <t>Income Statement</t>
  </si>
  <si>
    <t>Balance Sheet</t>
  </si>
  <si>
    <t>Cash Flow'</t>
  </si>
  <si>
    <t>Comparative Industry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</si>
</sst>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409]mmm\-yy;@"/>
    <numFmt numFmtId="166" formatCode="_ &quot;₹&quot;\ * #,##0.0_ ;_ &quot;₹&quot;\ * \-#,##0.0_ ;_ &quot;₹&quot;\ * &quot;-&quot;??_ ;_ @_ "/>
    <numFmt numFmtId="167" formatCode="&quot;₹&quot;\ #,##0.00"/>
    <numFmt numFmtId="168" formatCode="_ &quot;₹&quot;\ * #,##0.0_ ;_ &quot;₹&quot;\ * \-#,##0.0_ ;_ &quot;₹&quot;\ * &quot;-&quot;?_ ;_ @_ "/>
  </numFmts>
  <fonts count="1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i/>
      <sz val="11"/>
      <color theme="1"/>
      <name val="Calibri"/>
      <family val="2"/>
      <scheme val="minor"/>
    </font>
    <font>
      <b/>
      <sz val="14"/>
      <color theme="0"/>
      <name val="Calibri"/>
      <family val="2"/>
      <scheme val="minor"/>
    </font>
    <font>
      <i/>
      <sz val="10"/>
      <color theme="0"/>
      <name val="Calibri"/>
      <family val="2"/>
      <scheme val="minor"/>
    </font>
    <font>
      <b/>
      <sz val="13.5"/>
      <color theme="1"/>
      <name val="Calibri"/>
      <family val="2"/>
      <scheme val="minor"/>
    </font>
    <font>
      <b/>
      <sz val="12"/>
      <color theme="0"/>
      <name val="Calibri"/>
      <family val="2"/>
      <scheme val="minor"/>
    </font>
    <font>
      <i/>
      <sz val="11"/>
      <color rgb="FF000000"/>
      <name val="Calibri"/>
      <family val="2"/>
      <scheme val="minor"/>
    </font>
    <font>
      <i/>
      <sz val="11"/>
      <color theme="0"/>
      <name val="Calibri"/>
      <family val="2"/>
      <scheme val="minor"/>
    </font>
    <font>
      <b/>
      <sz val="11"/>
      <color theme="8"/>
      <name val="Calibri"/>
      <family val="2"/>
      <scheme val="minor"/>
    </font>
  </fonts>
  <fills count="12">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0066"/>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rgb="FFAAE571"/>
        <bgColor indexed="64"/>
      </patternFill>
    </fill>
    <fill>
      <patternFill patternType="solid">
        <fgColor rgb="FFFF5050"/>
        <bgColor indexed="64"/>
      </patternFill>
    </fill>
  </fills>
  <borders count="5">
    <border>
      <left/>
      <right/>
      <top/>
      <bottom/>
      <diagonal/>
    </border>
    <border>
      <left/>
      <right/>
      <top style="dashed">
        <color auto="1"/>
      </top>
      <bottom style="thin">
        <color auto="1"/>
      </bottom>
      <diagonal/>
    </border>
    <border>
      <left/>
      <right/>
      <top style="thin">
        <color auto="1"/>
      </top>
      <bottom style="medium">
        <color auto="1"/>
      </bottom>
      <diagonal/>
    </border>
    <border>
      <left/>
      <right/>
      <top style="medium">
        <color auto="1"/>
      </top>
      <bottom style="thick">
        <color auto="1"/>
      </bottom>
      <diagonal/>
    </border>
    <border>
      <left/>
      <right/>
      <top style="medium">
        <color auto="1"/>
      </top>
      <bottom style="double">
        <color auto="1"/>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82">
    <xf numFmtId="0" fontId="0" fillId="0" borderId="0" xfId="0"/>
    <xf numFmtId="43" fontId="1" fillId="0" borderId="0" xfId="1" applyFont="1" applyBorder="1"/>
    <xf numFmtId="0" fontId="1" fillId="0" borderId="0" xfId="0" applyFont="1"/>
    <xf numFmtId="0" fontId="6" fillId="0" borderId="0" xfId="0" applyFont="1"/>
    <xf numFmtId="43" fontId="0" fillId="0" borderId="0" xfId="1" applyFont="1" applyBorder="1"/>
    <xf numFmtId="10" fontId="0" fillId="0" borderId="0" xfId="0" applyNumberFormat="1"/>
    <xf numFmtId="43" fontId="3" fillId="0" borderId="0" xfId="1" applyFont="1" applyBorder="1"/>
    <xf numFmtId="9" fontId="3" fillId="0" borderId="0" xfId="1" applyNumberFormat="1" applyFont="1"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5" fontId="2" fillId="5" borderId="0" xfId="1" applyNumberFormat="1" applyFont="1" applyFill="1" applyBorder="1"/>
    <xf numFmtId="165" fontId="7" fillId="0" borderId="0" xfId="1" applyNumberFormat="1" applyFont="1" applyFill="1" applyBorder="1"/>
    <xf numFmtId="0" fontId="7" fillId="0" borderId="0" xfId="0" applyFont="1"/>
    <xf numFmtId="164" fontId="0" fillId="0" borderId="0" xfId="1" applyNumberFormat="1" applyFont="1" applyBorder="1"/>
    <xf numFmtId="43" fontId="0" fillId="0" borderId="0" xfId="0" applyNumberFormat="1"/>
    <xf numFmtId="166" fontId="0" fillId="0" borderId="0" xfId="0" applyNumberFormat="1"/>
    <xf numFmtId="0" fontId="2" fillId="6" borderId="0" xfId="0" applyFont="1" applyFill="1"/>
    <xf numFmtId="17" fontId="2" fillId="6" borderId="0" xfId="0" applyNumberFormat="1" applyFont="1" applyFill="1"/>
    <xf numFmtId="0" fontId="2" fillId="6" borderId="0" xfId="0" applyFont="1" applyFill="1" applyAlignment="1">
      <alignment horizontal="right"/>
    </xf>
    <xf numFmtId="0" fontId="8" fillId="7" borderId="0" xfId="0" applyFont="1" applyFill="1"/>
    <xf numFmtId="10" fontId="8" fillId="7" borderId="0" xfId="0" applyNumberFormat="1" applyFont="1" applyFill="1"/>
    <xf numFmtId="0" fontId="1" fillId="0" borderId="1" xfId="0" applyFont="1" applyBorder="1"/>
    <xf numFmtId="166" fontId="1" fillId="0" borderId="1" xfId="0" applyNumberFormat="1" applyFont="1" applyBorder="1"/>
    <xf numFmtId="0" fontId="1" fillId="8" borderId="2" xfId="0" applyFont="1" applyFill="1" applyBorder="1"/>
    <xf numFmtId="166" fontId="1" fillId="8" borderId="2" xfId="0" applyNumberFormat="1" applyFont="1" applyFill="1" applyBorder="1"/>
    <xf numFmtId="3" fontId="0" fillId="0" borderId="0" xfId="0" applyNumberFormat="1"/>
    <xf numFmtId="15" fontId="1" fillId="0" borderId="0" xfId="0" applyNumberFormat="1"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3" fontId="1" fillId="0" borderId="0" xfId="0" applyNumberFormat="1" applyFont="1" applyAlignment="1">
      <alignment vertical="center" wrapText="1"/>
    </xf>
    <xf numFmtId="0" fontId="11" fillId="0" borderId="0" xfId="0" applyFont="1" applyAlignment="1">
      <alignment vertical="center"/>
    </xf>
    <xf numFmtId="2" fontId="0" fillId="0" borderId="0" xfId="0" applyNumberFormat="1"/>
    <xf numFmtId="3" fontId="1" fillId="0" borderId="0" xfId="0" applyNumberFormat="1" applyFont="1"/>
    <xf numFmtId="0" fontId="2" fillId="6" borderId="0" xfId="0" applyFont="1" applyFill="1" applyAlignment="1">
      <alignment horizontal="left" vertical="center" wrapText="1"/>
    </xf>
    <xf numFmtId="15" fontId="2" fillId="6" borderId="0" xfId="0" applyNumberFormat="1" applyFont="1" applyFill="1" applyAlignment="1">
      <alignment horizontal="righ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166" fontId="0" fillId="0" borderId="0" xfId="0" applyNumberFormat="1" applyAlignment="1">
      <alignment vertical="center" wrapText="1"/>
    </xf>
    <xf numFmtId="166" fontId="1" fillId="0" borderId="1" xfId="0" applyNumberFormat="1" applyFont="1" applyBorder="1" applyAlignment="1">
      <alignment vertical="center" wrapText="1"/>
    </xf>
    <xf numFmtId="166" fontId="1" fillId="0" borderId="3" xfId="0" applyNumberFormat="1" applyFont="1" applyBorder="1" applyAlignment="1">
      <alignment vertical="center" wrapText="1"/>
    </xf>
    <xf numFmtId="166" fontId="1" fillId="0" borderId="0" xfId="0" applyNumberFormat="1" applyFont="1" applyAlignment="1">
      <alignment horizontal="center" vertical="center" wrapText="1"/>
    </xf>
    <xf numFmtId="0" fontId="1" fillId="8" borderId="0" xfId="0" applyFont="1" applyFill="1" applyAlignment="1">
      <alignment horizontal="left" vertical="center" wrapText="1"/>
    </xf>
    <xf numFmtId="15" fontId="1" fillId="8" borderId="0" xfId="0" applyNumberFormat="1" applyFont="1" applyFill="1" applyAlignment="1">
      <alignment horizontal="right" vertical="center" wrapText="1"/>
    </xf>
    <xf numFmtId="0" fontId="8" fillId="0" borderId="0" xfId="0" applyFont="1"/>
    <xf numFmtId="166" fontId="8" fillId="9" borderId="0" xfId="0" applyNumberFormat="1" applyFont="1" applyFill="1"/>
    <xf numFmtId="2" fontId="8" fillId="9" borderId="0" xfId="0" applyNumberFormat="1" applyFont="1" applyFill="1"/>
    <xf numFmtId="3" fontId="0" fillId="0" borderId="0" xfId="0" applyNumberFormat="1" applyAlignment="1">
      <alignment vertical="center" wrapText="1"/>
    </xf>
    <xf numFmtId="15" fontId="1" fillId="0" borderId="0" xfId="0" applyNumberFormat="1" applyFont="1" applyAlignment="1">
      <alignment horizontal="center" vertical="center"/>
    </xf>
    <xf numFmtId="0" fontId="0" fillId="0" borderId="0" xfId="0" applyAlignment="1">
      <alignment vertical="center"/>
    </xf>
    <xf numFmtId="0" fontId="1" fillId="0" borderId="0" xfId="0" applyFont="1" applyAlignment="1">
      <alignment vertical="center"/>
    </xf>
    <xf numFmtId="166" fontId="0" fillId="0" borderId="0" xfId="0" applyNumberFormat="1" applyAlignment="1">
      <alignment horizontal="right"/>
    </xf>
    <xf numFmtId="166" fontId="0" fillId="0" borderId="0" xfId="0" applyNumberFormat="1" applyAlignment="1">
      <alignment horizontal="right" vertical="center"/>
    </xf>
    <xf numFmtId="166" fontId="1" fillId="0" borderId="0" xfId="0" applyNumberFormat="1" applyFont="1" applyAlignment="1">
      <alignment horizontal="right"/>
    </xf>
    <xf numFmtId="166" fontId="0" fillId="0" borderId="0" xfId="0" applyNumberFormat="1" applyAlignment="1">
      <alignment horizontal="right" vertical="center" wrapText="1"/>
    </xf>
    <xf numFmtId="0" fontId="1" fillId="9" borderId="1" xfId="0" applyFont="1" applyFill="1" applyBorder="1" applyAlignment="1">
      <alignment vertical="center"/>
    </xf>
    <xf numFmtId="166" fontId="1" fillId="9" borderId="1" xfId="0" applyNumberFormat="1" applyFont="1" applyFill="1" applyBorder="1" applyAlignment="1">
      <alignment horizontal="right"/>
    </xf>
    <xf numFmtId="0" fontId="1" fillId="8" borderId="4" xfId="0" applyFont="1" applyFill="1" applyBorder="1"/>
    <xf numFmtId="166" fontId="1" fillId="8" borderId="4" xfId="0" applyNumberFormat="1" applyFont="1" applyFill="1" applyBorder="1" applyAlignment="1">
      <alignment horizontal="right" vertical="center" wrapText="1"/>
    </xf>
    <xf numFmtId="0" fontId="0" fillId="10" borderId="0" xfId="0" applyFill="1"/>
    <xf numFmtId="0" fontId="0" fillId="11" borderId="0" xfId="0" applyFill="1"/>
    <xf numFmtId="0" fontId="13" fillId="0" borderId="0" xfId="0" applyFont="1"/>
    <xf numFmtId="0" fontId="2" fillId="6" borderId="0" xfId="0" applyFont="1" applyFill="1" applyAlignment="1">
      <alignment horizontal="left" vertical="center"/>
    </xf>
    <xf numFmtId="15" fontId="2" fillId="6" borderId="0" xfId="0" applyNumberFormat="1" applyFont="1" applyFill="1" applyAlignment="1">
      <alignment horizontal="right" vertical="center"/>
    </xf>
    <xf numFmtId="168" fontId="0" fillId="0" borderId="0" xfId="0" applyNumberFormat="1"/>
    <xf numFmtId="0" fontId="15" fillId="0" borderId="0" xfId="0" applyFont="1" applyAlignment="1">
      <alignment horizontal="right"/>
    </xf>
    <xf numFmtId="15" fontId="15" fillId="0" borderId="0" xfId="0" applyNumberFormat="1" applyFont="1" applyAlignment="1">
      <alignment horizontal="right"/>
    </xf>
    <xf numFmtId="0" fontId="4" fillId="0" borderId="0" xfId="2" applyAlignment="1" applyProtection="1"/>
    <xf numFmtId="0" fontId="4" fillId="0" borderId="0" xfId="2" quotePrefix="1" applyAlignment="1" applyProtection="1"/>
    <xf numFmtId="0" fontId="9" fillId="6" borderId="0" xfId="0" applyFont="1" applyFill="1"/>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9" fillId="6" borderId="0" xfId="0" applyFont="1" applyFill="1" applyAlignment="1">
      <alignment horizontal="center"/>
    </xf>
    <xf numFmtId="0" fontId="10" fillId="6" borderId="0" xfId="0" applyFont="1" applyFill="1" applyAlignment="1">
      <alignment horizontal="center"/>
    </xf>
    <xf numFmtId="0" fontId="12" fillId="6" borderId="0" xfId="0" applyFont="1" applyFill="1" applyAlignment="1">
      <alignment horizontal="center"/>
    </xf>
    <xf numFmtId="0" fontId="2" fillId="6" borderId="0" xfId="0" applyFont="1" applyFill="1" applyAlignment="1">
      <alignment horizontal="center"/>
    </xf>
    <xf numFmtId="167" fontId="2" fillId="6" borderId="0" xfId="0" applyNumberFormat="1" applyFont="1" applyFill="1" applyAlignment="1">
      <alignment horizontal="center"/>
    </xf>
    <xf numFmtId="0" fontId="14" fillId="6" borderId="0" xfId="0" applyFont="1" applyFill="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00066"/>
      <color rgb="FFFF5050"/>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Growth</a:t>
            </a:r>
            <a:r>
              <a:rPr lang="en-IN" baseline="0"/>
              <a:t> </a:t>
            </a:r>
          </a:p>
        </c:rich>
      </c:tx>
      <c:layout>
        <c:manualLayout>
          <c:xMode val="edge"/>
          <c:yMode val="edge"/>
          <c:x val="0.37711194131772346"/>
          <c:y val="3.4422910298955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cat>
            <c:strRef>
              <c:f>('Income Statement'!$B$6,'Income Statement'!$B$11,'Income Statement'!$B$16,'Income Statement'!$B$30)</c:f>
              <c:strCache>
                <c:ptCount val="4"/>
                <c:pt idx="0">
                  <c:v>% Growth</c:v>
                </c:pt>
                <c:pt idx="1">
                  <c:v>Gross Profit Margin</c:v>
                </c:pt>
                <c:pt idx="2">
                  <c:v>EBITDA %</c:v>
                </c:pt>
                <c:pt idx="3">
                  <c:v>Net Profit Margin</c:v>
                </c:pt>
              </c:strCache>
            </c:strRef>
          </c:cat>
          <c:val>
            <c:numRef>
              <c:f>('Income Statement'!$C$6,'Income Statement'!$C$11,'Income Statement'!$C$16,'Income Statement'!$C$30)</c:f>
              <c:numCache>
                <c:formatCode>0.00%</c:formatCode>
                <c:ptCount val="4"/>
                <c:pt idx="0" formatCode="General">
                  <c:v>0</c:v>
                </c:pt>
                <c:pt idx="1">
                  <c:v>0.46307362165731264</c:v>
                </c:pt>
                <c:pt idx="2">
                  <c:v>0.23352591614394189</c:v>
                </c:pt>
                <c:pt idx="3">
                  <c:v>0.16743149554308354</c:v>
                </c:pt>
              </c:numCache>
            </c:numRef>
          </c:val>
          <c:extLst>
            <c:ext xmlns:c16="http://schemas.microsoft.com/office/drawing/2014/chart" uri="{C3380CC4-5D6E-409C-BE32-E72D297353CC}">
              <c16:uniqueId val="{00000000-BDB7-4849-ABC6-9E8D46EB922A}"/>
            </c:ext>
          </c:extLst>
        </c:ser>
        <c:ser>
          <c:idx val="1"/>
          <c:order val="1"/>
          <c:spPr>
            <a:solidFill>
              <a:srgbClr val="FF0000"/>
            </a:solidFill>
            <a:ln>
              <a:noFill/>
            </a:ln>
            <a:effectLst/>
          </c:spPr>
          <c:invertIfNegative val="0"/>
          <c:cat>
            <c:strRef>
              <c:f>('Income Statement'!$B$6,'Income Statement'!$B$11,'Income Statement'!$B$16,'Income Statement'!$B$30)</c:f>
              <c:strCache>
                <c:ptCount val="4"/>
                <c:pt idx="0">
                  <c:v>% Growth</c:v>
                </c:pt>
                <c:pt idx="1">
                  <c:v>Gross Profit Margin</c:v>
                </c:pt>
                <c:pt idx="2">
                  <c:v>EBITDA %</c:v>
                </c:pt>
                <c:pt idx="3">
                  <c:v>Net Profit Margin</c:v>
                </c:pt>
              </c:strCache>
            </c:strRef>
          </c:cat>
          <c:val>
            <c:numRef>
              <c:f>('Income Statement'!$D$6,'Income Statement'!$D$11,'Income Statement'!$D$16,'Income Statement'!$D$30)</c:f>
              <c:numCache>
                <c:formatCode>0.00%</c:formatCode>
                <c:ptCount val="4"/>
                <c:pt idx="0">
                  <c:v>2.1723341036645749E-2</c:v>
                </c:pt>
                <c:pt idx="1">
                  <c:v>0.50494377665761925</c:v>
                </c:pt>
                <c:pt idx="2">
                  <c:v>0.23683275171255008</c:v>
                </c:pt>
                <c:pt idx="3">
                  <c:v>0.16611735814915343</c:v>
                </c:pt>
              </c:numCache>
            </c:numRef>
          </c:val>
          <c:extLst>
            <c:ext xmlns:c16="http://schemas.microsoft.com/office/drawing/2014/chart" uri="{C3380CC4-5D6E-409C-BE32-E72D297353CC}">
              <c16:uniqueId val="{00000001-BDB7-4849-ABC6-9E8D46EB922A}"/>
            </c:ext>
          </c:extLst>
        </c:ser>
        <c:dLbls>
          <c:showLegendKey val="0"/>
          <c:showVal val="0"/>
          <c:showCatName val="0"/>
          <c:showSerName val="0"/>
          <c:showPercent val="0"/>
          <c:showBubbleSize val="0"/>
        </c:dLbls>
        <c:gapWidth val="219"/>
        <c:overlap val="-27"/>
        <c:axId val="118157039"/>
        <c:axId val="118167119"/>
      </c:barChart>
      <c:lineChart>
        <c:grouping val="standard"/>
        <c:varyColors val="0"/>
        <c:ser>
          <c:idx val="2"/>
          <c:order val="2"/>
          <c:spPr>
            <a:ln w="28575" cap="rnd">
              <a:solidFill>
                <a:schemeClr val="tx1"/>
              </a:solidFill>
              <a:round/>
            </a:ln>
            <a:effectLst/>
          </c:spPr>
          <c:marker>
            <c:symbol val="none"/>
          </c:marker>
          <c:cat>
            <c:strRef>
              <c:f>('Income Statement'!$B$6,'Income Statement'!$B$11,'Income Statement'!$B$16,'Income Statement'!$B$30)</c:f>
              <c:strCache>
                <c:ptCount val="4"/>
                <c:pt idx="0">
                  <c:v>% Growth</c:v>
                </c:pt>
                <c:pt idx="1">
                  <c:v>Gross Profit Margin</c:v>
                </c:pt>
                <c:pt idx="2">
                  <c:v>EBITDA %</c:v>
                </c:pt>
                <c:pt idx="3">
                  <c:v>Net Profit Margin</c:v>
                </c:pt>
              </c:strCache>
            </c:strRef>
          </c:cat>
          <c:val>
            <c:numRef>
              <c:f>('Income Statement'!$E$6,'Income Statement'!$E$11,'Income Statement'!$E$16,'Income Statement'!$E$30)</c:f>
              <c:numCache>
                <c:formatCode>0.00%</c:formatCode>
                <c:ptCount val="4"/>
                <c:pt idx="0">
                  <c:v>1.9791262763344974E-2</c:v>
                </c:pt>
                <c:pt idx="1">
                  <c:v>0.50171892080290237</c:v>
                </c:pt>
                <c:pt idx="2">
                  <c:v>0.23515153435465216</c:v>
                </c:pt>
                <c:pt idx="3">
                  <c:v>0.16905625703014845</c:v>
                </c:pt>
              </c:numCache>
            </c:numRef>
          </c:val>
          <c:smooth val="0"/>
          <c:extLst>
            <c:ext xmlns:c16="http://schemas.microsoft.com/office/drawing/2014/chart" uri="{C3380CC4-5D6E-409C-BE32-E72D297353CC}">
              <c16:uniqueId val="{00000002-BDB7-4849-ABC6-9E8D46EB922A}"/>
            </c:ext>
          </c:extLst>
        </c:ser>
        <c:dLbls>
          <c:showLegendKey val="0"/>
          <c:showVal val="0"/>
          <c:showCatName val="0"/>
          <c:showSerName val="0"/>
          <c:showPercent val="0"/>
          <c:showBubbleSize val="0"/>
        </c:dLbls>
        <c:marker val="1"/>
        <c:smooth val="0"/>
        <c:axId val="118157039"/>
        <c:axId val="118167119"/>
      </c:lineChart>
      <c:catAx>
        <c:axId val="1181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7119"/>
        <c:crosses val="autoZero"/>
        <c:auto val="1"/>
        <c:lblAlgn val="ctr"/>
        <c:lblOffset val="100"/>
        <c:noMultiLvlLbl val="0"/>
      </c:catAx>
      <c:valAx>
        <c:axId val="11816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7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'Balance Sheet'!$H$5</c:f>
              <c:strCache>
                <c:ptCount val="1"/>
                <c:pt idx="0">
                  <c:v>31-Mar-23</c:v>
                </c:pt>
              </c:strCache>
            </c:strRef>
          </c:tx>
          <c:spPr>
            <a:solidFill>
              <a:srgbClr val="FF0000"/>
            </a:solidFill>
            <a:ln>
              <a:noFill/>
            </a:ln>
            <a:effectLst/>
          </c:spPr>
          <c:invertIfNegative val="0"/>
          <c:cat>
            <c:strRef>
              <c:f>'Balance Sheet'!$G$6:$G$9</c:f>
              <c:strCache>
                <c:ptCount val="3"/>
                <c:pt idx="0">
                  <c:v>Inventories</c:v>
                </c:pt>
                <c:pt idx="1">
                  <c:v>Trade Receivables</c:v>
                </c:pt>
                <c:pt idx="2">
                  <c:v>Trade Payables</c:v>
                </c:pt>
              </c:strCache>
            </c:strRef>
          </c:cat>
          <c:val>
            <c:numRef>
              <c:f>'Balance Sheet'!$H$6:$H$9</c:f>
              <c:numCache>
                <c:formatCode>General</c:formatCode>
                <c:ptCount val="4"/>
                <c:pt idx="0" formatCode="#,##0">
                  <c:v>4251</c:v>
                </c:pt>
                <c:pt idx="1">
                  <c:v>3079</c:v>
                </c:pt>
                <c:pt idx="2" formatCode="_ &quot;₹&quot;\ * #,##0.0_ ;_ &quot;₹&quot;\ * \-#,##0.0_ ;_ &quot;₹&quot;\ * &quot;-&quot;?_ ;_ @_ ">
                  <c:v>9574</c:v>
                </c:pt>
              </c:numCache>
            </c:numRef>
          </c:val>
          <c:extLst>
            <c:ext xmlns:c16="http://schemas.microsoft.com/office/drawing/2014/chart" uri="{C3380CC4-5D6E-409C-BE32-E72D297353CC}">
              <c16:uniqueId val="{00000000-0558-4D53-BBAA-52BB4BCF9C7F}"/>
            </c:ext>
          </c:extLst>
        </c:ser>
        <c:ser>
          <c:idx val="1"/>
          <c:order val="1"/>
          <c:tx>
            <c:strRef>
              <c:f>'Balance Sheet'!$I$5</c:f>
              <c:strCache>
                <c:ptCount val="1"/>
                <c:pt idx="0">
                  <c:v>31-Mar-24</c:v>
                </c:pt>
              </c:strCache>
            </c:strRef>
          </c:tx>
          <c:spPr>
            <a:solidFill>
              <a:srgbClr val="FFFF00"/>
            </a:solidFill>
            <a:ln>
              <a:noFill/>
            </a:ln>
            <a:effectLst/>
          </c:spPr>
          <c:invertIfNegative val="0"/>
          <c:cat>
            <c:strRef>
              <c:f>'Balance Sheet'!$G$6:$G$9</c:f>
              <c:strCache>
                <c:ptCount val="3"/>
                <c:pt idx="0">
                  <c:v>Inventories</c:v>
                </c:pt>
                <c:pt idx="1">
                  <c:v>Trade Receivables</c:v>
                </c:pt>
                <c:pt idx="2">
                  <c:v>Trade Payables</c:v>
                </c:pt>
              </c:strCache>
            </c:strRef>
          </c:cat>
          <c:val>
            <c:numRef>
              <c:f>'Balance Sheet'!$I$6:$I$9</c:f>
              <c:numCache>
                <c:formatCode>General</c:formatCode>
                <c:ptCount val="4"/>
                <c:pt idx="0" formatCode="#,##0">
                  <c:v>4022</c:v>
                </c:pt>
                <c:pt idx="1">
                  <c:v>2997</c:v>
                </c:pt>
                <c:pt idx="2" formatCode="_ &quot;₹&quot;\ * #,##0.0_ ;_ &quot;₹&quot;\ * \-#,##0.0_ ;_ &quot;₹&quot;\ * &quot;-&quot;?_ ;_ @_ ">
                  <c:v>10486</c:v>
                </c:pt>
              </c:numCache>
            </c:numRef>
          </c:val>
          <c:extLst>
            <c:ext xmlns:c16="http://schemas.microsoft.com/office/drawing/2014/chart" uri="{C3380CC4-5D6E-409C-BE32-E72D297353CC}">
              <c16:uniqueId val="{00000001-0558-4D53-BBAA-52BB4BCF9C7F}"/>
            </c:ext>
          </c:extLst>
        </c:ser>
        <c:ser>
          <c:idx val="2"/>
          <c:order val="2"/>
          <c:tx>
            <c:strRef>
              <c:f>'Balance Sheet'!$J$5</c:f>
              <c:strCache>
                <c:ptCount val="1"/>
                <c:pt idx="0">
                  <c:v>31-Mar-25</c:v>
                </c:pt>
              </c:strCache>
            </c:strRef>
          </c:tx>
          <c:spPr>
            <a:solidFill>
              <a:srgbClr val="002060"/>
            </a:solidFill>
            <a:ln>
              <a:noFill/>
            </a:ln>
            <a:effectLst/>
          </c:spPr>
          <c:invertIfNegative val="0"/>
          <c:cat>
            <c:strRef>
              <c:f>'Balance Sheet'!$G$6:$G$9</c:f>
              <c:strCache>
                <c:ptCount val="3"/>
                <c:pt idx="0">
                  <c:v>Inventories</c:v>
                </c:pt>
                <c:pt idx="1">
                  <c:v>Trade Receivables</c:v>
                </c:pt>
                <c:pt idx="2">
                  <c:v>Trade Payables</c:v>
                </c:pt>
              </c:strCache>
            </c:strRef>
          </c:cat>
          <c:val>
            <c:numRef>
              <c:f>'Balance Sheet'!$J$6:$J$9</c:f>
              <c:numCache>
                <c:formatCode>General</c:formatCode>
                <c:ptCount val="4"/>
                <c:pt idx="0" formatCode="#,##0">
                  <c:v>4415</c:v>
                </c:pt>
                <c:pt idx="1">
                  <c:v>3819</c:v>
                </c:pt>
                <c:pt idx="2" formatCode="_ &quot;₹&quot;\ * #,##0.0_ ;_ &quot;₹&quot;\ * \-#,##0.0_ ;_ &quot;₹&quot;\ * &quot;-&quot;?_ ;_ @_ ">
                  <c:v>11315</c:v>
                </c:pt>
              </c:numCache>
            </c:numRef>
          </c:val>
          <c:extLst>
            <c:ext xmlns:c16="http://schemas.microsoft.com/office/drawing/2014/chart" uri="{C3380CC4-5D6E-409C-BE32-E72D297353CC}">
              <c16:uniqueId val="{00000002-0558-4D53-BBAA-52BB4BCF9C7F}"/>
            </c:ext>
          </c:extLst>
        </c:ser>
        <c:dLbls>
          <c:showLegendKey val="0"/>
          <c:showVal val="0"/>
          <c:showCatName val="0"/>
          <c:showSerName val="0"/>
          <c:showPercent val="0"/>
          <c:showBubbleSize val="0"/>
        </c:dLbls>
        <c:gapWidth val="219"/>
        <c:overlap val="-27"/>
        <c:axId val="594318271"/>
        <c:axId val="594316351"/>
      </c:barChart>
      <c:catAx>
        <c:axId val="5943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4316351"/>
        <c:crosses val="autoZero"/>
        <c:auto val="1"/>
        <c:lblAlgn val="ctr"/>
        <c:lblOffset val="100"/>
        <c:noMultiLvlLbl val="0"/>
      </c:catAx>
      <c:valAx>
        <c:axId val="594316351"/>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4318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252714</xdr:colOff>
      <xdr:row>3</xdr:row>
      <xdr:rowOff>56175</xdr:rowOff>
    </xdr:from>
    <xdr:to>
      <xdr:col>12</xdr:col>
      <xdr:colOff>73420</xdr:colOff>
      <xdr:row>15</xdr:row>
      <xdr:rowOff>41447</xdr:rowOff>
    </xdr:to>
    <xdr:graphicFrame macro="">
      <xdr:nvGraphicFramePr>
        <xdr:cNvPr id="2" name="Chart 1">
          <a:extLst>
            <a:ext uri="{FF2B5EF4-FFF2-40B4-BE49-F238E27FC236}">
              <a16:creationId xmlns:a16="http://schemas.microsoft.com/office/drawing/2014/main" id="{AEB5F24B-CBA1-38FB-E993-CEB974FC5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103909</xdr:colOff>
      <xdr:row>15</xdr:row>
      <xdr:rowOff>60614</xdr:rowOff>
    </xdr:from>
    <xdr:to>
      <xdr:col>17</xdr:col>
      <xdr:colOff>502226</xdr:colOff>
      <xdr:row>31</xdr:row>
      <xdr:rowOff>25977</xdr:rowOff>
    </xdr:to>
    <xdr:sp macro="" textlink="">
      <xdr:nvSpPr>
        <xdr:cNvPr id="3" name="TextBox 2">
          <a:extLst>
            <a:ext uri="{FF2B5EF4-FFF2-40B4-BE49-F238E27FC236}">
              <a16:creationId xmlns:a16="http://schemas.microsoft.com/office/drawing/2014/main" id="{3111A3A8-A83F-5296-1883-630CE1647476}"/>
            </a:ext>
          </a:extLst>
        </xdr:cNvPr>
        <xdr:cNvSpPr txBox="1"/>
      </xdr:nvSpPr>
      <xdr:spPr>
        <a:xfrm>
          <a:off x="5992091" y="2831523"/>
          <a:ext cx="7065817" cy="288347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Hindustan Unilever demonstrates </a:t>
          </a:r>
          <a:r>
            <a:rPr lang="en-IN" b="1"/>
            <a:t>stable financial performance with consistent growth</a:t>
          </a:r>
          <a:r>
            <a:rPr lang="en-IN"/>
            <a:t> over the period from FY23 to FY25. Revenue increased steadily from ₹60,580 Cr in FY23 to ₹63,121 Cr in FY25, although the growth rate slightly declined from 2.17% in FY24 to 1.98% in FY25, indicating a </a:t>
          </a:r>
          <a:r>
            <a:rPr lang="en-IN" b="1"/>
            <a:t>maturing market and moderate demand expansion</a:t>
          </a:r>
          <a:r>
            <a:rPr lang="en-IN"/>
            <a:t>.</a:t>
          </a:r>
        </a:p>
        <a:p>
          <a:r>
            <a:rPr lang="en-IN"/>
            <a:t>The company’s </a:t>
          </a:r>
          <a:r>
            <a:rPr lang="en-IN" b="1"/>
            <a:t>profitability margins remain strong and well-managed</a:t>
          </a:r>
          <a:r>
            <a:rPr lang="en-IN"/>
            <a:t>. Gross profit margin improved significantly from 46.31% in FY23 to over 50% in FY24 and remained stable at 50.17% in FY25, reflecting effective cost control and pricing power. EBITDA margins also remained consistent at around 23–24%, indicating operational efficiency despite rising expenses. However, other expenses increased over the years, suggesting cost pressures possibly due to inflation, marketing investments, or expansion activities.</a:t>
          </a:r>
        </a:p>
        <a:p>
          <a:r>
            <a:rPr lang="en-IN"/>
            <a:t>Other income showed a notable rise from ₹448 Cr in FY23 to ₹1,322 Cr in FY25, contributing positively to overall profitability. Depreciation and interest expenses also increased gradually, though their impact remains manageable given the company’s strong earnings base.</a:t>
          </a:r>
        </a:p>
        <a:p>
          <a:r>
            <a:rPr lang="en-IN"/>
            <a:t>Net profit grew consistently from ₹10,143 Cr to ₹10,671 Cr, with net profit margins remaining stable around 16–17%. This indicates that the company is able to </a:t>
          </a:r>
          <a:r>
            <a:rPr lang="en-IN" b="1"/>
            <a:t>maintain profitability despite rising costs and slower revenue growth</a:t>
          </a:r>
          <a:r>
            <a:rPr lang="en-IN"/>
            <a:t>.</a:t>
          </a:r>
        </a:p>
        <a:p>
          <a:r>
            <a:rPr lang="en-IN"/>
            <a:t>Overall, Hindustan Unilever exhibits </a:t>
          </a:r>
          <a:r>
            <a:rPr lang="en-IN" b="1"/>
            <a:t>strong financial stability, efficient cost management, and consistent profitability</a:t>
          </a:r>
          <a:r>
            <a:rPr lang="en-IN"/>
            <a:t>, though the slight slowdown in revenue growth and increasing expenses suggest a </a:t>
          </a:r>
          <a:r>
            <a:rPr lang="en-IN" b="1"/>
            <a:t>competitive and mature industry environment</a:t>
          </a:r>
          <a:r>
            <a:rPr lang="en-IN"/>
            <a:t>.</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601980</xdr:colOff>
      <xdr:row>10</xdr:row>
      <xdr:rowOff>45720</xdr:rowOff>
    </xdr:from>
    <xdr:to>
      <xdr:col>10</xdr:col>
      <xdr:colOff>396240</xdr:colOff>
      <xdr:row>25</xdr:row>
      <xdr:rowOff>45720</xdr:rowOff>
    </xdr:to>
    <xdr:graphicFrame macro="">
      <xdr:nvGraphicFramePr>
        <xdr:cNvPr id="2" name="Chart 1">
          <a:extLst>
            <a:ext uri="{FF2B5EF4-FFF2-40B4-BE49-F238E27FC236}">
              <a16:creationId xmlns:a16="http://schemas.microsoft.com/office/drawing/2014/main" id="{2A098A3C-507F-F4A5-5364-7B34A4261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7545</xdr:colOff>
      <xdr:row>28</xdr:row>
      <xdr:rowOff>98078</xdr:rowOff>
    </xdr:from>
    <xdr:to>
      <xdr:col>11</xdr:col>
      <xdr:colOff>995881</xdr:colOff>
      <xdr:row>47</xdr:row>
      <xdr:rowOff>82991</xdr:rowOff>
    </xdr:to>
    <xdr:sp macro="" textlink="">
      <xdr:nvSpPr>
        <xdr:cNvPr id="3" name="TextBox 2">
          <a:extLst>
            <a:ext uri="{FF2B5EF4-FFF2-40B4-BE49-F238E27FC236}">
              <a16:creationId xmlns:a16="http://schemas.microsoft.com/office/drawing/2014/main" id="{EB8269B8-CE31-F7D9-3662-2B7B8B12DF25}"/>
            </a:ext>
          </a:extLst>
        </xdr:cNvPr>
        <xdr:cNvSpPr txBox="1"/>
      </xdr:nvSpPr>
      <xdr:spPr>
        <a:xfrm>
          <a:off x="5530159" y="5303821"/>
          <a:ext cx="5764039" cy="3493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Hindustan Unilever shows </a:t>
          </a:r>
          <a:r>
            <a:rPr lang="en-IN" b="1"/>
            <a:t>stable and well-managed working capital trends</a:t>
          </a:r>
          <a:r>
            <a:rPr lang="en-IN"/>
            <a:t> over the period from FY23 to FY25. Inventory levels increased moderately from </a:t>
          </a:r>
          <a:r>
            <a:rPr lang="en-IN" b="1"/>
            <a:t>₹4,251 Cr (FY23) to ₹4,022 Cr (FY24) and ₹4,415 Cr (FY25)</a:t>
          </a:r>
          <a:r>
            <a:rPr lang="en-IN"/>
            <a:t>. This indicates a slight dip in FY24 followed by recovery in FY25, suggesting efficient inventory management aligned with demand fluctuations. Inventory days have remained stable around </a:t>
          </a:r>
          <a:r>
            <a:rPr lang="en-IN" b="1"/>
            <a:t>55–59 days</a:t>
          </a:r>
          <a:r>
            <a:rPr lang="en-IN"/>
            <a:t>, reflecting consistent operational efficiency. </a:t>
          </a:r>
        </a:p>
        <a:p>
          <a:r>
            <a:rPr lang="en-IN"/>
            <a:t>Trade receivables show a </a:t>
          </a:r>
          <a:r>
            <a:rPr lang="en-IN" b="1"/>
            <a:t>rising trend</a:t>
          </a:r>
          <a:r>
            <a:rPr lang="en-IN"/>
            <a:t>, increasing from around </a:t>
          </a:r>
          <a:r>
            <a:rPr lang="en-IN" b="1"/>
            <a:t>₹3,079 Cr (FY23) to ₹2,997 Cr (FY24) and ₹3,819 Cr (FY25)</a:t>
          </a:r>
          <a:r>
            <a:rPr lang="en-IN"/>
            <a:t>. This rise in FY25 indicates that more cash is tied up in credit sales, possibly due to extended credit terms or higher sales volume. However, receivable turnover remains strong, indicating effective collection efficiency overall.</a:t>
          </a:r>
        </a:p>
        <a:p>
          <a:r>
            <a:rPr lang="en-IN"/>
            <a:t>Trade payables have shown a </a:t>
          </a:r>
          <a:r>
            <a:rPr lang="en-IN" b="1"/>
            <a:t>consistent upward trend</a:t>
          </a:r>
          <a:r>
            <a:rPr lang="en-IN"/>
            <a:t>, increasing from approximately </a:t>
          </a:r>
          <a:r>
            <a:rPr lang="en-IN" b="1"/>
            <a:t>₹9,574 Cr (FY23) to ₹10,486 Cr (FY24) and ₹11,315 Cr (FY25)</a:t>
          </a:r>
          <a:r>
            <a:rPr lang="en-IN"/>
            <a:t>. This suggests that the company is effectively using supplier credit to finance its operations. Payable days have also increased, indicating stronger bargaining power with suppliers. </a:t>
          </a:r>
        </a:p>
        <a:p>
          <a:r>
            <a:rPr lang="en-IN"/>
            <a:t>Overall, HUL operates with a </a:t>
          </a:r>
          <a:r>
            <a:rPr lang="en-IN" b="1"/>
            <a:t>negative working capital cycle</a:t>
          </a:r>
          <a:r>
            <a:rPr lang="en-IN"/>
            <a:t>, where payables exceed receivables and inventory. This is typical for FMCG companies and reflects strong brand power and efficient cash conversion. While rising receivables may require monitoring, the increasing payables and stable inventory indicate </a:t>
          </a:r>
          <a:r>
            <a:rPr lang="en-IN" b="1"/>
            <a:t>efficient working capital management and strong liquidity positioning</a:t>
          </a:r>
          <a:r>
            <a:rPr lang="en-IN"/>
            <a:t>.</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596085</xdr:colOff>
      <xdr:row>20</xdr:row>
      <xdr:rowOff>21756</xdr:rowOff>
    </xdr:from>
    <xdr:to>
      <xdr:col>8</xdr:col>
      <xdr:colOff>585537</xdr:colOff>
      <xdr:row>28</xdr:row>
      <xdr:rowOff>152400</xdr:rowOff>
    </xdr:to>
    <xdr:sp macro="" textlink="">
      <xdr:nvSpPr>
        <xdr:cNvPr id="2" name="TextBox 1">
          <a:extLst>
            <a:ext uri="{FF2B5EF4-FFF2-40B4-BE49-F238E27FC236}">
              <a16:creationId xmlns:a16="http://schemas.microsoft.com/office/drawing/2014/main" id="{363E5CB4-6387-303B-6FE2-3658D583715D}"/>
            </a:ext>
          </a:extLst>
        </xdr:cNvPr>
        <xdr:cNvSpPr txBox="1"/>
      </xdr:nvSpPr>
      <xdr:spPr>
        <a:xfrm>
          <a:off x="7149285" y="3711440"/>
          <a:ext cx="5058757" cy="160651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t>The company demonstrates strong and consistent operating cash flow generation, indicating a healthy core business. However, the decline in recent cash flows and increased working capital requirements suggest some pressure on cash conversion efficiency. Overall, the operating cash flows are sustainable, but improving working capital management will be critical for maintaining long-term stability.</a:t>
          </a:r>
        </a:p>
        <a:p>
          <a:endParaRPr lang="en-IN" sz="1100" b="1" i="1"/>
        </a:p>
        <a:p>
          <a:r>
            <a:rPr lang="en-IN" b="1" i="1"/>
            <a:t>Despite strong operating cash flows, increasing investment in working capital may indicate growth, but it needs to be monitored to avoid liquidity strain.</a:t>
          </a:r>
          <a:endParaRPr lang="en-IN" sz="1100" b="1" i="1"/>
        </a:p>
      </xdr:txBody>
    </xdr:sp>
    <xdr:clientData/>
  </xdr:twoCellAnchor>
  <xdr:oneCellAnchor>
    <xdr:from>
      <xdr:col>10</xdr:col>
      <xdr:colOff>505327</xdr:colOff>
      <xdr:row>25</xdr:row>
      <xdr:rowOff>64169</xdr:rowOff>
    </xdr:from>
    <xdr:ext cx="184731" cy="264560"/>
    <xdr:sp macro="" textlink="">
      <xdr:nvSpPr>
        <xdr:cNvPr id="3" name="TextBox 2">
          <a:extLst>
            <a:ext uri="{FF2B5EF4-FFF2-40B4-BE49-F238E27FC236}">
              <a16:creationId xmlns:a16="http://schemas.microsoft.com/office/drawing/2014/main" id="{BED6A7B9-34B1-B258-4412-3875D7B98AA4}"/>
            </a:ext>
          </a:extLst>
        </xdr:cNvPr>
        <xdr:cNvSpPr txBox="1"/>
      </xdr:nvSpPr>
      <xdr:spPr>
        <a:xfrm>
          <a:off x="13347032" y="46762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2</xdr:row>
      <xdr:rowOff>38100</xdr:rowOff>
    </xdr:from>
    <xdr:to>
      <xdr:col>21</xdr:col>
      <xdr:colOff>22860</xdr:colOff>
      <xdr:row>21</xdr:row>
      <xdr:rowOff>115761</xdr:rowOff>
    </xdr:to>
    <xdr:pic>
      <xdr:nvPicPr>
        <xdr:cNvPr id="2" name="Picture 1">
          <a:extLst>
            <a:ext uri="{FF2B5EF4-FFF2-40B4-BE49-F238E27FC236}">
              <a16:creationId xmlns:a16="http://schemas.microsoft.com/office/drawing/2014/main" id="{B3A904D5-E0F4-D95E-AC6E-6448357E2708}"/>
            </a:ext>
          </a:extLst>
        </xdr:cNvPr>
        <xdr:cNvPicPr>
          <a:picLocks noChangeAspect="1"/>
        </xdr:cNvPicPr>
      </xdr:nvPicPr>
      <xdr:blipFill>
        <a:blip xmlns:r="http://schemas.openxmlformats.org/officeDocument/2006/relationships" r:embed="rId1"/>
        <a:stretch>
          <a:fillRect/>
        </a:stretch>
      </xdr:blipFill>
      <xdr:spPr>
        <a:xfrm>
          <a:off x="4960620" y="403860"/>
          <a:ext cx="9166860" cy="3552381"/>
        </a:xfrm>
        <a:prstGeom prst="rect">
          <a:avLst/>
        </a:prstGeom>
      </xdr:spPr>
    </xdr:pic>
    <xdr:clientData/>
  </xdr:twoCellAnchor>
  <xdr:twoCellAnchor>
    <xdr:from>
      <xdr:col>0</xdr:col>
      <xdr:colOff>601980</xdr:colOff>
      <xdr:row>26</xdr:row>
      <xdr:rowOff>7620</xdr:rowOff>
    </xdr:from>
    <xdr:to>
      <xdr:col>12</xdr:col>
      <xdr:colOff>266700</xdr:colOff>
      <xdr:row>38</xdr:row>
      <xdr:rowOff>167640</xdr:rowOff>
    </xdr:to>
    <xdr:sp macro="" textlink="">
      <xdr:nvSpPr>
        <xdr:cNvPr id="3" name="TextBox 2">
          <a:extLst>
            <a:ext uri="{FF2B5EF4-FFF2-40B4-BE49-F238E27FC236}">
              <a16:creationId xmlns:a16="http://schemas.microsoft.com/office/drawing/2014/main" id="{EA5D2C5C-279F-8587-16AB-DFFDAE1BE26F}"/>
            </a:ext>
          </a:extLst>
        </xdr:cNvPr>
        <xdr:cNvSpPr txBox="1"/>
      </xdr:nvSpPr>
      <xdr:spPr>
        <a:xfrm>
          <a:off x="601980" y="4762500"/>
          <a:ext cx="8282940" cy="23545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t>Hindustan Unilever demonstrates a strong financial position compared to its industry peers in the FMCG sector. The company’s liquidity position, as reflected by a quick ratio of 0.88x, is in line with the industry median, indicating efficient working capital management without excessive idle resources. In terms of solvency, HUL significantly outperforms the industry, with a debt-to-equity ratio of just 0.03x compared to the industry median of 0.40x. This highlights its conservative capital structure and minimal reliance on external debt. Additionally, its interest coverage ratio of 39.22x is substantially higher than the industry median of 3.28x, indicating a very strong ability to meet interest obligations.</a:t>
          </a:r>
        </a:p>
        <a:p>
          <a:r>
            <a:rPr lang="en-IN" i="1"/>
            <a:t>From a profitability perspective, HUL delivers superior returns, with a return on equity (ROE) of 22.08% and return on assets (ROA) of 13.90%, both well above industry averages. This reflects efficient management and strong brand positioning. In terms of operational efficiency, the company’s inventory turnover ratio of 7.28x is significantly higher than the industry median of 2.21x, indicating effective inventory management and strong product demand. However, its asset turnover ratio of 0.79x is slightly below the industry median, suggesting marginally lower asset utilization.</a:t>
          </a:r>
        </a:p>
        <a:p>
          <a:r>
            <a:rPr lang="en-IN" i="1"/>
            <a:t>Overall, HUL stands out as a financially strong, low-risk, and operationally efficient company, outperforming peers across most key financial metrics.</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xdr:colOff>
      <xdr:row>3</xdr:row>
      <xdr:rowOff>68580</xdr:rowOff>
    </xdr:from>
    <xdr:to>
      <xdr:col>9</xdr:col>
      <xdr:colOff>586740</xdr:colOff>
      <xdr:row>7</xdr:row>
      <xdr:rowOff>68580</xdr:rowOff>
    </xdr:to>
    <xdr:sp macro="" textlink="">
      <xdr:nvSpPr>
        <xdr:cNvPr id="2" name="TextBox 1">
          <a:extLst>
            <a:ext uri="{FF2B5EF4-FFF2-40B4-BE49-F238E27FC236}">
              <a16:creationId xmlns:a16="http://schemas.microsoft.com/office/drawing/2014/main" id="{DB4BB159-4105-B116-8A7A-61453ED96A60}"/>
            </a:ext>
          </a:extLst>
        </xdr:cNvPr>
        <xdr:cNvSpPr txBox="1"/>
      </xdr:nvSpPr>
      <xdr:spPr>
        <a:xfrm>
          <a:off x="617220" y="662940"/>
          <a:ext cx="6027420" cy="731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HUL shows </a:t>
          </a:r>
          <a:r>
            <a:rPr lang="en-IN" b="1"/>
            <a:t>moderate growth (~2–4%)</a:t>
          </a:r>
          <a:r>
            <a:rPr lang="en-IN"/>
            <a:t>, while ITC has reported </a:t>
          </a:r>
          <a:r>
            <a:rPr lang="en-IN" b="1"/>
            <a:t>higher revenue growth (~9%)</a:t>
          </a:r>
          <a:r>
            <a:rPr lang="en-IN"/>
            <a:t>, driven by its cigarette and diversified segments. Nestlé India has comparatively </a:t>
          </a:r>
          <a:r>
            <a:rPr lang="en-IN" b="1"/>
            <a:t>slower growth (~1–3%)</a:t>
          </a:r>
          <a:r>
            <a:rPr lang="en-IN"/>
            <a:t>, impacted by pricing pressures and demand slowdown.</a:t>
          </a:r>
          <a:endParaRPr lang="en-IN" sz="1100"/>
        </a:p>
      </xdr:txBody>
    </xdr:sp>
    <xdr:clientData/>
  </xdr:twoCellAnchor>
  <xdr:twoCellAnchor>
    <xdr:from>
      <xdr:col>1</xdr:col>
      <xdr:colOff>15240</xdr:colOff>
      <xdr:row>10</xdr:row>
      <xdr:rowOff>76200</xdr:rowOff>
    </xdr:from>
    <xdr:to>
      <xdr:col>9</xdr:col>
      <xdr:colOff>594360</xdr:colOff>
      <xdr:row>15</xdr:row>
      <xdr:rowOff>7620</xdr:rowOff>
    </xdr:to>
    <xdr:sp macro="" textlink="">
      <xdr:nvSpPr>
        <xdr:cNvPr id="3" name="TextBox 2">
          <a:extLst>
            <a:ext uri="{FF2B5EF4-FFF2-40B4-BE49-F238E27FC236}">
              <a16:creationId xmlns:a16="http://schemas.microsoft.com/office/drawing/2014/main" id="{A7545058-4F69-C90F-FFEB-F08787BCA8EF}"/>
            </a:ext>
          </a:extLst>
        </xdr:cNvPr>
        <xdr:cNvSpPr txBox="1"/>
      </xdr:nvSpPr>
      <xdr:spPr>
        <a:xfrm>
          <a:off x="624840" y="1950720"/>
          <a:ext cx="6027420" cy="845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HUL maintains </a:t>
          </a:r>
          <a:r>
            <a:rPr lang="en-IN" b="1"/>
            <a:t>stable operating margins (~23–24%)</a:t>
          </a:r>
          <a:r>
            <a:rPr lang="en-IN"/>
            <a:t>, reflecting strong cost control. Nestlé India also operates at </a:t>
          </a:r>
          <a:r>
            <a:rPr lang="en-IN" b="1"/>
            <a:t>high margins (~20–22%)</a:t>
          </a:r>
          <a:r>
            <a:rPr lang="en-IN"/>
            <a:t>, but faces volatility due to input costs. ITC often benefits from </a:t>
          </a:r>
          <a:r>
            <a:rPr lang="en-IN" b="1"/>
            <a:t>higher overall profitability</a:t>
          </a:r>
          <a:r>
            <a:rPr lang="en-IN"/>
            <a:t> due to its cigarette business, which supports margins.</a:t>
          </a:r>
          <a:endParaRPr lang="en-IN" sz="1100"/>
        </a:p>
      </xdr:txBody>
    </xdr:sp>
    <xdr:clientData/>
  </xdr:twoCellAnchor>
  <xdr:twoCellAnchor>
    <xdr:from>
      <xdr:col>1</xdr:col>
      <xdr:colOff>22860</xdr:colOff>
      <xdr:row>17</xdr:row>
      <xdr:rowOff>91440</xdr:rowOff>
    </xdr:from>
    <xdr:to>
      <xdr:col>9</xdr:col>
      <xdr:colOff>594360</xdr:colOff>
      <xdr:row>23</xdr:row>
      <xdr:rowOff>53340</xdr:rowOff>
    </xdr:to>
    <xdr:sp macro="" textlink="">
      <xdr:nvSpPr>
        <xdr:cNvPr id="4" name="TextBox 3">
          <a:extLst>
            <a:ext uri="{FF2B5EF4-FFF2-40B4-BE49-F238E27FC236}">
              <a16:creationId xmlns:a16="http://schemas.microsoft.com/office/drawing/2014/main" id="{69064CA9-0952-2948-750A-A601A5721BB2}"/>
            </a:ext>
          </a:extLst>
        </xdr:cNvPr>
        <xdr:cNvSpPr txBox="1"/>
      </xdr:nvSpPr>
      <xdr:spPr>
        <a:xfrm>
          <a:off x="632460" y="3246120"/>
          <a:ext cx="6019800" cy="1059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HUL has </a:t>
          </a:r>
          <a:r>
            <a:rPr lang="en-IN" b="1"/>
            <a:t>strong efficiency metrics</a:t>
          </a:r>
          <a:r>
            <a:rPr lang="en-IN"/>
            <a:t> (inventory turnover ~7x, asset turnover ~0.8x) and </a:t>
          </a:r>
          <a:r>
            <a:rPr lang="en-IN" b="1"/>
            <a:t>high ROE (~21%)</a:t>
          </a:r>
          <a:r>
            <a:rPr lang="en-IN"/>
            <a:t>, indicating efficient operations. </a:t>
          </a:r>
          <a:br>
            <a:rPr lang="en-IN"/>
          </a:br>
          <a:r>
            <a:rPr lang="en-IN"/>
            <a:t>ITC shows </a:t>
          </a:r>
          <a:r>
            <a:rPr lang="en-IN" b="1"/>
            <a:t>higher ROE (~27%)</a:t>
          </a:r>
          <a:r>
            <a:rPr lang="en-IN"/>
            <a:t> but depends heavily on a single segment.</a:t>
          </a:r>
          <a:br>
            <a:rPr lang="en-IN"/>
          </a:br>
          <a:r>
            <a:rPr lang="en-IN"/>
            <a:t>Nestlé India demonstrates </a:t>
          </a:r>
          <a:r>
            <a:rPr lang="en-IN" b="1"/>
            <a:t>high margins but lower asset turnover</a:t>
          </a:r>
          <a:r>
            <a:rPr lang="en-IN"/>
            <a:t>, indicating premium positioning but slower volume movement.</a:t>
          </a:r>
          <a:endParaRPr lang="en-IN" sz="1100"/>
        </a:p>
      </xdr:txBody>
    </xdr:sp>
    <xdr:clientData/>
  </xdr:twoCellAnchor>
  <xdr:twoCellAnchor>
    <xdr:from>
      <xdr:col>11</xdr:col>
      <xdr:colOff>30480</xdr:colOff>
      <xdr:row>2</xdr:row>
      <xdr:rowOff>91440</xdr:rowOff>
    </xdr:from>
    <xdr:to>
      <xdr:col>16</xdr:col>
      <xdr:colOff>0</xdr:colOff>
      <xdr:row>24</xdr:row>
      <xdr:rowOff>15240</xdr:rowOff>
    </xdr:to>
    <xdr:sp macro="" textlink="">
      <xdr:nvSpPr>
        <xdr:cNvPr id="5" name="TextBox 4">
          <a:extLst>
            <a:ext uri="{FF2B5EF4-FFF2-40B4-BE49-F238E27FC236}">
              <a16:creationId xmlns:a16="http://schemas.microsoft.com/office/drawing/2014/main" id="{25444A45-51F8-4DED-6366-00AE1BCD0E96}"/>
            </a:ext>
          </a:extLst>
        </xdr:cNvPr>
        <xdr:cNvSpPr txBox="1"/>
      </xdr:nvSpPr>
      <xdr:spPr>
        <a:xfrm>
          <a:off x="7307580" y="502920"/>
          <a:ext cx="3017520" cy="39471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Hindustan Unilever’s key advantage lies in its </a:t>
          </a:r>
          <a:r>
            <a:rPr lang="en-IN" b="1"/>
            <a:t>strong brand portfolio, efficient distribution network, and consistent profitability</a:t>
          </a:r>
          <a:r>
            <a:rPr lang="en-IN"/>
            <a:t>, which enable stable margins and superior operational efficiency. Its low debt levels and high return ratios reflect a </a:t>
          </a:r>
          <a:r>
            <a:rPr lang="en-IN" b="1"/>
            <a:t>low-risk, cash-generative business model</a:t>
          </a:r>
          <a:r>
            <a:rPr lang="en-IN"/>
            <a:t>. Additionally, its diversified product mix across home care, personal care, and foods reduces dependency on any single segment.</a:t>
          </a:r>
        </a:p>
        <a:p>
          <a:r>
            <a:rPr lang="en-IN"/>
            <a:t>However, HUL faces challenges in terms of </a:t>
          </a:r>
          <a:r>
            <a:rPr lang="en-IN" b="1"/>
            <a:t>slower revenue growth compared to ITC</a:t>
          </a:r>
          <a:r>
            <a:rPr lang="en-IN"/>
            <a:t> and increasing competition from both large players and emerging brands. Rising input costs and changing consumer preferences are also putting </a:t>
          </a:r>
          <a:r>
            <a:rPr lang="en-IN" b="1"/>
            <a:t>pressure on margins and volume growth</a:t>
          </a:r>
          <a:r>
            <a:rPr lang="en-IN"/>
            <a:t>. Compared to Nestlé India, HUL may have broader diversification but slightly lower premium pricing power.</a:t>
          </a:r>
        </a:p>
        <a:p>
          <a:r>
            <a:rPr lang="en-IN"/>
            <a:t>Overall, HUL remains a </a:t>
          </a:r>
          <a:r>
            <a:rPr lang="en-IN" b="1"/>
            <a:t>market leader with strong fundamentals</a:t>
          </a:r>
          <a:r>
            <a:rPr lang="en-IN"/>
            <a:t>, but future growth will depend on innovation, premiumization, and adapting to evolving consumer demand.</a:t>
          </a:r>
        </a:p>
        <a:p>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x14ac:dyDescent="0.3">
      <c r="A1" s="2" t="str">
        <f>'Source Data Sheet'!B1</f>
        <v>HINDUSTAN UNILEVER LTD</v>
      </c>
      <c r="H1" t="str">
        <f>UPDATE</f>
        <v/>
      </c>
      <c r="J1" s="3"/>
      <c r="K1" s="3"/>
      <c r="M1" s="2" t="s">
        <v>1</v>
      </c>
    </row>
    <row r="3" spans="1:14" s="2" customFormat="1" x14ac:dyDescent="0.3">
      <c r="A3" s="11" t="s">
        <v>2</v>
      </c>
      <c r="B3" s="12">
        <f>'Source Data Sheet'!B16</f>
        <v>42460</v>
      </c>
      <c r="C3" s="12">
        <f>'Source Data Sheet'!C16</f>
        <v>42825</v>
      </c>
      <c r="D3" s="12">
        <f>'Source Data Sheet'!D16</f>
        <v>43190</v>
      </c>
      <c r="E3" s="12">
        <f>'Source Data Sheet'!E16</f>
        <v>43555</v>
      </c>
      <c r="F3" s="12">
        <f>'Source Data Sheet'!F16</f>
        <v>43921</v>
      </c>
      <c r="G3" s="12">
        <f>'Source Data Sheet'!G16</f>
        <v>44286</v>
      </c>
      <c r="H3" s="12">
        <f>'Source Data Sheet'!H16</f>
        <v>44651</v>
      </c>
      <c r="I3" s="12">
        <f>'Source Data Sheet'!I16</f>
        <v>45016</v>
      </c>
      <c r="J3" s="12">
        <f>'Source Data Sheet'!J16</f>
        <v>45382</v>
      </c>
      <c r="K3" s="12">
        <f>'Source Data Sheet'!K16</f>
        <v>45747</v>
      </c>
      <c r="L3" s="13" t="s">
        <v>3</v>
      </c>
      <c r="M3" s="13" t="s">
        <v>4</v>
      </c>
      <c r="N3" s="13" t="s">
        <v>5</v>
      </c>
    </row>
    <row r="4" spans="1:14" s="2" customFormat="1" x14ac:dyDescent="0.3">
      <c r="A4" s="2" t="s">
        <v>6</v>
      </c>
      <c r="B4" s="1">
        <f>'Source Data Sheet'!B17</f>
        <v>32186</v>
      </c>
      <c r="C4" s="1">
        <f>'Source Data Sheet'!C17</f>
        <v>33162</v>
      </c>
      <c r="D4" s="1">
        <f>'Source Data Sheet'!D17</f>
        <v>35545</v>
      </c>
      <c r="E4" s="1">
        <f>'Source Data Sheet'!E17</f>
        <v>39310</v>
      </c>
      <c r="F4" s="1">
        <f>'Source Data Sheet'!F17</f>
        <v>39783</v>
      </c>
      <c r="G4" s="1">
        <f>'Source Data Sheet'!G17</f>
        <v>47028</v>
      </c>
      <c r="H4" s="1">
        <f>'Source Data Sheet'!H17</f>
        <v>52446</v>
      </c>
      <c r="I4" s="1">
        <f>'Source Data Sheet'!I17</f>
        <v>60580</v>
      </c>
      <c r="J4" s="1">
        <f>'Source Data Sheet'!J17</f>
        <v>61896</v>
      </c>
      <c r="K4" s="1">
        <f>'Source Data Sheet'!K17</f>
        <v>63121</v>
      </c>
      <c r="L4" s="1">
        <f>SUM(Quarters!H4:K4)</f>
        <v>64544</v>
      </c>
      <c r="M4" s="1">
        <f>$K4+M23*K4</f>
        <v>67142.014980470805</v>
      </c>
      <c r="N4" s="1">
        <f>$K4+N23*L4</f>
        <v>64576.080115967743</v>
      </c>
    </row>
    <row r="5" spans="1:14" x14ac:dyDescent="0.3">
      <c r="A5" t="s">
        <v>7</v>
      </c>
      <c r="B5" s="6">
        <f>SUM('Source Data Sheet'!B18,'Source Data Sheet'!B20:B24, -1*'Source Data Sheet'!B19)</f>
        <v>26276</v>
      </c>
      <c r="C5" s="6">
        <f>SUM('Source Data Sheet'!C18,'Source Data Sheet'!C20:C24, -1*'Source Data Sheet'!C19)</f>
        <v>26834</v>
      </c>
      <c r="D5" s="6">
        <f>SUM('Source Data Sheet'!D18,'Source Data Sheet'!D20:D24, -1*'Source Data Sheet'!D19)</f>
        <v>28046</v>
      </c>
      <c r="E5" s="6">
        <f>SUM('Source Data Sheet'!E18,'Source Data Sheet'!E20:E24, -1*'Source Data Sheet'!E19)</f>
        <v>30430</v>
      </c>
      <c r="F5" s="6">
        <f>SUM('Source Data Sheet'!F18,'Source Data Sheet'!F20:F24, -1*'Source Data Sheet'!F19)</f>
        <v>29922</v>
      </c>
      <c r="G5" s="6">
        <f>SUM('Source Data Sheet'!G18,'Source Data Sheet'!G20:G24, -1*'Source Data Sheet'!G19)</f>
        <v>35402</v>
      </c>
      <c r="H5" s="6">
        <f>SUM('Source Data Sheet'!H18,'Source Data Sheet'!H20:H24, -1*'Source Data Sheet'!H19)</f>
        <v>39589</v>
      </c>
      <c r="I5" s="6">
        <f>SUM('Source Data Sheet'!I18,'Source Data Sheet'!I20:I24, -1*'Source Data Sheet'!I19)</f>
        <v>46433</v>
      </c>
      <c r="J5" s="6">
        <f>SUM('Source Data Sheet'!J18,'Source Data Sheet'!J20:J24, -1*'Source Data Sheet'!J19)</f>
        <v>47237</v>
      </c>
      <c r="K5" s="6">
        <f>SUM('Source Data Sheet'!K18,'Source Data Sheet'!K20:K24, -1*'Source Data Sheet'!K19)</f>
        <v>48278</v>
      </c>
      <c r="L5" s="6">
        <f>SUM(Quarters!H5:K5)</f>
        <v>49646</v>
      </c>
      <c r="M5" s="6">
        <f t="shared" ref="M5:N5" si="0">M4-M6</f>
        <v>51351.448258581062</v>
      </c>
      <c r="N5" s="6">
        <f t="shared" si="0"/>
        <v>49772.613226611553</v>
      </c>
    </row>
    <row r="6" spans="1:14" s="2" customFormat="1" x14ac:dyDescent="0.3">
      <c r="A6" s="2" t="s">
        <v>8</v>
      </c>
      <c r="B6" s="1">
        <f>B4-B5</f>
        <v>5910</v>
      </c>
      <c r="C6" s="1">
        <f t="shared" ref="C6:K6" si="1">C4-C5</f>
        <v>6328</v>
      </c>
      <c r="D6" s="1">
        <f t="shared" si="1"/>
        <v>7499</v>
      </c>
      <c r="E6" s="1">
        <f t="shared" si="1"/>
        <v>8880</v>
      </c>
      <c r="F6" s="1">
        <f t="shared" si="1"/>
        <v>9861</v>
      </c>
      <c r="G6" s="1">
        <f t="shared" si="1"/>
        <v>11626</v>
      </c>
      <c r="H6" s="1">
        <f t="shared" si="1"/>
        <v>12857</v>
      </c>
      <c r="I6" s="1">
        <f t="shared" si="1"/>
        <v>14147</v>
      </c>
      <c r="J6" s="1">
        <f t="shared" si="1"/>
        <v>14659</v>
      </c>
      <c r="K6" s="1">
        <f t="shared" si="1"/>
        <v>14843</v>
      </c>
      <c r="L6" s="1">
        <f>SUM(Quarters!H6:K6)</f>
        <v>14898</v>
      </c>
      <c r="M6" s="1">
        <f>M4*M24</f>
        <v>15790.56672188974</v>
      </c>
      <c r="N6" s="1">
        <f>N4*N24</f>
        <v>14803.466889356188</v>
      </c>
    </row>
    <row r="7" spans="1:14" x14ac:dyDescent="0.3">
      <c r="A7" t="s">
        <v>9</v>
      </c>
      <c r="B7" s="6">
        <f>'Source Data Sheet'!B25</f>
        <v>486</v>
      </c>
      <c r="C7" s="6">
        <f>'Source Data Sheet'!C25</f>
        <v>606</v>
      </c>
      <c r="D7" s="6">
        <f>'Source Data Sheet'!D25</f>
        <v>353</v>
      </c>
      <c r="E7" s="6">
        <f>'Source Data Sheet'!E25</f>
        <v>322</v>
      </c>
      <c r="F7" s="6">
        <f>'Source Data Sheet'!F25</f>
        <v>424</v>
      </c>
      <c r="G7" s="6">
        <f>'Source Data Sheet'!G25</f>
        <v>170</v>
      </c>
      <c r="H7" s="6">
        <f>'Source Data Sheet'!H25</f>
        <v>219</v>
      </c>
      <c r="I7" s="6">
        <f>'Source Data Sheet'!I25</f>
        <v>448</v>
      </c>
      <c r="J7" s="6">
        <f>'Source Data Sheet'!J25</f>
        <v>817</v>
      </c>
      <c r="K7" s="6">
        <f>'Source Data Sheet'!K25</f>
        <v>1322</v>
      </c>
      <c r="L7" s="6">
        <f>SUM(Quarters!H7:K7)</f>
        <v>4562</v>
      </c>
      <c r="M7" s="6">
        <v>0</v>
      </c>
      <c r="N7" s="6">
        <v>0</v>
      </c>
    </row>
    <row r="8" spans="1:14" x14ac:dyDescent="0.3">
      <c r="A8" t="s">
        <v>10</v>
      </c>
      <c r="B8" s="6">
        <f>'Source Data Sheet'!B26</f>
        <v>353</v>
      </c>
      <c r="C8" s="6">
        <f>'Source Data Sheet'!C26</f>
        <v>432</v>
      </c>
      <c r="D8" s="6">
        <f>'Source Data Sheet'!D26</f>
        <v>520</v>
      </c>
      <c r="E8" s="6">
        <f>'Source Data Sheet'!E26</f>
        <v>565</v>
      </c>
      <c r="F8" s="6">
        <f>'Source Data Sheet'!F26</f>
        <v>1002</v>
      </c>
      <c r="G8" s="6">
        <f>'Source Data Sheet'!G26</f>
        <v>1074</v>
      </c>
      <c r="H8" s="6">
        <f>'Source Data Sheet'!H26</f>
        <v>1091</v>
      </c>
      <c r="I8" s="6">
        <f>'Source Data Sheet'!I26</f>
        <v>1137</v>
      </c>
      <c r="J8" s="6">
        <f>'Source Data Sheet'!J26</f>
        <v>1216</v>
      </c>
      <c r="K8" s="6">
        <f>'Source Data Sheet'!K26</f>
        <v>1355</v>
      </c>
      <c r="L8" s="6">
        <f>SUM(Quarters!H8:K8)</f>
        <v>1367</v>
      </c>
      <c r="M8" s="6">
        <f>+$L8</f>
        <v>1367</v>
      </c>
      <c r="N8" s="6">
        <f>+$L8</f>
        <v>1367</v>
      </c>
    </row>
    <row r="9" spans="1:14" x14ac:dyDescent="0.3">
      <c r="A9" t="s">
        <v>11</v>
      </c>
      <c r="B9" s="6">
        <f>'Source Data Sheet'!B27</f>
        <v>17</v>
      </c>
      <c r="C9" s="6">
        <f>'Source Data Sheet'!C27</f>
        <v>35</v>
      </c>
      <c r="D9" s="6">
        <f>'Source Data Sheet'!D27</f>
        <v>26</v>
      </c>
      <c r="E9" s="6">
        <f>'Source Data Sheet'!E27</f>
        <v>33</v>
      </c>
      <c r="F9" s="6">
        <f>'Source Data Sheet'!F27</f>
        <v>118</v>
      </c>
      <c r="G9" s="6">
        <f>'Source Data Sheet'!G27</f>
        <v>117</v>
      </c>
      <c r="H9" s="6">
        <f>'Source Data Sheet'!H27</f>
        <v>106</v>
      </c>
      <c r="I9" s="6">
        <f>'Source Data Sheet'!I27</f>
        <v>114</v>
      </c>
      <c r="J9" s="6">
        <f>'Source Data Sheet'!J27</f>
        <v>334</v>
      </c>
      <c r="K9" s="6">
        <f>'Source Data Sheet'!K27</f>
        <v>395</v>
      </c>
      <c r="L9" s="6">
        <f>SUM(Quarters!H9:K9)</f>
        <v>419</v>
      </c>
      <c r="M9" s="6">
        <f>+$L9</f>
        <v>419</v>
      </c>
      <c r="N9" s="6">
        <f>+$L9</f>
        <v>419</v>
      </c>
    </row>
    <row r="10" spans="1:14" x14ac:dyDescent="0.3">
      <c r="A10" t="s">
        <v>12</v>
      </c>
      <c r="B10" s="6">
        <f>'Source Data Sheet'!B28</f>
        <v>6026</v>
      </c>
      <c r="C10" s="6">
        <f>'Source Data Sheet'!C28</f>
        <v>6467</v>
      </c>
      <c r="D10" s="6">
        <f>'Source Data Sheet'!D28</f>
        <v>7306</v>
      </c>
      <c r="E10" s="6">
        <f>'Source Data Sheet'!E28</f>
        <v>8604</v>
      </c>
      <c r="F10" s="6">
        <f>'Source Data Sheet'!F28</f>
        <v>9165</v>
      </c>
      <c r="G10" s="6">
        <f>'Source Data Sheet'!G28</f>
        <v>10605</v>
      </c>
      <c r="H10" s="6">
        <f>'Source Data Sheet'!H28</f>
        <v>11879</v>
      </c>
      <c r="I10" s="6">
        <f>'Source Data Sheet'!I28</f>
        <v>13344</v>
      </c>
      <c r="J10" s="6">
        <f>'Source Data Sheet'!J28</f>
        <v>13926</v>
      </c>
      <c r="K10" s="6">
        <f>'Source Data Sheet'!K28</f>
        <v>14415</v>
      </c>
      <c r="L10" s="6">
        <f>SUM(Quarters!H10:K10)</f>
        <v>17674</v>
      </c>
      <c r="M10" s="6">
        <f>M6+M7-SUM(M8:M9)</f>
        <v>14004.56672188974</v>
      </c>
      <c r="N10" s="6">
        <f>N6+N7-SUM(N8:N9)</f>
        <v>13017.466889356188</v>
      </c>
    </row>
    <row r="11" spans="1:14" x14ac:dyDescent="0.3">
      <c r="A11" t="s">
        <v>13</v>
      </c>
      <c r="B11" s="6">
        <f>'Source Data Sheet'!B29</f>
        <v>1875</v>
      </c>
      <c r="C11" s="6">
        <f>'Source Data Sheet'!C29</f>
        <v>1977</v>
      </c>
      <c r="D11" s="6">
        <f>'Source Data Sheet'!D29</f>
        <v>2079</v>
      </c>
      <c r="E11" s="6">
        <f>'Source Data Sheet'!E29</f>
        <v>2544</v>
      </c>
      <c r="F11" s="6">
        <f>'Source Data Sheet'!F29</f>
        <v>2409</v>
      </c>
      <c r="G11" s="6">
        <f>'Source Data Sheet'!G29</f>
        <v>2606</v>
      </c>
      <c r="H11" s="6">
        <f>'Source Data Sheet'!H29</f>
        <v>2987</v>
      </c>
      <c r="I11" s="6">
        <f>'Source Data Sheet'!I29</f>
        <v>3201</v>
      </c>
      <c r="J11" s="6">
        <f>'Source Data Sheet'!J29</f>
        <v>3644</v>
      </c>
      <c r="K11" s="6">
        <f>'Source Data Sheet'!K29</f>
        <v>3744</v>
      </c>
      <c r="L11" s="6">
        <f>SUM(Quarters!H11:K11)</f>
        <v>3134</v>
      </c>
      <c r="M11" s="7">
        <f>IF($L10&gt;0,$L11/$L10,0)</f>
        <v>0.17732262079891367</v>
      </c>
      <c r="N11" s="7">
        <f>IF($L10&gt;0,$L11/$L10,0)</f>
        <v>0.17732262079891367</v>
      </c>
    </row>
    <row r="12" spans="1:14" s="2" customFormat="1" x14ac:dyDescent="0.3">
      <c r="A12" s="2" t="s">
        <v>14</v>
      </c>
      <c r="B12" s="1">
        <f>'Source Data Sheet'!B30</f>
        <v>4151</v>
      </c>
      <c r="C12" s="1">
        <f>'Source Data Sheet'!C30</f>
        <v>4476</v>
      </c>
      <c r="D12" s="1">
        <f>'Source Data Sheet'!D30</f>
        <v>5214</v>
      </c>
      <c r="E12" s="1">
        <f>'Source Data Sheet'!E30</f>
        <v>6054</v>
      </c>
      <c r="F12" s="1">
        <f>'Source Data Sheet'!F30</f>
        <v>6748</v>
      </c>
      <c r="G12" s="1">
        <f>'Source Data Sheet'!G30</f>
        <v>7995</v>
      </c>
      <c r="H12" s="1">
        <f>'Source Data Sheet'!H30</f>
        <v>8879</v>
      </c>
      <c r="I12" s="1">
        <f>'Source Data Sheet'!I30</f>
        <v>10120</v>
      </c>
      <c r="J12" s="1">
        <f>'Source Data Sheet'!J30</f>
        <v>10277</v>
      </c>
      <c r="K12" s="1">
        <f>'Source Data Sheet'!K30</f>
        <v>10649</v>
      </c>
      <c r="L12" s="1">
        <f>SUM(Quarters!H12:K12)</f>
        <v>14512</v>
      </c>
      <c r="M12" s="1">
        <f>M10-M11*M10</f>
        <v>11521.240247611</v>
      </c>
      <c r="N12" s="1">
        <f>N10-N11*N10</f>
        <v>10709.175544372467</v>
      </c>
    </row>
    <row r="13" spans="1:14" x14ac:dyDescent="0.3">
      <c r="A13" t="s">
        <v>44</v>
      </c>
      <c r="B13" s="6">
        <f>IF('Source Data Sheet'!B93&gt;0,B12/'Source Data Sheet'!B93,0)</f>
        <v>19.182956698553539</v>
      </c>
      <c r="C13" s="6">
        <f>IF('Source Data Sheet'!C93&gt;0,C12/'Source Data Sheet'!C93,0)</f>
        <v>20.681051610220393</v>
      </c>
      <c r="D13" s="6">
        <f>IF('Source Data Sheet'!D93&gt;0,D12/'Source Data Sheet'!D93,0)</f>
        <v>24.088704088704091</v>
      </c>
      <c r="E13" s="6">
        <f>IF('Source Data Sheet'!E93&gt;0,E12/'Source Data Sheet'!E93,0)</f>
        <v>27.966923823162563</v>
      </c>
      <c r="F13" s="6">
        <f>IF('Source Data Sheet'!F93&gt;0,F12/'Source Data Sheet'!F93,0)</f>
        <v>31.171470805617147</v>
      </c>
      <c r="G13" s="6">
        <f>IF('Source Data Sheet'!G93&gt;0,G12/'Source Data Sheet'!G93,0)</f>
        <v>34.027068437180795</v>
      </c>
      <c r="H13" s="6">
        <f>IF('Source Data Sheet'!H93&gt;0,H12/'Source Data Sheet'!H93,0)</f>
        <v>37.789410963568265</v>
      </c>
      <c r="I13" s="6">
        <f>IF('Source Data Sheet'!I93&gt;0,I12/'Source Data Sheet'!I93,0)</f>
        <v>43.071161048689135</v>
      </c>
      <c r="J13" s="6">
        <f>IF('Source Data Sheet'!J93&gt;0,J12/'Source Data Sheet'!J93,0)</f>
        <v>43.739359891045282</v>
      </c>
      <c r="K13" s="6">
        <f>IF('Source Data Sheet'!K93&gt;0,K12/'Source Data Sheet'!K93,0)</f>
        <v>45.32260810350698</v>
      </c>
      <c r="L13" s="6">
        <f>IF('Source Data Sheet'!$B6&gt;0,'Profit &amp; Loss'!L12/'Source Data Sheet'!$B6,0)</f>
        <v>61.745365079076421</v>
      </c>
      <c r="M13" s="6">
        <f>IF('Source Data Sheet'!$B6&gt;0,'Profit &amp; Loss'!M12/'Source Data Sheet'!$B6,0)</f>
        <v>49.020340769879411</v>
      </c>
      <c r="N13" s="6">
        <f>IF('Source Data Sheet'!$B6&gt;0,'Profit &amp; Loss'!N12/'Source Data Sheet'!$B6,0)</f>
        <v>45.565184239470433</v>
      </c>
    </row>
    <row r="14" spans="1:14" x14ac:dyDescent="0.3">
      <c r="A14" t="s">
        <v>16</v>
      </c>
      <c r="B14" s="6">
        <f>IF(B15&gt;0,B15/B13,"")</f>
        <v>43.380695326427357</v>
      </c>
      <c r="C14" s="6">
        <f t="shared" ref="C14:K14" si="2">IF(C15&gt;0,C15/C13,"")</f>
        <v>42.193695777479896</v>
      </c>
      <c r="D14" s="6">
        <f t="shared" si="2"/>
        <v>52.975452531645558</v>
      </c>
      <c r="E14" s="6">
        <f t="shared" si="2"/>
        <v>58.409355649157582</v>
      </c>
      <c r="F14" s="6">
        <f t="shared" si="2"/>
        <v>70.571902548903381</v>
      </c>
      <c r="G14" s="6">
        <f t="shared" si="2"/>
        <v>68.390258311444654</v>
      </c>
      <c r="H14" s="6">
        <f t="shared" si="2"/>
        <v>51.88490505687578</v>
      </c>
      <c r="I14" s="6">
        <f t="shared" si="2"/>
        <v>56.892824347826092</v>
      </c>
      <c r="J14" s="6">
        <f t="shared" si="2"/>
        <v>49.546678447017612</v>
      </c>
      <c r="K14" s="6">
        <f t="shared" si="2"/>
        <v>47.699814517795097</v>
      </c>
      <c r="L14" s="6">
        <f t="shared" ref="L14" si="3">IF(L13&gt;0,L15/L13,0)</f>
        <v>37.059461824696804</v>
      </c>
      <c r="M14" s="6">
        <f>M25</f>
        <v>47.799694784333902</v>
      </c>
      <c r="N14" s="6">
        <f>N25</f>
        <v>37.059461824696804</v>
      </c>
    </row>
    <row r="15" spans="1:14" s="2" customFormat="1" x14ac:dyDescent="0.3">
      <c r="A15" s="2" t="s">
        <v>45</v>
      </c>
      <c r="B15" s="1">
        <f>'Source Data Sheet'!B90</f>
        <v>832.17</v>
      </c>
      <c r="C15" s="1">
        <f>'Source Data Sheet'!C90</f>
        <v>872.61</v>
      </c>
      <c r="D15" s="1">
        <f>'Source Data Sheet'!D90</f>
        <v>1276.1099999999999</v>
      </c>
      <c r="E15" s="1">
        <f>'Source Data Sheet'!E90</f>
        <v>1633.53</v>
      </c>
      <c r="F15" s="1">
        <f>'Source Data Sheet'!F90</f>
        <v>2199.83</v>
      </c>
      <c r="G15" s="1">
        <f>'Source Data Sheet'!G90</f>
        <v>2327.12</v>
      </c>
      <c r="H15" s="1">
        <f>'Source Data Sheet'!H90</f>
        <v>1960.7</v>
      </c>
      <c r="I15" s="1">
        <f>'Source Data Sheet'!I90</f>
        <v>2450.44</v>
      </c>
      <c r="J15" s="1">
        <f>'Source Data Sheet'!J90</f>
        <v>2167.14</v>
      </c>
      <c r="K15" s="1">
        <f>'Source Data Sheet'!K90</f>
        <v>2161.88</v>
      </c>
      <c r="L15" s="1">
        <f>'Source Data Sheet'!B8</f>
        <v>2288.25</v>
      </c>
      <c r="M15" s="8">
        <f>M13*M14</f>
        <v>2343.1573270242752</v>
      </c>
      <c r="N15" s="9">
        <f>N13*N14</f>
        <v>1688.621205857931</v>
      </c>
    </row>
    <row r="17" spans="1:14" s="2" customFormat="1" x14ac:dyDescent="0.3">
      <c r="A17" s="2" t="s">
        <v>15</v>
      </c>
    </row>
    <row r="18" spans="1:14" x14ac:dyDescent="0.3">
      <c r="A18" t="s">
        <v>17</v>
      </c>
      <c r="B18" s="5">
        <f>IF('Source Data Sheet'!B30&gt;0, 'Source Data Sheet'!B31/'Source Data Sheet'!B30, 0)</f>
        <v>0.8325704649482053</v>
      </c>
      <c r="C18" s="5">
        <f>IF('Source Data Sheet'!C30&gt;0, 'Source Data Sheet'!C31/'Source Data Sheet'!C30, 0)</f>
        <v>0.82037533512064342</v>
      </c>
      <c r="D18" s="5">
        <f>IF('Source Data Sheet'!D30&gt;0, 'Source Data Sheet'!D31/'Source Data Sheet'!D30, 0)</f>
        <v>0.8285385500575374</v>
      </c>
      <c r="E18" s="5">
        <f>IF('Source Data Sheet'!E30&gt;0, 'Source Data Sheet'!E31/'Source Data Sheet'!E30, 0)</f>
        <v>0.78493557978196238</v>
      </c>
      <c r="F18" s="5">
        <f>IF('Source Data Sheet'!F30&gt;0, 'Source Data Sheet'!F31/'Source Data Sheet'!F30, 0)</f>
        <v>0.80023710729104924</v>
      </c>
      <c r="G18" s="5">
        <f>IF('Source Data Sheet'!G30&gt;0, 'Source Data Sheet'!G31/'Source Data Sheet'!G30, 0)</f>
        <v>1.1904315196998123</v>
      </c>
      <c r="H18" s="5">
        <f>IF('Source Data Sheet'!H30&gt;0, 'Source Data Sheet'!H31/'Source Data Sheet'!H30, 0)</f>
        <v>0.89987611217479446</v>
      </c>
      <c r="I18" s="5">
        <f>IF('Source Data Sheet'!I30&gt;0, 'Source Data Sheet'!I31/'Source Data Sheet'!I30, 0)</f>
        <v>0.90563241106719372</v>
      </c>
      <c r="J18" s="5">
        <f>IF('Source Data Sheet'!J30&gt;0, 'Source Data Sheet'!J31/'Source Data Sheet'!J30, 0)</f>
        <v>0.96039700301644448</v>
      </c>
      <c r="K18" s="5">
        <f>IF('Source Data Sheet'!K30&gt;0, 'Source Data Sheet'!K31/'Source Data Sheet'!K30, 0)</f>
        <v>1.1695933890506152</v>
      </c>
    </row>
    <row r="19" spans="1:14" x14ac:dyDescent="0.3">
      <c r="A19" t="s">
        <v>18</v>
      </c>
      <c r="B19" s="5">
        <f t="shared" ref="B19:L19" si="4">IF(B6&gt;0,B6/B4,0)</f>
        <v>0.18362020754365252</v>
      </c>
      <c r="C19" s="5">
        <f t="shared" ref="C19:K19" si="5">IF(C6&gt;0,C6/C4,0)</f>
        <v>0.1908208190097099</v>
      </c>
      <c r="D19" s="5">
        <f t="shared" si="5"/>
        <v>0.21097200731467156</v>
      </c>
      <c r="E19" s="5">
        <f t="shared" si="5"/>
        <v>0.2258967183922666</v>
      </c>
      <c r="F19" s="5">
        <f t="shared" si="5"/>
        <v>0.24786969308498605</v>
      </c>
      <c r="G19" s="5">
        <f t="shared" si="5"/>
        <v>0.24721442544866887</v>
      </c>
      <c r="H19" s="5">
        <f t="shared" si="5"/>
        <v>0.24514738969606834</v>
      </c>
      <c r="I19" s="5">
        <f t="shared" si="5"/>
        <v>0.23352591614394189</v>
      </c>
      <c r="J19" s="5">
        <f t="shared" si="5"/>
        <v>0.23683275171255008</v>
      </c>
      <c r="K19" s="5">
        <f t="shared" si="5"/>
        <v>0.23515153435465216</v>
      </c>
      <c r="L19" s="5">
        <f t="shared" si="4"/>
        <v>0.23081928606841845</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50</v>
      </c>
      <c r="I22" s="12" t="s">
        <v>51</v>
      </c>
      <c r="J22" s="12" t="s">
        <v>52</v>
      </c>
      <c r="K22" s="12" t="s">
        <v>53</v>
      </c>
      <c r="L22" s="13" t="s">
        <v>54</v>
      </c>
      <c r="M22" s="13" t="s">
        <v>20</v>
      </c>
      <c r="N22" s="13" t="s">
        <v>21</v>
      </c>
    </row>
    <row r="23" spans="1:14" s="2" customFormat="1" x14ac:dyDescent="0.3">
      <c r="A23"/>
      <c r="B23"/>
      <c r="C23"/>
      <c r="D23"/>
      <c r="E23"/>
      <c r="F23"/>
      <c r="G23" t="s">
        <v>22</v>
      </c>
      <c r="H23" s="5">
        <f>IF(B4=0,"",POWER($K4/B4,1/9)-1)</f>
        <v>7.7707146164861518E-2</v>
      </c>
      <c r="I23" s="5">
        <f>IF(D4=0,"",POWER($K4/D4,1/7)-1)</f>
        <v>8.5495200164738439E-2</v>
      </c>
      <c r="J23" s="5">
        <f>IF(F4=0,"",POWER($K4/F4,1/5)-1)</f>
        <v>9.6718749336330845E-2</v>
      </c>
      <c r="K23" s="5">
        <f>IF(H4=0,"",POWER($K4/H4, 1/3)-1)</f>
        <v>6.3703283859108728E-2</v>
      </c>
      <c r="L23" s="5">
        <f>IF(ISERROR(MAX(IF(J4=0,"",(K4-J4)/J4),IF(K4=0,"",(L4-K4)/K4))),"",MAX(IF(J4=0,"",(K4-J4)/J4),IF(K4=0,"",(L4-K4)/K4)))</f>
        <v>2.2544002788295495E-2</v>
      </c>
      <c r="M23" s="14">
        <f>MAX(K23:L23)</f>
        <v>6.3703283859108728E-2</v>
      </c>
      <c r="N23" s="14">
        <f>MIN(H23:L23)</f>
        <v>2.2544002788295495E-2</v>
      </c>
    </row>
    <row r="24" spans="1:14" x14ac:dyDescent="0.3">
      <c r="G24" t="s">
        <v>18</v>
      </c>
      <c r="H24" s="5">
        <f>IF(SUM(B4:$K$4)=0,"",SUMPRODUCT(B19:$K$19,B4:$K$4)/SUM(B4:$K$4))</f>
        <v>0.22924071672934715</v>
      </c>
      <c r="I24" s="5">
        <f>IF(SUM(E4:$K$4)=0,"",SUMPRODUCT(E19:$K$19,E4:$K$4)/SUM(E4:$K$4))</f>
        <v>0.23855460726485869</v>
      </c>
      <c r="J24" s="5">
        <f>IF(SUM(G4:$K$4)=0,"",SUMPRODUCT(G19:$K$19,G4:$K$4)/SUM(G4:$K$4))</f>
        <v>0.23900010874483901</v>
      </c>
      <c r="K24" s="5">
        <f>IF(SUM(I4:$K$4)=0, "", SUMPRODUCT(I19:$K$19,I4:$K$4)/SUM(I4:$K$4))</f>
        <v>0.23518160315091299</v>
      </c>
      <c r="L24" s="5">
        <f>L19</f>
        <v>0.23081928606841845</v>
      </c>
      <c r="M24" s="14">
        <f>MAX(K24:L24)</f>
        <v>0.23518160315091299</v>
      </c>
      <c r="N24" s="14">
        <f>MIN(H24:L24)</f>
        <v>0.22924071672934715</v>
      </c>
    </row>
    <row r="25" spans="1:14" x14ac:dyDescent="0.3">
      <c r="G25" t="s">
        <v>23</v>
      </c>
      <c r="H25" s="6">
        <f>IF(ISERROR(AVERAGEIF(B14:$L14,"&gt;0")),"",AVERAGEIF(B14:$L14,"&gt;0"))</f>
        <v>52.636822212660881</v>
      </c>
      <c r="I25" s="6">
        <f>IF(ISERROR(AVERAGEIF(E14:$L14,"&gt;0")),"",AVERAGEIF(E14:$L14,"&gt;0"))</f>
        <v>55.056900087964628</v>
      </c>
      <c r="J25" s="6">
        <f>IF(ISERROR(AVERAGEIF(G14:$L14,"&gt;0")),"",AVERAGEIF(G14:$L14,"&gt;0"))</f>
        <v>51.912323750942676</v>
      </c>
      <c r="K25" s="6">
        <f>IF(ISERROR(AVERAGEIF(I14:$L14,"&gt;0")),"",AVERAGEIF(I14:$L14,"&gt;0"))</f>
        <v>47.799694784333902</v>
      </c>
      <c r="L25" s="6">
        <f>L14</f>
        <v>37.059461824696804</v>
      </c>
      <c r="M25" s="1">
        <f>MAX(K25:L25)</f>
        <v>47.799694784333902</v>
      </c>
      <c r="N25" s="1">
        <f>MIN(H25:L25)</f>
        <v>37.059461824696804</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customWidth="1"/>
    <col min="2" max="11" width="13.44140625" bestFit="1" customWidth="1"/>
  </cols>
  <sheetData>
    <row r="1" spans="1:11" s="2" customFormat="1" x14ac:dyDescent="0.3">
      <c r="A1" s="2" t="str">
        <f>'Profit &amp; Loss'!A1</f>
        <v>HINDUSTAN UNILEVER LTD</v>
      </c>
      <c r="E1" t="str">
        <f>UPDATE</f>
        <v/>
      </c>
      <c r="J1" s="2" t="s">
        <v>1</v>
      </c>
    </row>
    <row r="3" spans="1:11" s="2" customFormat="1" x14ac:dyDescent="0.3">
      <c r="A3" s="11" t="s">
        <v>2</v>
      </c>
      <c r="B3" s="12">
        <f>'Source Data Sheet'!B41</f>
        <v>45199</v>
      </c>
      <c r="C3" s="12">
        <f>'Source Data Sheet'!C41</f>
        <v>45291</v>
      </c>
      <c r="D3" s="12">
        <f>'Source Data Sheet'!D41</f>
        <v>45382</v>
      </c>
      <c r="E3" s="12">
        <f>'Source Data Sheet'!E41</f>
        <v>45473</v>
      </c>
      <c r="F3" s="12">
        <f>'Source Data Sheet'!F41</f>
        <v>45565</v>
      </c>
      <c r="G3" s="12">
        <f>'Source Data Sheet'!G41</f>
        <v>45657</v>
      </c>
      <c r="H3" s="12">
        <f>'Source Data Sheet'!H41</f>
        <v>45747</v>
      </c>
      <c r="I3" s="12">
        <f>'Source Data Sheet'!I41</f>
        <v>45838</v>
      </c>
      <c r="J3" s="12">
        <f>'Source Data Sheet'!J41</f>
        <v>45930</v>
      </c>
      <c r="K3" s="12">
        <f>'Source Data Sheet'!K41</f>
        <v>46022</v>
      </c>
    </row>
    <row r="4" spans="1:11" s="2" customFormat="1" x14ac:dyDescent="0.3">
      <c r="A4" s="2" t="s">
        <v>6</v>
      </c>
      <c r="B4" s="1">
        <f>'Source Data Sheet'!B42</f>
        <v>15623</v>
      </c>
      <c r="C4" s="1">
        <f>'Source Data Sheet'!C42</f>
        <v>15567</v>
      </c>
      <c r="D4" s="1">
        <f>'Source Data Sheet'!D42</f>
        <v>15210</v>
      </c>
      <c r="E4" s="1">
        <f>'Source Data Sheet'!E42</f>
        <v>15707</v>
      </c>
      <c r="F4" s="1">
        <f>'Source Data Sheet'!F42</f>
        <v>15926</v>
      </c>
      <c r="G4" s="1">
        <f>'Source Data Sheet'!G42</f>
        <v>15556</v>
      </c>
      <c r="H4" s="1">
        <f>'Source Data Sheet'!H42</f>
        <v>15670</v>
      </c>
      <c r="I4" s="1">
        <f>'Source Data Sheet'!I42</f>
        <v>16514</v>
      </c>
      <c r="J4" s="1">
        <f>'Source Data Sheet'!J42</f>
        <v>15919</v>
      </c>
      <c r="K4" s="1">
        <f>'Source Data Sheet'!K42</f>
        <v>16441</v>
      </c>
    </row>
    <row r="5" spans="1:11" x14ac:dyDescent="0.3">
      <c r="A5" t="s">
        <v>7</v>
      </c>
      <c r="B5" s="6">
        <f>'Source Data Sheet'!B43</f>
        <v>11828</v>
      </c>
      <c r="C5" s="6">
        <f>'Source Data Sheet'!C43</f>
        <v>11902</v>
      </c>
      <c r="D5" s="6">
        <f>'Source Data Sheet'!D43</f>
        <v>11675</v>
      </c>
      <c r="E5" s="6">
        <f>'Source Data Sheet'!E43</f>
        <v>11965</v>
      </c>
      <c r="F5" s="6">
        <f>'Source Data Sheet'!F43</f>
        <v>12139</v>
      </c>
      <c r="G5" s="6">
        <f>'Source Data Sheet'!G43</f>
        <v>11867</v>
      </c>
      <c r="H5" s="6">
        <f>'Source Data Sheet'!H43</f>
        <v>12052</v>
      </c>
      <c r="I5" s="6">
        <f>'Source Data Sheet'!I43</f>
        <v>12797</v>
      </c>
      <c r="J5" s="6">
        <f>'Source Data Sheet'!J43</f>
        <v>12137</v>
      </c>
      <c r="K5" s="6">
        <f>'Source Data Sheet'!K43</f>
        <v>12660</v>
      </c>
    </row>
    <row r="6" spans="1:11" s="2" customFormat="1" x14ac:dyDescent="0.3">
      <c r="A6" s="2" t="s">
        <v>8</v>
      </c>
      <c r="B6" s="1">
        <f>'Source Data Sheet'!B50</f>
        <v>3795</v>
      </c>
      <c r="C6" s="1">
        <f>'Source Data Sheet'!C50</f>
        <v>3665</v>
      </c>
      <c r="D6" s="1">
        <f>'Source Data Sheet'!D50</f>
        <v>3535</v>
      </c>
      <c r="E6" s="1">
        <f>'Source Data Sheet'!E50</f>
        <v>3742</v>
      </c>
      <c r="F6" s="1">
        <f>'Source Data Sheet'!F50</f>
        <v>3787</v>
      </c>
      <c r="G6" s="1">
        <f>'Source Data Sheet'!G50</f>
        <v>3689</v>
      </c>
      <c r="H6" s="1">
        <f>'Source Data Sheet'!H50</f>
        <v>3618</v>
      </c>
      <c r="I6" s="1">
        <f>'Source Data Sheet'!I50</f>
        <v>3717</v>
      </c>
      <c r="J6" s="1">
        <f>'Source Data Sheet'!J50</f>
        <v>3782</v>
      </c>
      <c r="K6" s="1">
        <f>'Source Data Sheet'!K50</f>
        <v>3781</v>
      </c>
    </row>
    <row r="7" spans="1:11" x14ac:dyDescent="0.3">
      <c r="A7" t="s">
        <v>9</v>
      </c>
      <c r="B7" s="6">
        <f>'Source Data Sheet'!B44</f>
        <v>178</v>
      </c>
      <c r="C7" s="6">
        <f>'Source Data Sheet'!C44</f>
        <v>184</v>
      </c>
      <c r="D7" s="6">
        <f>'Source Data Sheet'!D44</f>
        <v>309</v>
      </c>
      <c r="E7" s="6">
        <f>'Source Data Sheet'!E44</f>
        <v>209</v>
      </c>
      <c r="F7" s="6">
        <f>'Source Data Sheet'!F44</f>
        <v>203</v>
      </c>
      <c r="G7" s="6">
        <f>'Source Data Sheet'!G44</f>
        <v>733</v>
      </c>
      <c r="H7" s="6">
        <f>'Source Data Sheet'!H44</f>
        <v>171</v>
      </c>
      <c r="I7" s="6">
        <f>'Source Data Sheet'!I44</f>
        <v>74</v>
      </c>
      <c r="J7" s="6">
        <f>'Source Data Sheet'!J44</f>
        <v>269</v>
      </c>
      <c r="K7" s="6">
        <f>'Source Data Sheet'!K44</f>
        <v>4048</v>
      </c>
    </row>
    <row r="8" spans="1:11" x14ac:dyDescent="0.3">
      <c r="A8" t="s">
        <v>10</v>
      </c>
      <c r="B8" s="6">
        <f>'Source Data Sheet'!B45</f>
        <v>297</v>
      </c>
      <c r="C8" s="6">
        <f>'Source Data Sheet'!C45</f>
        <v>313</v>
      </c>
      <c r="D8" s="6">
        <f>'Source Data Sheet'!D45</f>
        <v>320</v>
      </c>
      <c r="E8" s="6">
        <f>'Source Data Sheet'!E45</f>
        <v>329</v>
      </c>
      <c r="F8" s="6">
        <f>'Source Data Sheet'!F45</f>
        <v>338</v>
      </c>
      <c r="G8" s="6">
        <f>'Source Data Sheet'!G45</f>
        <v>318</v>
      </c>
      <c r="H8" s="6">
        <f>'Source Data Sheet'!H45</f>
        <v>347</v>
      </c>
      <c r="I8" s="6">
        <f>'Source Data Sheet'!I45</f>
        <v>361</v>
      </c>
      <c r="J8" s="6">
        <f>'Source Data Sheet'!J45</f>
        <v>322</v>
      </c>
      <c r="K8" s="6">
        <f>'Source Data Sheet'!K45</f>
        <v>337</v>
      </c>
    </row>
    <row r="9" spans="1:11" x14ac:dyDescent="0.3">
      <c r="A9" t="s">
        <v>11</v>
      </c>
      <c r="B9" s="6">
        <f>'Source Data Sheet'!B46</f>
        <v>88</v>
      </c>
      <c r="C9" s="6">
        <f>'Source Data Sheet'!C46</f>
        <v>91</v>
      </c>
      <c r="D9" s="6">
        <f>'Source Data Sheet'!D46</f>
        <v>105</v>
      </c>
      <c r="E9" s="6">
        <f>'Source Data Sheet'!E46</f>
        <v>93</v>
      </c>
      <c r="F9" s="6">
        <f>'Source Data Sheet'!F46</f>
        <v>110</v>
      </c>
      <c r="G9" s="6">
        <f>'Source Data Sheet'!G46</f>
        <v>109</v>
      </c>
      <c r="H9" s="6">
        <f>'Source Data Sheet'!H46</f>
        <v>80</v>
      </c>
      <c r="I9" s="6">
        <f>'Source Data Sheet'!I46</f>
        <v>127</v>
      </c>
      <c r="J9" s="6">
        <f>'Source Data Sheet'!J46</f>
        <v>124</v>
      </c>
      <c r="K9" s="6">
        <f>'Source Data Sheet'!K46</f>
        <v>88</v>
      </c>
    </row>
    <row r="10" spans="1:11" x14ac:dyDescent="0.3">
      <c r="A10" t="s">
        <v>12</v>
      </c>
      <c r="B10" s="6">
        <f>'Source Data Sheet'!B47</f>
        <v>3588</v>
      </c>
      <c r="C10" s="6">
        <f>'Source Data Sheet'!C47</f>
        <v>3445</v>
      </c>
      <c r="D10" s="6">
        <f>'Source Data Sheet'!D47</f>
        <v>3419</v>
      </c>
      <c r="E10" s="6">
        <f>'Source Data Sheet'!E47</f>
        <v>3529</v>
      </c>
      <c r="F10" s="6">
        <f>'Source Data Sheet'!F47</f>
        <v>3542</v>
      </c>
      <c r="G10" s="6">
        <f>'Source Data Sheet'!G47</f>
        <v>3995</v>
      </c>
      <c r="H10" s="6">
        <f>'Source Data Sheet'!H47</f>
        <v>3362</v>
      </c>
      <c r="I10" s="6">
        <f>'Source Data Sheet'!I47</f>
        <v>3303</v>
      </c>
      <c r="J10" s="6">
        <f>'Source Data Sheet'!J47</f>
        <v>3605</v>
      </c>
      <c r="K10" s="6">
        <f>'Source Data Sheet'!K47</f>
        <v>7404</v>
      </c>
    </row>
    <row r="11" spans="1:11" x14ac:dyDescent="0.3">
      <c r="A11" t="s">
        <v>13</v>
      </c>
      <c r="B11" s="6">
        <f>'Source Data Sheet'!B48</f>
        <v>931</v>
      </c>
      <c r="C11" s="6">
        <f>'Source Data Sheet'!C48</f>
        <v>937</v>
      </c>
      <c r="D11" s="6">
        <f>'Source Data Sheet'!D48</f>
        <v>858</v>
      </c>
      <c r="E11" s="6">
        <f>'Source Data Sheet'!E48</f>
        <v>917</v>
      </c>
      <c r="F11" s="6">
        <f>'Source Data Sheet'!F48</f>
        <v>947</v>
      </c>
      <c r="G11" s="6">
        <f>'Source Data Sheet'!G48</f>
        <v>1006</v>
      </c>
      <c r="H11" s="6">
        <f>'Source Data Sheet'!H48</f>
        <v>887</v>
      </c>
      <c r="I11" s="6">
        <f>'Source Data Sheet'!I48</f>
        <v>535</v>
      </c>
      <c r="J11" s="6">
        <f>'Source Data Sheet'!J48</f>
        <v>911</v>
      </c>
      <c r="K11" s="6">
        <f>'Source Data Sheet'!K48</f>
        <v>801</v>
      </c>
    </row>
    <row r="12" spans="1:11" s="2" customFormat="1" x14ac:dyDescent="0.3">
      <c r="A12" s="2" t="s">
        <v>14</v>
      </c>
      <c r="B12" s="1">
        <f>'Source Data Sheet'!B49</f>
        <v>2656</v>
      </c>
      <c r="C12" s="1">
        <f>'Source Data Sheet'!C49</f>
        <v>2509</v>
      </c>
      <c r="D12" s="1">
        <f>'Source Data Sheet'!D49</f>
        <v>2558</v>
      </c>
      <c r="E12" s="1">
        <f>'Source Data Sheet'!E49</f>
        <v>2610</v>
      </c>
      <c r="F12" s="1">
        <f>'Source Data Sheet'!F49</f>
        <v>2591</v>
      </c>
      <c r="G12" s="1">
        <f>'Source Data Sheet'!G49</f>
        <v>2984</v>
      </c>
      <c r="H12" s="1">
        <f>'Source Data Sheet'!H49</f>
        <v>2464</v>
      </c>
      <c r="I12" s="1">
        <f>'Source Data Sheet'!I49</f>
        <v>2756</v>
      </c>
      <c r="J12" s="1">
        <f>'Source Data Sheet'!J49</f>
        <v>2685</v>
      </c>
      <c r="K12" s="1">
        <f>'Source Data Sheet'!K49</f>
        <v>6607</v>
      </c>
    </row>
    <row r="14" spans="1:11" s="2" customFormat="1" x14ac:dyDescent="0.3">
      <c r="A14" s="2" t="s">
        <v>18</v>
      </c>
      <c r="B14" s="10">
        <f>IF(B4&gt;0,B6/B4,"")</f>
        <v>0.24291109261985533</v>
      </c>
      <c r="C14" s="10">
        <f t="shared" ref="C14:K14" si="0">IF(C4&gt;0,C6/C4,"")</f>
        <v>0.23543393075094751</v>
      </c>
      <c r="D14" s="10">
        <f t="shared" si="0"/>
        <v>0.23241288625904011</v>
      </c>
      <c r="E14" s="10">
        <f t="shared" si="0"/>
        <v>0.23823772840134971</v>
      </c>
      <c r="F14" s="10">
        <f t="shared" si="0"/>
        <v>0.23778726610573905</v>
      </c>
      <c r="G14" s="10">
        <f t="shared" si="0"/>
        <v>0.23714322447930059</v>
      </c>
      <c r="H14" s="10">
        <f t="shared" si="0"/>
        <v>0.23088704530950863</v>
      </c>
      <c r="I14" s="10">
        <f t="shared" si="0"/>
        <v>0.22508174881918372</v>
      </c>
      <c r="J14" s="10">
        <f t="shared" si="0"/>
        <v>0.23757773729505621</v>
      </c>
      <c r="K14" s="10">
        <f t="shared" si="0"/>
        <v>0.22997384587312208</v>
      </c>
    </row>
    <row r="22" s="17"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E795-2C4B-4505-A785-FFFD73692C50}">
  <dimension ref="B1:C6"/>
  <sheetViews>
    <sheetView showGridLines="0" workbookViewId="0">
      <selection activeCell="F7" sqref="F7"/>
    </sheetView>
  </sheetViews>
  <sheetFormatPr defaultRowHeight="14.4" x14ac:dyDescent="0.3"/>
  <cols>
    <col min="1" max="1" width="1.88671875" customWidth="1"/>
    <col min="2" max="2" width="31.88671875" customWidth="1"/>
    <col min="3" max="3" width="43.88671875" customWidth="1"/>
  </cols>
  <sheetData>
    <row r="1" spans="2:3" ht="4.8" customHeight="1" x14ac:dyDescent="0.3"/>
    <row r="3" spans="2:3" x14ac:dyDescent="0.3">
      <c r="B3" s="2" t="s">
        <v>221</v>
      </c>
      <c r="C3" s="69" t="s">
        <v>225</v>
      </c>
    </row>
    <row r="4" spans="2:3" x14ac:dyDescent="0.3">
      <c r="B4" s="2" t="s">
        <v>222</v>
      </c>
      <c r="C4" s="69" t="s">
        <v>226</v>
      </c>
    </row>
    <row r="5" spans="2:3" x14ac:dyDescent="0.3">
      <c r="B5" s="2" t="s">
        <v>223</v>
      </c>
      <c r="C5" s="69" t="s">
        <v>227</v>
      </c>
    </row>
    <row r="6" spans="2:3" x14ac:dyDescent="0.3">
      <c r="B6" s="2" t="s">
        <v>224</v>
      </c>
      <c r="C6" s="70">
        <v>46149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67B2-E536-4872-A2BA-9D2DF50A846D}">
  <dimension ref="B2:B8"/>
  <sheetViews>
    <sheetView showGridLines="0" workbookViewId="0"/>
  </sheetViews>
  <sheetFormatPr defaultRowHeight="14.4" x14ac:dyDescent="0.3"/>
  <cols>
    <col min="1" max="1" width="1.88671875" customWidth="1"/>
    <col min="2" max="2" width="26.77734375" customWidth="1"/>
  </cols>
  <sheetData>
    <row r="2" spans="2:2" ht="18" x14ac:dyDescent="0.35">
      <c r="B2" s="73" t="s">
        <v>228</v>
      </c>
    </row>
    <row r="3" spans="2:2" x14ac:dyDescent="0.3">
      <c r="B3" s="72" t="s">
        <v>229</v>
      </c>
    </row>
    <row r="4" spans="2:2" x14ac:dyDescent="0.3">
      <c r="B4" s="72" t="s">
        <v>230</v>
      </c>
    </row>
    <row r="5" spans="2:2" x14ac:dyDescent="0.3">
      <c r="B5" s="72" t="s">
        <v>231</v>
      </c>
    </row>
    <row r="6" spans="2:2" x14ac:dyDescent="0.3">
      <c r="B6" s="72" t="s">
        <v>232</v>
      </c>
    </row>
    <row r="7" spans="2:2" x14ac:dyDescent="0.3">
      <c r="B7" s="71" t="s">
        <v>94</v>
      </c>
    </row>
    <row r="8" spans="2:2" x14ac:dyDescent="0.3">
      <c r="B8" s="72" t="s">
        <v>233</v>
      </c>
    </row>
  </sheetData>
  <hyperlinks>
    <hyperlink ref="B3" location="'Source Data Sheet'!A1" display="'Source Data" xr:uid="{2BDC402B-5B67-4E98-8CC3-1A147347706D}"/>
    <hyperlink ref="B4" location="'Income Statement'!A1" display="'Income Statement" xr:uid="{FCC4A592-A35A-4559-ADC9-4B0583684A5A}"/>
    <hyperlink ref="B5" location="'Balance Sheet'!A1" display="'Balance Sheet" xr:uid="{C87A7934-C108-40BA-AB4D-AA2A45E491CE}"/>
    <hyperlink ref="B6" location="'Cash Flow'!A1" display="'Cash Flow'" xr:uid="{42D1F2D3-0274-48CE-82DF-0749B7377507}"/>
    <hyperlink ref="B7" location="Ratios!A1" display="Ratios" xr:uid="{AAC58FA9-F82E-469E-9CC9-A8287C593FAE}"/>
    <hyperlink ref="B8" location="'Comparative Industry Analysis'!A1" display="'Comparative Industry Analysis" xr:uid="{662FC7B9-161D-4CC3-923A-9CB1BECA406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2" activePane="bottomRight" state="frozen"/>
      <selection activeCell="C4" sqref="C4"/>
      <selection pane="topRight" activeCell="C4" sqref="C4"/>
      <selection pane="bottomLeft" activeCell="C4" sqref="C4"/>
      <selection pane="bottomRight" activeCell="F10" sqref="F10"/>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1" customFormat="1" x14ac:dyDescent="0.3">
      <c r="A1" s="1" t="s">
        <v>0</v>
      </c>
      <c r="B1" s="1" t="s">
        <v>48</v>
      </c>
      <c r="E1" s="74" t="str">
        <f>IF(B2&lt;&gt;B3, "A NEW VERSION OF THE WORKSHEET IS AVAILABLE", "")</f>
        <v/>
      </c>
      <c r="F1" s="74"/>
      <c r="G1" s="74"/>
      <c r="H1" s="74"/>
      <c r="I1" s="74"/>
      <c r="J1" s="74"/>
      <c r="K1" s="74"/>
    </row>
    <row r="2" spans="1:11" x14ac:dyDescent="0.3">
      <c r="A2" s="1" t="s">
        <v>46</v>
      </c>
      <c r="B2" s="4">
        <v>2.1</v>
      </c>
      <c r="E2" s="75" t="s">
        <v>35</v>
      </c>
      <c r="F2" s="75"/>
      <c r="G2" s="75"/>
      <c r="H2" s="75"/>
      <c r="I2" s="75"/>
      <c r="J2" s="75"/>
      <c r="K2" s="75"/>
    </row>
    <row r="3" spans="1:11" x14ac:dyDescent="0.3">
      <c r="A3" s="1" t="s">
        <v>47</v>
      </c>
      <c r="B3" s="4">
        <v>2.1</v>
      </c>
    </row>
    <row r="4" spans="1:11" x14ac:dyDescent="0.3">
      <c r="A4" s="1"/>
    </row>
    <row r="5" spans="1:11" x14ac:dyDescent="0.3">
      <c r="A5" s="1" t="s">
        <v>49</v>
      </c>
    </row>
    <row r="6" spans="1:11" x14ac:dyDescent="0.3">
      <c r="A6" s="4" t="s">
        <v>41</v>
      </c>
      <c r="B6" s="4">
        <f>IF(B9&gt;0, B9/B8, 0)</f>
        <v>235.02978695509671</v>
      </c>
    </row>
    <row r="7" spans="1:11" x14ac:dyDescent="0.3">
      <c r="A7" s="4" t="s">
        <v>30</v>
      </c>
      <c r="B7">
        <v>1</v>
      </c>
    </row>
    <row r="8" spans="1:11" x14ac:dyDescent="0.3">
      <c r="A8" s="4" t="s">
        <v>42</v>
      </c>
      <c r="B8">
        <v>2288.25</v>
      </c>
    </row>
    <row r="9" spans="1:11" x14ac:dyDescent="0.3">
      <c r="A9" s="4" t="s">
        <v>64</v>
      </c>
      <c r="B9">
        <v>537806.91</v>
      </c>
    </row>
    <row r="15" spans="1:11" x14ac:dyDescent="0.3">
      <c r="A15" s="1" t="s">
        <v>36</v>
      </c>
    </row>
    <row r="16" spans="1:11" s="16" customFormat="1" x14ac:dyDescent="0.3">
      <c r="A16" s="15" t="s">
        <v>37</v>
      </c>
      <c r="B16" s="12">
        <v>42460</v>
      </c>
      <c r="C16" s="12">
        <v>42825</v>
      </c>
      <c r="D16" s="12">
        <v>43190</v>
      </c>
      <c r="E16" s="12">
        <v>43555</v>
      </c>
      <c r="F16" s="12">
        <v>43921</v>
      </c>
      <c r="G16" s="12">
        <v>44286</v>
      </c>
      <c r="H16" s="12">
        <v>44651</v>
      </c>
      <c r="I16" s="12">
        <v>45016</v>
      </c>
      <c r="J16" s="12">
        <v>45382</v>
      </c>
      <c r="K16" s="12">
        <v>45747</v>
      </c>
    </row>
    <row r="17" spans="1:11" s="6" customFormat="1" x14ac:dyDescent="0.3">
      <c r="A17" s="6" t="s">
        <v>6</v>
      </c>
      <c r="B17">
        <v>32186</v>
      </c>
      <c r="C17">
        <v>33162</v>
      </c>
      <c r="D17">
        <v>35545</v>
      </c>
      <c r="E17">
        <v>39310</v>
      </c>
      <c r="F17">
        <v>39783</v>
      </c>
      <c r="G17">
        <v>47028</v>
      </c>
      <c r="H17">
        <v>52446</v>
      </c>
      <c r="I17">
        <v>60580</v>
      </c>
      <c r="J17">
        <v>61896</v>
      </c>
      <c r="K17">
        <v>63121</v>
      </c>
    </row>
    <row r="18" spans="1:11" s="6" customFormat="1" x14ac:dyDescent="0.3">
      <c r="A18" s="4" t="s">
        <v>65</v>
      </c>
      <c r="B18">
        <v>13184</v>
      </c>
      <c r="C18">
        <v>13606</v>
      </c>
      <c r="D18">
        <v>14233</v>
      </c>
      <c r="E18">
        <v>15845</v>
      </c>
      <c r="F18">
        <v>15697</v>
      </c>
      <c r="G18">
        <v>20141</v>
      </c>
      <c r="H18">
        <v>22871</v>
      </c>
      <c r="I18">
        <v>28427</v>
      </c>
      <c r="J18">
        <v>26822</v>
      </c>
      <c r="K18">
        <v>27344</v>
      </c>
    </row>
    <row r="19" spans="1:11" s="6" customFormat="1" x14ac:dyDescent="0.3">
      <c r="A19" s="4" t="s">
        <v>66</v>
      </c>
      <c r="B19">
        <v>-83</v>
      </c>
      <c r="C19">
        <v>-144</v>
      </c>
      <c r="D19">
        <v>72</v>
      </c>
      <c r="E19">
        <v>-12</v>
      </c>
      <c r="F19">
        <v>108</v>
      </c>
      <c r="G19">
        <v>405</v>
      </c>
      <c r="H19">
        <v>22</v>
      </c>
      <c r="I19">
        <v>75</v>
      </c>
      <c r="J19">
        <v>11</v>
      </c>
      <c r="K19">
        <v>153</v>
      </c>
    </row>
    <row r="20" spans="1:11" s="6" customFormat="1" x14ac:dyDescent="0.3">
      <c r="A20" s="4" t="s">
        <v>67</v>
      </c>
      <c r="B20">
        <v>309</v>
      </c>
      <c r="C20">
        <v>295</v>
      </c>
      <c r="D20">
        <v>295</v>
      </c>
      <c r="E20">
        <v>308</v>
      </c>
      <c r="F20">
        <v>299</v>
      </c>
      <c r="G20">
        <v>339</v>
      </c>
      <c r="H20">
        <v>318</v>
      </c>
      <c r="I20">
        <v>384</v>
      </c>
      <c r="J20">
        <v>446</v>
      </c>
      <c r="K20">
        <v>427</v>
      </c>
    </row>
    <row r="21" spans="1:11" s="6" customFormat="1" x14ac:dyDescent="0.3">
      <c r="A21" s="4" t="s">
        <v>68</v>
      </c>
      <c r="B21">
        <v>2966</v>
      </c>
      <c r="C21">
        <v>2887</v>
      </c>
      <c r="D21">
        <v>2998</v>
      </c>
      <c r="E21">
        <v>3041</v>
      </c>
      <c r="F21">
        <v>2906</v>
      </c>
      <c r="G21">
        <v>2868</v>
      </c>
      <c r="H21">
        <v>3354</v>
      </c>
      <c r="I21">
        <v>3791</v>
      </c>
      <c r="J21">
        <v>3385</v>
      </c>
      <c r="K21">
        <v>3834</v>
      </c>
    </row>
    <row r="22" spans="1:11" s="6" customFormat="1" x14ac:dyDescent="0.3">
      <c r="A22" s="4" t="s">
        <v>69</v>
      </c>
      <c r="B22">
        <v>1680</v>
      </c>
      <c r="C22">
        <v>1743</v>
      </c>
      <c r="D22">
        <v>1860</v>
      </c>
      <c r="E22">
        <v>1875</v>
      </c>
      <c r="F22">
        <v>1820</v>
      </c>
      <c r="G22">
        <v>2358</v>
      </c>
      <c r="H22">
        <v>2545</v>
      </c>
      <c r="I22">
        <v>2854</v>
      </c>
      <c r="J22">
        <v>3009</v>
      </c>
      <c r="K22">
        <v>3077</v>
      </c>
    </row>
    <row r="23" spans="1:11" s="6" customFormat="1" x14ac:dyDescent="0.3">
      <c r="A23" s="4" t="s">
        <v>70</v>
      </c>
      <c r="B23">
        <v>6741</v>
      </c>
      <c r="C23">
        <v>6689</v>
      </c>
      <c r="D23">
        <v>7252</v>
      </c>
      <c r="E23">
        <v>7796</v>
      </c>
      <c r="F23">
        <v>7620</v>
      </c>
      <c r="G23">
        <v>7906</v>
      </c>
      <c r="H23">
        <v>8164</v>
      </c>
      <c r="I23">
        <v>8785</v>
      </c>
      <c r="J23">
        <v>10780</v>
      </c>
      <c r="K23">
        <v>10693</v>
      </c>
    </row>
    <row r="24" spans="1:11" s="6" customFormat="1" x14ac:dyDescent="0.3">
      <c r="A24" s="4" t="s">
        <v>71</v>
      </c>
      <c r="B24">
        <v>1313</v>
      </c>
      <c r="C24">
        <v>1470</v>
      </c>
      <c r="D24">
        <v>1480</v>
      </c>
      <c r="E24">
        <v>1553</v>
      </c>
      <c r="F24">
        <v>1688</v>
      </c>
      <c r="G24">
        <v>2195</v>
      </c>
      <c r="H24">
        <v>2359</v>
      </c>
      <c r="I24">
        <v>2267</v>
      </c>
      <c r="J24">
        <v>2806</v>
      </c>
      <c r="K24">
        <v>3056</v>
      </c>
    </row>
    <row r="25" spans="1:11" s="6" customFormat="1" x14ac:dyDescent="0.3">
      <c r="A25" s="6" t="s">
        <v>9</v>
      </c>
      <c r="B25">
        <v>486</v>
      </c>
      <c r="C25">
        <v>606</v>
      </c>
      <c r="D25">
        <v>353</v>
      </c>
      <c r="E25">
        <v>322</v>
      </c>
      <c r="F25">
        <v>424</v>
      </c>
      <c r="G25">
        <v>170</v>
      </c>
      <c r="H25">
        <v>219</v>
      </c>
      <c r="I25">
        <v>448</v>
      </c>
      <c r="J25">
        <v>817</v>
      </c>
      <c r="K25">
        <v>1322</v>
      </c>
    </row>
    <row r="26" spans="1:11" s="6" customFormat="1" x14ac:dyDescent="0.3">
      <c r="A26" s="6" t="s">
        <v>10</v>
      </c>
      <c r="B26">
        <v>353</v>
      </c>
      <c r="C26">
        <v>432</v>
      </c>
      <c r="D26">
        <v>520</v>
      </c>
      <c r="E26">
        <v>565</v>
      </c>
      <c r="F26">
        <v>1002</v>
      </c>
      <c r="G26">
        <v>1074</v>
      </c>
      <c r="H26">
        <v>1091</v>
      </c>
      <c r="I26">
        <v>1137</v>
      </c>
      <c r="J26">
        <v>1216</v>
      </c>
      <c r="K26">
        <v>1355</v>
      </c>
    </row>
    <row r="27" spans="1:11" s="6" customFormat="1" x14ac:dyDescent="0.3">
      <c r="A27" s="6" t="s">
        <v>11</v>
      </c>
      <c r="B27">
        <v>17</v>
      </c>
      <c r="C27">
        <v>35</v>
      </c>
      <c r="D27">
        <v>26</v>
      </c>
      <c r="E27">
        <v>33</v>
      </c>
      <c r="F27">
        <v>118</v>
      </c>
      <c r="G27">
        <v>117</v>
      </c>
      <c r="H27">
        <v>106</v>
      </c>
      <c r="I27">
        <v>114</v>
      </c>
      <c r="J27">
        <v>334</v>
      </c>
      <c r="K27">
        <v>395</v>
      </c>
    </row>
    <row r="28" spans="1:11" s="6" customFormat="1" x14ac:dyDescent="0.3">
      <c r="A28" s="6" t="s">
        <v>12</v>
      </c>
      <c r="B28">
        <v>6026</v>
      </c>
      <c r="C28">
        <v>6467</v>
      </c>
      <c r="D28">
        <v>7306</v>
      </c>
      <c r="E28">
        <v>8604</v>
      </c>
      <c r="F28">
        <v>9165</v>
      </c>
      <c r="G28">
        <v>10605</v>
      </c>
      <c r="H28">
        <v>11879</v>
      </c>
      <c r="I28">
        <v>13344</v>
      </c>
      <c r="J28">
        <v>13926</v>
      </c>
      <c r="K28">
        <v>14415</v>
      </c>
    </row>
    <row r="29" spans="1:11" s="6" customFormat="1" x14ac:dyDescent="0.3">
      <c r="A29" s="6" t="s">
        <v>13</v>
      </c>
      <c r="B29">
        <v>1875</v>
      </c>
      <c r="C29">
        <v>1977</v>
      </c>
      <c r="D29">
        <v>2079</v>
      </c>
      <c r="E29">
        <v>2544</v>
      </c>
      <c r="F29">
        <v>2409</v>
      </c>
      <c r="G29">
        <v>2606</v>
      </c>
      <c r="H29">
        <v>2987</v>
      </c>
      <c r="I29">
        <v>3201</v>
      </c>
      <c r="J29">
        <v>3644</v>
      </c>
      <c r="K29">
        <v>3744</v>
      </c>
    </row>
    <row r="30" spans="1:11" s="6" customFormat="1" x14ac:dyDescent="0.3">
      <c r="A30" s="6" t="s">
        <v>14</v>
      </c>
      <c r="B30">
        <v>4151</v>
      </c>
      <c r="C30">
        <v>4476</v>
      </c>
      <c r="D30">
        <v>5214</v>
      </c>
      <c r="E30">
        <v>6054</v>
      </c>
      <c r="F30">
        <v>6748</v>
      </c>
      <c r="G30">
        <v>7995</v>
      </c>
      <c r="H30">
        <v>8879</v>
      </c>
      <c r="I30">
        <v>10120</v>
      </c>
      <c r="J30">
        <v>10277</v>
      </c>
      <c r="K30">
        <v>10649</v>
      </c>
    </row>
    <row r="31" spans="1:11" s="6" customFormat="1" x14ac:dyDescent="0.3">
      <c r="A31" s="6" t="s">
        <v>55</v>
      </c>
      <c r="B31">
        <v>3456</v>
      </c>
      <c r="C31">
        <v>3672</v>
      </c>
      <c r="D31">
        <v>4320</v>
      </c>
      <c r="E31">
        <v>4752</v>
      </c>
      <c r="F31">
        <v>5400</v>
      </c>
      <c r="G31">
        <v>9517.5</v>
      </c>
      <c r="H31">
        <v>7990</v>
      </c>
      <c r="I31">
        <v>9165</v>
      </c>
      <c r="J31">
        <v>9870</v>
      </c>
      <c r="K31">
        <v>12455</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38</v>
      </c>
    </row>
    <row r="41" spans="1:11" s="16" customFormat="1" x14ac:dyDescent="0.3">
      <c r="A41" s="15" t="s">
        <v>37</v>
      </c>
      <c r="B41" s="12">
        <v>45199</v>
      </c>
      <c r="C41" s="12">
        <v>45291</v>
      </c>
      <c r="D41" s="12">
        <v>45382</v>
      </c>
      <c r="E41" s="12">
        <v>45473</v>
      </c>
      <c r="F41" s="12">
        <v>45565</v>
      </c>
      <c r="G41" s="12">
        <v>45657</v>
      </c>
      <c r="H41" s="12">
        <v>45747</v>
      </c>
      <c r="I41" s="12">
        <v>45838</v>
      </c>
      <c r="J41" s="12">
        <v>45930</v>
      </c>
      <c r="K41" s="12">
        <v>46022</v>
      </c>
    </row>
    <row r="42" spans="1:11" s="6" customFormat="1" x14ac:dyDescent="0.3">
      <c r="A42" s="6" t="s">
        <v>6</v>
      </c>
      <c r="B42">
        <v>15623</v>
      </c>
      <c r="C42">
        <v>15567</v>
      </c>
      <c r="D42">
        <v>15210</v>
      </c>
      <c r="E42">
        <v>15707</v>
      </c>
      <c r="F42">
        <v>15926</v>
      </c>
      <c r="G42">
        <v>15556</v>
      </c>
      <c r="H42">
        <v>15670</v>
      </c>
      <c r="I42">
        <v>16514</v>
      </c>
      <c r="J42">
        <v>15919</v>
      </c>
      <c r="K42">
        <v>16441</v>
      </c>
    </row>
    <row r="43" spans="1:11" s="6" customFormat="1" x14ac:dyDescent="0.3">
      <c r="A43" s="6" t="s">
        <v>7</v>
      </c>
      <c r="B43">
        <v>11828</v>
      </c>
      <c r="C43">
        <v>11902</v>
      </c>
      <c r="D43">
        <v>11675</v>
      </c>
      <c r="E43">
        <v>11965</v>
      </c>
      <c r="F43">
        <v>12139</v>
      </c>
      <c r="G43">
        <v>11867</v>
      </c>
      <c r="H43">
        <v>12052</v>
      </c>
      <c r="I43">
        <v>12797</v>
      </c>
      <c r="J43">
        <v>12137</v>
      </c>
      <c r="K43">
        <v>12660</v>
      </c>
    </row>
    <row r="44" spans="1:11" s="6" customFormat="1" x14ac:dyDescent="0.3">
      <c r="A44" s="6" t="s">
        <v>9</v>
      </c>
      <c r="B44">
        <v>178</v>
      </c>
      <c r="C44">
        <v>184</v>
      </c>
      <c r="D44">
        <v>309</v>
      </c>
      <c r="E44">
        <v>209</v>
      </c>
      <c r="F44">
        <v>203</v>
      </c>
      <c r="G44">
        <v>733</v>
      </c>
      <c r="H44">
        <v>171</v>
      </c>
      <c r="I44">
        <v>74</v>
      </c>
      <c r="J44">
        <v>269</v>
      </c>
      <c r="K44">
        <v>4048</v>
      </c>
    </row>
    <row r="45" spans="1:11" s="6" customFormat="1" x14ac:dyDescent="0.3">
      <c r="A45" s="6" t="s">
        <v>10</v>
      </c>
      <c r="B45">
        <v>297</v>
      </c>
      <c r="C45">
        <v>313</v>
      </c>
      <c r="D45">
        <v>320</v>
      </c>
      <c r="E45">
        <v>329</v>
      </c>
      <c r="F45">
        <v>338</v>
      </c>
      <c r="G45">
        <v>318</v>
      </c>
      <c r="H45">
        <v>347</v>
      </c>
      <c r="I45">
        <v>361</v>
      </c>
      <c r="J45">
        <v>322</v>
      </c>
      <c r="K45">
        <v>337</v>
      </c>
    </row>
    <row r="46" spans="1:11" s="6" customFormat="1" x14ac:dyDescent="0.3">
      <c r="A46" s="6" t="s">
        <v>11</v>
      </c>
      <c r="B46">
        <v>88</v>
      </c>
      <c r="C46">
        <v>91</v>
      </c>
      <c r="D46">
        <v>105</v>
      </c>
      <c r="E46">
        <v>93</v>
      </c>
      <c r="F46">
        <v>110</v>
      </c>
      <c r="G46">
        <v>109</v>
      </c>
      <c r="H46">
        <v>80</v>
      </c>
      <c r="I46">
        <v>127</v>
      </c>
      <c r="J46">
        <v>124</v>
      </c>
      <c r="K46">
        <v>88</v>
      </c>
    </row>
    <row r="47" spans="1:11" s="6" customFormat="1" x14ac:dyDescent="0.3">
      <c r="A47" s="6" t="s">
        <v>12</v>
      </c>
      <c r="B47">
        <v>3588</v>
      </c>
      <c r="C47">
        <v>3445</v>
      </c>
      <c r="D47">
        <v>3419</v>
      </c>
      <c r="E47">
        <v>3529</v>
      </c>
      <c r="F47">
        <v>3542</v>
      </c>
      <c r="G47">
        <v>3995</v>
      </c>
      <c r="H47">
        <v>3362</v>
      </c>
      <c r="I47">
        <v>3303</v>
      </c>
      <c r="J47">
        <v>3605</v>
      </c>
      <c r="K47">
        <v>7404</v>
      </c>
    </row>
    <row r="48" spans="1:11" s="6" customFormat="1" x14ac:dyDescent="0.3">
      <c r="A48" s="6" t="s">
        <v>13</v>
      </c>
      <c r="B48">
        <v>931</v>
      </c>
      <c r="C48">
        <v>937</v>
      </c>
      <c r="D48">
        <v>858</v>
      </c>
      <c r="E48">
        <v>917</v>
      </c>
      <c r="F48">
        <v>947</v>
      </c>
      <c r="G48">
        <v>1006</v>
      </c>
      <c r="H48">
        <v>887</v>
      </c>
      <c r="I48">
        <v>535</v>
      </c>
      <c r="J48">
        <v>911</v>
      </c>
      <c r="K48">
        <v>801</v>
      </c>
    </row>
    <row r="49" spans="1:11" s="6" customFormat="1" x14ac:dyDescent="0.3">
      <c r="A49" s="6" t="s">
        <v>14</v>
      </c>
      <c r="B49">
        <v>2656</v>
      </c>
      <c r="C49">
        <v>2509</v>
      </c>
      <c r="D49">
        <v>2558</v>
      </c>
      <c r="E49">
        <v>2610</v>
      </c>
      <c r="F49">
        <v>2591</v>
      </c>
      <c r="G49">
        <v>2984</v>
      </c>
      <c r="H49">
        <v>2464</v>
      </c>
      <c r="I49">
        <v>2756</v>
      </c>
      <c r="J49">
        <v>2685</v>
      </c>
      <c r="K49">
        <v>6607</v>
      </c>
    </row>
    <row r="50" spans="1:11" x14ac:dyDescent="0.3">
      <c r="A50" s="6" t="s">
        <v>8</v>
      </c>
      <c r="B50">
        <v>3795</v>
      </c>
      <c r="C50">
        <v>3665</v>
      </c>
      <c r="D50">
        <v>3535</v>
      </c>
      <c r="E50">
        <v>3742</v>
      </c>
      <c r="F50">
        <v>3787</v>
      </c>
      <c r="G50">
        <v>3689</v>
      </c>
      <c r="H50">
        <v>3618</v>
      </c>
      <c r="I50">
        <v>3717</v>
      </c>
      <c r="J50">
        <v>3782</v>
      </c>
      <c r="K50">
        <v>3781</v>
      </c>
    </row>
    <row r="51" spans="1:11" x14ac:dyDescent="0.3">
      <c r="A51" s="6"/>
    </row>
    <row r="52" spans="1:11" x14ac:dyDescent="0.3">
      <c r="A52" s="6"/>
    </row>
    <row r="53" spans="1:11" x14ac:dyDescent="0.3">
      <c r="A53" s="6"/>
    </row>
    <row r="54" spans="1:11" x14ac:dyDescent="0.3">
      <c r="A54" s="6"/>
    </row>
    <row r="55" spans="1:11" x14ac:dyDescent="0.3">
      <c r="A55" s="1" t="s">
        <v>39</v>
      </c>
    </row>
    <row r="56" spans="1:11" s="16" customFormat="1" x14ac:dyDescent="0.3">
      <c r="A56" s="15" t="s">
        <v>37</v>
      </c>
      <c r="B56" s="12">
        <v>42460</v>
      </c>
      <c r="C56" s="12">
        <v>42825</v>
      </c>
      <c r="D56" s="12">
        <v>43190</v>
      </c>
      <c r="E56" s="12">
        <v>43555</v>
      </c>
      <c r="F56" s="12">
        <v>43921</v>
      </c>
      <c r="G56" s="12">
        <v>44286</v>
      </c>
      <c r="H56" s="12">
        <v>44651</v>
      </c>
      <c r="I56" s="12">
        <v>45016</v>
      </c>
      <c r="J56" s="12">
        <v>45382</v>
      </c>
      <c r="K56" s="12">
        <v>45747</v>
      </c>
    </row>
    <row r="57" spans="1:11" x14ac:dyDescent="0.3">
      <c r="A57" s="6" t="s">
        <v>24</v>
      </c>
      <c r="B57">
        <v>216</v>
      </c>
      <c r="C57">
        <v>216</v>
      </c>
      <c r="D57">
        <v>216</v>
      </c>
      <c r="E57">
        <v>216</v>
      </c>
      <c r="F57">
        <v>216</v>
      </c>
      <c r="G57">
        <v>235</v>
      </c>
      <c r="H57">
        <v>235</v>
      </c>
      <c r="I57">
        <v>235</v>
      </c>
      <c r="J57">
        <v>235</v>
      </c>
      <c r="K57">
        <v>235</v>
      </c>
    </row>
    <row r="58" spans="1:11" x14ac:dyDescent="0.3">
      <c r="A58" s="6" t="s">
        <v>25</v>
      </c>
      <c r="B58">
        <v>6357</v>
      </c>
      <c r="C58">
        <v>6528</v>
      </c>
      <c r="D58">
        <v>7065</v>
      </c>
      <c r="E58">
        <v>7651</v>
      </c>
      <c r="F58">
        <v>8013</v>
      </c>
      <c r="G58">
        <v>47439</v>
      </c>
      <c r="H58">
        <v>48826</v>
      </c>
      <c r="I58">
        <v>50069</v>
      </c>
      <c r="J58">
        <v>50983</v>
      </c>
      <c r="K58">
        <v>49167</v>
      </c>
    </row>
    <row r="59" spans="1:11" x14ac:dyDescent="0.3">
      <c r="A59" s="6" t="s">
        <v>56</v>
      </c>
      <c r="B59">
        <v>177</v>
      </c>
      <c r="C59">
        <v>277</v>
      </c>
      <c r="E59">
        <v>99</v>
      </c>
      <c r="H59">
        <v>1043</v>
      </c>
      <c r="I59">
        <v>1219</v>
      </c>
      <c r="J59">
        <v>1484</v>
      </c>
      <c r="K59">
        <v>1648</v>
      </c>
    </row>
    <row r="60" spans="1:11" x14ac:dyDescent="0.3">
      <c r="A60" s="6" t="s">
        <v>57</v>
      </c>
      <c r="B60">
        <v>8043</v>
      </c>
      <c r="C60">
        <v>8685</v>
      </c>
      <c r="D60">
        <v>10581</v>
      </c>
      <c r="E60">
        <v>10663</v>
      </c>
      <c r="F60">
        <v>11924</v>
      </c>
      <c r="G60">
        <v>21066</v>
      </c>
      <c r="H60">
        <v>20402</v>
      </c>
      <c r="I60">
        <v>21554</v>
      </c>
      <c r="J60">
        <v>25787</v>
      </c>
      <c r="K60">
        <v>28813</v>
      </c>
    </row>
    <row r="61" spans="1:11" s="1" customFormat="1" x14ac:dyDescent="0.3">
      <c r="A61" s="1" t="s">
        <v>26</v>
      </c>
      <c r="B61">
        <v>14793</v>
      </c>
      <c r="C61">
        <v>15706</v>
      </c>
      <c r="D61">
        <v>17862</v>
      </c>
      <c r="E61">
        <v>18629</v>
      </c>
      <c r="F61">
        <v>20153</v>
      </c>
      <c r="G61">
        <v>68740</v>
      </c>
      <c r="H61">
        <v>70506</v>
      </c>
      <c r="I61">
        <v>73077</v>
      </c>
      <c r="J61">
        <v>78489</v>
      </c>
      <c r="K61">
        <v>79863</v>
      </c>
    </row>
    <row r="62" spans="1:11" x14ac:dyDescent="0.3">
      <c r="A62" s="6" t="s">
        <v>27</v>
      </c>
      <c r="B62">
        <v>3258</v>
      </c>
      <c r="C62">
        <v>4419</v>
      </c>
      <c r="D62">
        <v>4528</v>
      </c>
      <c r="E62">
        <v>4715</v>
      </c>
      <c r="F62">
        <v>5479</v>
      </c>
      <c r="G62">
        <v>51443</v>
      </c>
      <c r="H62">
        <v>51473</v>
      </c>
      <c r="I62">
        <v>52678</v>
      </c>
      <c r="J62">
        <v>53744</v>
      </c>
      <c r="K62">
        <v>54335</v>
      </c>
    </row>
    <row r="63" spans="1:11" x14ac:dyDescent="0.3">
      <c r="A63" s="6" t="s">
        <v>28</v>
      </c>
      <c r="B63">
        <v>408</v>
      </c>
      <c r="C63">
        <v>229</v>
      </c>
      <c r="D63">
        <v>461</v>
      </c>
      <c r="E63">
        <v>406</v>
      </c>
      <c r="F63">
        <v>597</v>
      </c>
      <c r="G63">
        <v>745</v>
      </c>
      <c r="H63">
        <v>1313</v>
      </c>
      <c r="I63">
        <v>1132</v>
      </c>
      <c r="J63">
        <v>1025</v>
      </c>
      <c r="K63">
        <v>1009</v>
      </c>
    </row>
    <row r="64" spans="1:11" x14ac:dyDescent="0.3">
      <c r="A64" s="6" t="s">
        <v>29</v>
      </c>
      <c r="B64">
        <v>2592</v>
      </c>
      <c r="C64">
        <v>3794</v>
      </c>
      <c r="D64">
        <v>2873</v>
      </c>
      <c r="E64">
        <v>2716</v>
      </c>
      <c r="F64">
        <v>1255</v>
      </c>
      <c r="G64">
        <v>2709</v>
      </c>
      <c r="H64">
        <v>3521</v>
      </c>
      <c r="I64">
        <v>2882</v>
      </c>
      <c r="J64">
        <v>4625</v>
      </c>
      <c r="K64">
        <v>3810</v>
      </c>
    </row>
    <row r="65" spans="1:11" x14ac:dyDescent="0.3">
      <c r="A65" s="6" t="s">
        <v>58</v>
      </c>
      <c r="B65">
        <v>8535</v>
      </c>
      <c r="C65">
        <v>7264</v>
      </c>
      <c r="D65">
        <v>10000</v>
      </c>
      <c r="E65">
        <v>10792</v>
      </c>
      <c r="F65">
        <v>12822</v>
      </c>
      <c r="G65">
        <v>13843</v>
      </c>
      <c r="H65">
        <v>14199</v>
      </c>
      <c r="I65">
        <v>16385</v>
      </c>
      <c r="J65">
        <v>19095</v>
      </c>
      <c r="K65">
        <v>20709</v>
      </c>
    </row>
    <row r="66" spans="1:11" s="1" customFormat="1" x14ac:dyDescent="0.3">
      <c r="A66" s="1" t="s">
        <v>26</v>
      </c>
      <c r="B66">
        <v>14793</v>
      </c>
      <c r="C66">
        <v>15706</v>
      </c>
      <c r="D66">
        <v>17862</v>
      </c>
      <c r="E66">
        <v>18629</v>
      </c>
      <c r="F66">
        <v>20153</v>
      </c>
      <c r="G66">
        <v>68740</v>
      </c>
      <c r="H66">
        <v>70506</v>
      </c>
      <c r="I66">
        <v>73077</v>
      </c>
      <c r="J66">
        <v>78489</v>
      </c>
      <c r="K66">
        <v>79863</v>
      </c>
    </row>
    <row r="67" spans="1:11" s="6" customFormat="1" x14ac:dyDescent="0.3">
      <c r="A67" s="6" t="s">
        <v>63</v>
      </c>
      <c r="B67">
        <v>1264</v>
      </c>
      <c r="C67">
        <v>1085</v>
      </c>
      <c r="D67">
        <v>1310</v>
      </c>
      <c r="E67">
        <v>1816</v>
      </c>
      <c r="F67">
        <v>1149</v>
      </c>
      <c r="G67">
        <v>1758</v>
      </c>
      <c r="H67">
        <v>2236</v>
      </c>
      <c r="I67">
        <v>3079</v>
      </c>
      <c r="J67">
        <v>2997</v>
      </c>
      <c r="K67">
        <v>3819</v>
      </c>
    </row>
    <row r="68" spans="1:11" x14ac:dyDescent="0.3">
      <c r="A68" s="6" t="s">
        <v>43</v>
      </c>
      <c r="B68">
        <v>2726</v>
      </c>
      <c r="C68">
        <v>2541</v>
      </c>
      <c r="D68">
        <v>2513</v>
      </c>
      <c r="E68">
        <v>2574</v>
      </c>
      <c r="F68">
        <v>2767</v>
      </c>
      <c r="G68">
        <v>3579</v>
      </c>
      <c r="H68">
        <v>4096</v>
      </c>
      <c r="I68">
        <v>4251</v>
      </c>
      <c r="J68">
        <v>4022</v>
      </c>
      <c r="K68">
        <v>4415</v>
      </c>
    </row>
    <row r="69" spans="1:11" x14ac:dyDescent="0.3">
      <c r="A69" s="4" t="s">
        <v>72</v>
      </c>
      <c r="B69">
        <v>3009</v>
      </c>
      <c r="C69">
        <v>1828</v>
      </c>
      <c r="D69">
        <v>3485</v>
      </c>
      <c r="E69">
        <v>3757</v>
      </c>
      <c r="F69">
        <v>5113</v>
      </c>
      <c r="G69">
        <v>4471</v>
      </c>
      <c r="H69">
        <v>3846</v>
      </c>
      <c r="I69">
        <v>4678</v>
      </c>
      <c r="J69">
        <v>7559</v>
      </c>
      <c r="K69">
        <v>7554</v>
      </c>
    </row>
    <row r="70" spans="1:11" x14ac:dyDescent="0.3">
      <c r="A70" s="4" t="s">
        <v>59</v>
      </c>
      <c r="B70">
        <v>2163936971</v>
      </c>
      <c r="C70">
        <v>2164349639</v>
      </c>
      <c r="D70">
        <v>2164528777</v>
      </c>
      <c r="E70">
        <v>2164704405</v>
      </c>
      <c r="F70">
        <v>2164704405</v>
      </c>
      <c r="G70">
        <v>2349567819</v>
      </c>
      <c r="H70">
        <v>2349591262</v>
      </c>
      <c r="I70">
        <v>2349591262</v>
      </c>
      <c r="J70">
        <v>2349591262</v>
      </c>
      <c r="K70">
        <v>2349591262</v>
      </c>
    </row>
    <row r="71" spans="1:11" x14ac:dyDescent="0.3">
      <c r="A71" s="4" t="s">
        <v>60</v>
      </c>
    </row>
    <row r="72" spans="1:11" x14ac:dyDescent="0.3">
      <c r="A72" s="4" t="s">
        <v>73</v>
      </c>
      <c r="B72">
        <v>1</v>
      </c>
      <c r="C72">
        <v>1</v>
      </c>
      <c r="D72">
        <v>1</v>
      </c>
      <c r="E72">
        <v>1</v>
      </c>
      <c r="F72">
        <v>1</v>
      </c>
      <c r="G72">
        <v>1</v>
      </c>
      <c r="H72">
        <v>1</v>
      </c>
      <c r="I72">
        <v>1</v>
      </c>
      <c r="J72">
        <v>1</v>
      </c>
      <c r="K72">
        <v>1</v>
      </c>
    </row>
    <row r="74" spans="1:11" x14ac:dyDescent="0.3">
      <c r="A74" s="6"/>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40</v>
      </c>
    </row>
    <row r="81" spans="1:11" s="16" customFormat="1" x14ac:dyDescent="0.3">
      <c r="A81" s="15" t="s">
        <v>37</v>
      </c>
      <c r="B81" s="12">
        <v>42460</v>
      </c>
      <c r="C81" s="12">
        <v>42825</v>
      </c>
      <c r="D81" s="12">
        <v>43190</v>
      </c>
      <c r="E81" s="12">
        <v>43555</v>
      </c>
      <c r="F81" s="12">
        <v>43921</v>
      </c>
      <c r="G81" s="12">
        <v>44286</v>
      </c>
      <c r="H81" s="12">
        <v>44651</v>
      </c>
      <c r="I81" s="12">
        <v>45016</v>
      </c>
      <c r="J81" s="12">
        <v>45382</v>
      </c>
      <c r="K81" s="12">
        <v>45747</v>
      </c>
    </row>
    <row r="82" spans="1:11" s="1" customFormat="1" x14ac:dyDescent="0.3">
      <c r="A82" s="6" t="s">
        <v>31</v>
      </c>
      <c r="B82">
        <v>4171</v>
      </c>
      <c r="C82">
        <v>5185</v>
      </c>
      <c r="D82">
        <v>6059</v>
      </c>
      <c r="E82">
        <v>5800</v>
      </c>
      <c r="F82">
        <v>7623</v>
      </c>
      <c r="G82">
        <v>9163</v>
      </c>
      <c r="H82">
        <v>9048</v>
      </c>
      <c r="I82">
        <v>9991</v>
      </c>
      <c r="J82">
        <v>15469</v>
      </c>
      <c r="K82">
        <v>11886</v>
      </c>
    </row>
    <row r="83" spans="1:11" s="6" customFormat="1" x14ac:dyDescent="0.3">
      <c r="A83" s="6" t="s">
        <v>32</v>
      </c>
      <c r="B83">
        <v>-282</v>
      </c>
      <c r="C83">
        <v>-1173</v>
      </c>
      <c r="D83">
        <v>-1063</v>
      </c>
      <c r="E83">
        <v>-438</v>
      </c>
      <c r="F83">
        <v>1791</v>
      </c>
      <c r="G83">
        <v>-1228</v>
      </c>
      <c r="H83">
        <v>-1728</v>
      </c>
      <c r="I83">
        <v>-1484</v>
      </c>
      <c r="J83">
        <v>-5324</v>
      </c>
      <c r="K83">
        <v>6473</v>
      </c>
    </row>
    <row r="84" spans="1:11" s="6" customFormat="1" x14ac:dyDescent="0.3">
      <c r="A84" s="6" t="s">
        <v>33</v>
      </c>
      <c r="B84">
        <v>-3864</v>
      </c>
      <c r="C84">
        <v>-4214</v>
      </c>
      <c r="D84">
        <v>-4975</v>
      </c>
      <c r="E84">
        <v>-5390</v>
      </c>
      <c r="F84">
        <v>-6819</v>
      </c>
      <c r="G84">
        <v>-9309</v>
      </c>
      <c r="H84">
        <v>-8015</v>
      </c>
      <c r="I84">
        <v>-8953</v>
      </c>
      <c r="J84">
        <v>-10034</v>
      </c>
      <c r="K84">
        <v>-13101</v>
      </c>
    </row>
    <row r="85" spans="1:11" s="1" customFormat="1" x14ac:dyDescent="0.3">
      <c r="A85" s="6" t="s">
        <v>34</v>
      </c>
      <c r="B85">
        <v>25</v>
      </c>
      <c r="C85">
        <v>-202</v>
      </c>
      <c r="D85">
        <v>21</v>
      </c>
      <c r="E85">
        <v>-28</v>
      </c>
      <c r="F85">
        <v>2595</v>
      </c>
      <c r="G85">
        <v>-1374</v>
      </c>
      <c r="H85">
        <v>-695</v>
      </c>
      <c r="I85">
        <v>-446</v>
      </c>
      <c r="J85">
        <v>111</v>
      </c>
      <c r="K85">
        <v>5258</v>
      </c>
    </row>
    <row r="86" spans="1:11" x14ac:dyDescent="0.3">
      <c r="A86" s="6"/>
    </row>
    <row r="87" spans="1:11" x14ac:dyDescent="0.3">
      <c r="A87" s="6"/>
    </row>
    <row r="88" spans="1:11" x14ac:dyDescent="0.3">
      <c r="A88" s="6"/>
    </row>
    <row r="89" spans="1:11" x14ac:dyDescent="0.3">
      <c r="A89" s="6"/>
    </row>
    <row r="90" spans="1:11" s="1" customFormat="1" x14ac:dyDescent="0.3">
      <c r="A90" s="1" t="s">
        <v>62</v>
      </c>
      <c r="B90">
        <v>832.17</v>
      </c>
      <c r="C90">
        <v>872.61</v>
      </c>
      <c r="D90">
        <v>1276.1099999999999</v>
      </c>
      <c r="E90">
        <v>1633.53</v>
      </c>
      <c r="F90">
        <v>2199.83</v>
      </c>
      <c r="G90">
        <v>2327.12</v>
      </c>
      <c r="H90">
        <v>1960.7</v>
      </c>
      <c r="I90">
        <v>2450.44</v>
      </c>
      <c r="J90">
        <v>2167.14</v>
      </c>
      <c r="K90">
        <v>2161.88</v>
      </c>
    </row>
    <row r="92" spans="1:11" s="1" customFormat="1" x14ac:dyDescent="0.3">
      <c r="A92" s="1" t="s">
        <v>61</v>
      </c>
    </row>
    <row r="93" spans="1:11" x14ac:dyDescent="0.3">
      <c r="A93" s="4" t="s">
        <v>74</v>
      </c>
      <c r="B93" s="18">
        <v>216.39</v>
      </c>
      <c r="C93" s="18">
        <v>216.43</v>
      </c>
      <c r="D93" s="18">
        <v>216.45</v>
      </c>
      <c r="E93" s="18">
        <v>216.47</v>
      </c>
      <c r="F93" s="18">
        <v>216.48</v>
      </c>
      <c r="G93" s="18">
        <v>234.96</v>
      </c>
      <c r="H93" s="18">
        <v>234.96</v>
      </c>
      <c r="I93" s="18">
        <v>234.96</v>
      </c>
      <c r="J93" s="18">
        <v>234.96</v>
      </c>
      <c r="K93" s="18">
        <v>234.96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D625-3E7A-4156-94A2-BC310CD163E0}">
  <dimension ref="B2:F30"/>
  <sheetViews>
    <sheetView showGridLines="0" tabSelected="1" zoomScale="88" workbookViewId="0">
      <selection activeCell="U21" sqref="U21"/>
    </sheetView>
  </sheetViews>
  <sheetFormatPr defaultRowHeight="14.4" x14ac:dyDescent="0.3"/>
  <cols>
    <col min="1" max="1" width="1.88671875" customWidth="1"/>
    <col min="2" max="2" width="28.109375" customWidth="1"/>
    <col min="3" max="5" width="11.33203125" bestFit="1" customWidth="1"/>
    <col min="6" max="6" width="21.77734375" customWidth="1"/>
  </cols>
  <sheetData>
    <row r="2" spans="2:6" ht="18" x14ac:dyDescent="0.35">
      <c r="B2" s="76" t="s">
        <v>75</v>
      </c>
      <c r="C2" s="76"/>
      <c r="D2" s="76"/>
      <c r="E2" s="76"/>
      <c r="F2" s="76"/>
    </row>
    <row r="3" spans="2:6" x14ac:dyDescent="0.3">
      <c r="B3" s="77" t="s">
        <v>76</v>
      </c>
      <c r="C3" s="77"/>
      <c r="D3" s="77"/>
      <c r="E3" s="77"/>
      <c r="F3" s="77"/>
    </row>
    <row r="4" spans="2:6" x14ac:dyDescent="0.3">
      <c r="B4" s="21" t="s">
        <v>77</v>
      </c>
      <c r="C4" s="22">
        <v>44986</v>
      </c>
      <c r="D4" s="22">
        <v>45352</v>
      </c>
      <c r="E4" s="22">
        <v>45717</v>
      </c>
      <c r="F4" s="23" t="s">
        <v>90</v>
      </c>
    </row>
    <row r="5" spans="2:6" x14ac:dyDescent="0.3">
      <c r="B5" t="s">
        <v>78</v>
      </c>
      <c r="C5" s="20">
        <f>'Source Data Sheet'!I17</f>
        <v>60580</v>
      </c>
      <c r="D5" s="20">
        <f>'Source Data Sheet'!J17</f>
        <v>61896</v>
      </c>
      <c r="E5" s="20">
        <f>'Source Data Sheet'!K17</f>
        <v>63121</v>
      </c>
    </row>
    <row r="6" spans="2:6" x14ac:dyDescent="0.3">
      <c r="B6" s="24" t="s">
        <v>79</v>
      </c>
      <c r="C6" s="24" t="s">
        <v>89</v>
      </c>
      <c r="D6" s="25">
        <f>D5/C5-1</f>
        <v>2.1723341036645749E-2</v>
      </c>
      <c r="E6" s="25">
        <f>E5/D5-1</f>
        <v>1.9791262763344974E-2</v>
      </c>
    </row>
    <row r="8" spans="2:6" x14ac:dyDescent="0.3">
      <c r="B8" t="s">
        <v>80</v>
      </c>
      <c r="C8" s="20">
        <f>'Source Data Sheet'!I18+'Source Data Sheet'!I20+'Source Data Sheet'!I21-'Source Data Sheet'!I19</f>
        <v>32527</v>
      </c>
      <c r="D8" s="20">
        <f>'Source Data Sheet'!J18+'Source Data Sheet'!J20+'Source Data Sheet'!J21-'Source Data Sheet'!J19</f>
        <v>30642</v>
      </c>
      <c r="E8" s="20">
        <f>'Source Data Sheet'!K18+'Source Data Sheet'!K20+'Source Data Sheet'!K21-'Source Data Sheet'!K19</f>
        <v>31452</v>
      </c>
    </row>
    <row r="9" spans="2:6" x14ac:dyDescent="0.3">
      <c r="C9" s="20"/>
      <c r="D9" s="20"/>
      <c r="E9" s="20"/>
    </row>
    <row r="10" spans="2:6" x14ac:dyDescent="0.3">
      <c r="B10" s="26" t="s">
        <v>81</v>
      </c>
      <c r="C10" s="27">
        <f>C5-C8</f>
        <v>28053</v>
      </c>
      <c r="D10" s="27">
        <f t="shared" ref="D10:E10" si="0">D5-D8</f>
        <v>31254</v>
      </c>
      <c r="E10" s="27">
        <f t="shared" si="0"/>
        <v>31669</v>
      </c>
    </row>
    <row r="11" spans="2:6" x14ac:dyDescent="0.3">
      <c r="B11" s="24" t="s">
        <v>82</v>
      </c>
      <c r="C11" s="25">
        <f>C10/C5</f>
        <v>0.46307362165731264</v>
      </c>
      <c r="D11" s="25">
        <f t="shared" ref="D11:E11" si="1">D10/D5</f>
        <v>0.50494377665761925</v>
      </c>
      <c r="E11" s="25">
        <f t="shared" si="1"/>
        <v>0.50171892080290237</v>
      </c>
    </row>
    <row r="13" spans="2:6" x14ac:dyDescent="0.3">
      <c r="B13" s="19" t="str">
        <f>'Source Data Sheet'!A24</f>
        <v>Other Expenses</v>
      </c>
      <c r="C13" s="20">
        <f>'Source Data Sheet'!I22+'Source Data Sheet'!I23+'Source Data Sheet'!I24</f>
        <v>13906</v>
      </c>
      <c r="D13" s="20">
        <f>'Source Data Sheet'!J22+'Source Data Sheet'!J23+'Source Data Sheet'!J24</f>
        <v>16595</v>
      </c>
      <c r="E13" s="20">
        <f>'Source Data Sheet'!K22+'Source Data Sheet'!K23+'Source Data Sheet'!K24</f>
        <v>16826</v>
      </c>
    </row>
    <row r="14" spans="2:6" x14ac:dyDescent="0.3">
      <c r="C14" s="20"/>
      <c r="D14" s="20"/>
      <c r="E14" s="20"/>
    </row>
    <row r="15" spans="2:6" x14ac:dyDescent="0.3">
      <c r="B15" s="26" t="s">
        <v>83</v>
      </c>
      <c r="C15" s="27">
        <f>C10-C13</f>
        <v>14147</v>
      </c>
      <c r="D15" s="27">
        <f t="shared" ref="D15:E15" si="2">D10-D13</f>
        <v>14659</v>
      </c>
      <c r="E15" s="27">
        <f t="shared" si="2"/>
        <v>14843</v>
      </c>
    </row>
    <row r="16" spans="2:6" x14ac:dyDescent="0.3">
      <c r="B16" s="24" t="s">
        <v>84</v>
      </c>
      <c r="C16" s="25">
        <f>C15/C5</f>
        <v>0.23352591614394189</v>
      </c>
      <c r="D16" s="25">
        <f t="shared" ref="D16:E16" si="3">D15/D5</f>
        <v>0.23683275171255008</v>
      </c>
      <c r="E16" s="25">
        <f t="shared" si="3"/>
        <v>0.23515153435465216</v>
      </c>
    </row>
    <row r="18" spans="2:5" x14ac:dyDescent="0.3">
      <c r="B18" s="19" t="str">
        <f>'Source Data Sheet'!A25</f>
        <v>Other Income</v>
      </c>
      <c r="C18" s="20">
        <f>'Source Data Sheet'!I25</f>
        <v>448</v>
      </c>
      <c r="D18" s="20">
        <f>'Source Data Sheet'!J25</f>
        <v>817</v>
      </c>
      <c r="E18" s="20">
        <f>'Source Data Sheet'!K25</f>
        <v>1322</v>
      </c>
    </row>
    <row r="19" spans="2:5" x14ac:dyDescent="0.3">
      <c r="B19" s="19" t="str">
        <f>'Source Data Sheet'!A26</f>
        <v>Depreciation</v>
      </c>
      <c r="C19" s="20">
        <f>'Source Data Sheet'!I26</f>
        <v>1137</v>
      </c>
      <c r="D19" s="20">
        <f>'Source Data Sheet'!J26</f>
        <v>1216</v>
      </c>
      <c r="E19" s="20">
        <f>'Source Data Sheet'!K26</f>
        <v>1355</v>
      </c>
    </row>
    <row r="20" spans="2:5" x14ac:dyDescent="0.3">
      <c r="C20" s="20"/>
      <c r="D20" s="20"/>
      <c r="E20" s="20"/>
    </row>
    <row r="21" spans="2:5" x14ac:dyDescent="0.3">
      <c r="B21" s="26" t="s">
        <v>85</v>
      </c>
      <c r="C21" s="27">
        <f>C15+C18-C19</f>
        <v>13458</v>
      </c>
      <c r="D21" s="27">
        <f t="shared" ref="D21:E21" si="4">D15+D18-D19</f>
        <v>14260</v>
      </c>
      <c r="E21" s="27">
        <f t="shared" si="4"/>
        <v>14810</v>
      </c>
    </row>
    <row r="22" spans="2:5" x14ac:dyDescent="0.3">
      <c r="C22" s="20"/>
      <c r="D22" s="20"/>
      <c r="E22" s="20"/>
    </row>
    <row r="23" spans="2:5" x14ac:dyDescent="0.3">
      <c r="B23" s="19" t="str">
        <f>'Source Data Sheet'!A27</f>
        <v>Interest</v>
      </c>
      <c r="C23" s="20">
        <f>'Source Data Sheet'!I27</f>
        <v>114</v>
      </c>
      <c r="D23" s="20">
        <f>'Source Data Sheet'!J27</f>
        <v>334</v>
      </c>
      <c r="E23" s="20">
        <f>'Source Data Sheet'!K27</f>
        <v>395</v>
      </c>
    </row>
    <row r="24" spans="2:5" x14ac:dyDescent="0.3">
      <c r="C24" s="20"/>
      <c r="D24" s="20"/>
      <c r="E24" s="20"/>
    </row>
    <row r="25" spans="2:5" x14ac:dyDescent="0.3">
      <c r="B25" s="26" t="s">
        <v>86</v>
      </c>
      <c r="C25" s="27">
        <f>C21-C23</f>
        <v>13344</v>
      </c>
      <c r="D25" s="27">
        <f t="shared" ref="D25:E25" si="5">D21-D23</f>
        <v>13926</v>
      </c>
      <c r="E25" s="27">
        <f t="shared" si="5"/>
        <v>14415</v>
      </c>
    </row>
    <row r="26" spans="2:5" x14ac:dyDescent="0.3">
      <c r="C26" s="20"/>
      <c r="D26" s="20"/>
      <c r="E26" s="20"/>
    </row>
    <row r="27" spans="2:5" x14ac:dyDescent="0.3">
      <c r="B27" s="19" t="str">
        <f>'Source Data Sheet'!A29</f>
        <v>Tax</v>
      </c>
      <c r="C27" s="20">
        <f>'Source Data Sheet'!I29</f>
        <v>3201</v>
      </c>
      <c r="D27" s="20">
        <f>'Source Data Sheet'!J29</f>
        <v>3644</v>
      </c>
      <c r="E27" s="20">
        <f>'Source Data Sheet'!K29</f>
        <v>3744</v>
      </c>
    </row>
    <row r="28" spans="2:5" x14ac:dyDescent="0.3">
      <c r="C28" s="20"/>
      <c r="D28" s="20"/>
      <c r="E28" s="20"/>
    </row>
    <row r="29" spans="2:5" ht="15" thickBot="1" x14ac:dyDescent="0.35">
      <c r="B29" s="28" t="s">
        <v>87</v>
      </c>
      <c r="C29" s="29">
        <f>C25-C27</f>
        <v>10143</v>
      </c>
      <c r="D29" s="29">
        <f t="shared" ref="D29:E29" si="6">D25-D27</f>
        <v>10282</v>
      </c>
      <c r="E29" s="29">
        <f t="shared" si="6"/>
        <v>10671</v>
      </c>
    </row>
    <row r="30" spans="2:5" x14ac:dyDescent="0.3">
      <c r="B30" s="24" t="s">
        <v>88</v>
      </c>
      <c r="C30" s="25">
        <f>C29/C5</f>
        <v>0.16743149554308354</v>
      </c>
      <c r="D30" s="25">
        <f t="shared" ref="D30:E30" si="7">D29/D5</f>
        <v>0.16611735814915343</v>
      </c>
      <c r="E30" s="25">
        <f t="shared" si="7"/>
        <v>0.16905625703014845</v>
      </c>
    </row>
  </sheetData>
  <mergeCells count="2">
    <mergeCell ref="B2:F2"/>
    <mergeCell ref="B3:F3"/>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xr2:uid="{527A3505-F579-4FAF-978E-B65A798584B5}">
          <x14:colorSeries theme="1"/>
          <x14:colorNegative rgb="FFD00000"/>
          <x14:colorAxis rgb="FF000000"/>
          <x14:colorMarkers rgb="FFD00000"/>
          <x14:colorFirst rgb="FFD00000"/>
          <x14:colorLast rgb="FFD00000"/>
          <x14:colorHigh rgb="FFD00000"/>
          <x14:colorLow rgb="FFD00000"/>
          <x14:sparklines>
            <x14:sparkline>
              <xm:f>'Income Statement'!C6:E6</xm:f>
              <xm:sqref>F6</xm:sqref>
            </x14:sparkline>
          </x14:sparklines>
        </x14:sparklineGroup>
        <x14:sparklineGroup displayEmptyCellsAs="gap" markers="1" xr2:uid="{2E9C52E0-2780-4CCB-916E-41F4312BE97F}">
          <x14:colorSeries theme="1"/>
          <x14:colorNegative rgb="FF0070C0"/>
          <x14:colorAxis rgb="FF000000"/>
          <x14:colorMarkers rgb="FF0070C0"/>
          <x14:colorFirst rgb="FF0070C0"/>
          <x14:colorLast rgb="FF0070C0"/>
          <x14:colorHigh theme="1"/>
          <x14:colorLow rgb="FF0070C0"/>
          <x14:sparklines>
            <x14:sparkline>
              <xm:f>'Income Statement'!C11:E11</xm:f>
              <xm:sqref>F11</xm:sqref>
            </x14:sparkline>
          </x14:sparklines>
        </x14:sparklineGroup>
        <x14:sparklineGroup displayEmptyCellsAs="gap" markers="1" xr2:uid="{940D7A00-9C7A-40E3-BAEB-352F55B3096F}">
          <x14:colorSeries theme="1"/>
          <x14:colorNegative rgb="FF0070C0"/>
          <x14:colorAxis rgb="FF000000"/>
          <x14:colorMarkers rgb="FF0070C0"/>
          <x14:colorFirst rgb="FF0070C0"/>
          <x14:colorLast rgb="FF0070C0"/>
          <x14:colorHigh rgb="FF0070C0"/>
          <x14:colorLow rgb="FF0070C0"/>
          <x14:sparklines>
            <x14:sparkline>
              <xm:f>'Income Statement'!C16:E16</xm:f>
              <xm:sqref>F16</xm:sqref>
            </x14:sparkline>
          </x14:sparklines>
        </x14:sparklineGroup>
        <x14:sparklineGroup displayEmptyCellsAs="gap" markers="1" xr2:uid="{A989356F-54EA-41D5-ACEA-A59746C55574}">
          <x14:colorSeries theme="1"/>
          <x14:colorNegative rgb="FFD00000"/>
          <x14:colorAxis rgb="FF000000"/>
          <x14:colorMarkers rgb="FFD00000"/>
          <x14:colorFirst rgb="FFD00000"/>
          <x14:colorLast rgb="FFD00000"/>
          <x14:colorHigh rgb="FFD00000"/>
          <x14:colorLow rgb="FFD00000"/>
          <x14:sparklines>
            <x14:sparkline>
              <xm:f>'Income Statement'!C30:E30</xm:f>
              <xm:sqref>F30</xm:sqref>
            </x14:sparkline>
          </x14:sparklines>
        </x14:sparklineGroup>
        <x14:sparklineGroup displayEmptyCellsAs="gap" markers="1" xr2:uid="{172DD850-80EF-483A-9878-191706CD1B05}">
          <x14:colorSeries theme="1"/>
          <x14:colorNegative rgb="FFD00000"/>
          <x14:colorAxis rgb="FF000000"/>
          <x14:colorMarkers rgb="FFD00000"/>
          <x14:colorFirst rgb="FFD00000"/>
          <x14:colorLast rgb="FFD00000"/>
          <x14:colorHigh rgb="FFD00000"/>
          <x14:colorLow rgb="FFD00000"/>
          <x14:sparklines>
            <x14:sparkline>
              <xm:f>'Income Statement'!C5:E5</xm:f>
              <xm:sqref>F5</xm:sqref>
            </x14:sparkline>
          </x14:sparklines>
        </x14:sparklineGroup>
        <x14:sparklineGroup displayEmptyCellsAs="gap" markers="1" xr2:uid="{ACC716B6-C3B8-4F4B-89B6-F48979654455}">
          <x14:colorSeries rgb="FF376092"/>
          <x14:colorNegative rgb="FFD00000"/>
          <x14:colorAxis rgb="FF000000"/>
          <x14:colorMarkers rgb="FFD00000"/>
          <x14:colorFirst rgb="FFD00000"/>
          <x14:colorLast rgb="FFD00000"/>
          <x14:colorHigh rgb="FFD00000"/>
          <x14:colorLow rgb="FFD00000"/>
          <x14:sparklines>
            <x14:sparkline>
              <xm:f>'Income Statement'!C8:E8</xm:f>
              <xm:sqref>F8</xm:sqref>
            </x14:sparkline>
          </x14:sparklines>
        </x14:sparklineGroup>
        <x14:sparklineGroup displayEmptyCellsAs="gap" markers="1" xr2:uid="{0C1174E8-16C9-4B9F-90EE-E444600C0991}">
          <x14:colorSeries rgb="FF376092"/>
          <x14:colorNegative rgb="FFD00000"/>
          <x14:colorAxis rgb="FF000000"/>
          <x14:colorMarkers rgb="FFD00000"/>
          <x14:colorFirst rgb="FFD00000"/>
          <x14:colorLast rgb="FFD00000"/>
          <x14:colorHigh rgb="FFD00000"/>
          <x14:colorLow rgb="FFD00000"/>
          <x14:sparklines>
            <x14:sparkline>
              <xm:f>'Income Statement'!C10:E10</xm:f>
              <xm:sqref>F10</xm:sqref>
            </x14:sparkline>
          </x14:sparklines>
        </x14:sparklineGroup>
        <x14:sparklineGroup displayEmptyCellsAs="gap" markers="1" xr2:uid="{763B0579-F2FF-41D4-A6AE-203F2AD80980}">
          <x14:colorSeries rgb="FF376092"/>
          <x14:colorNegative rgb="FFD00000"/>
          <x14:colorAxis rgb="FF000000"/>
          <x14:colorMarkers rgb="FFD00000"/>
          <x14:colorFirst rgb="FFD00000"/>
          <x14:colorLast rgb="FFD00000"/>
          <x14:colorHigh rgb="FFD00000"/>
          <x14:colorLow rgb="FFD00000"/>
          <x14:sparklines>
            <x14:sparkline>
              <xm:f>'Income Statement'!C13:E13</xm:f>
              <xm:sqref>F13</xm:sqref>
            </x14:sparkline>
          </x14:sparklines>
        </x14:sparklineGroup>
        <x14:sparklineGroup displayEmptyCellsAs="gap" markers="1" xr2:uid="{77E830B9-21C0-45F0-933D-EC9EAB2D045D}">
          <x14:colorSeries rgb="FF376092"/>
          <x14:colorNegative rgb="FFD00000"/>
          <x14:colorAxis rgb="FF000000"/>
          <x14:colorMarkers rgb="FFD00000"/>
          <x14:colorFirst rgb="FFD00000"/>
          <x14:colorLast rgb="FFD00000"/>
          <x14:colorHigh rgb="FFD00000"/>
          <x14:colorLow rgb="FFD00000"/>
          <x14:sparklines>
            <x14:sparkline>
              <xm:f>'Income Statement'!C15:E15</xm:f>
              <xm:sqref>F15</xm:sqref>
            </x14:sparkline>
          </x14:sparklines>
        </x14:sparklineGroup>
        <x14:sparklineGroup displayEmptyCellsAs="gap" markers="1" xr2:uid="{9AA96D4B-78EA-41DC-AB5C-A6D569317045}">
          <x14:colorSeries rgb="FF376092"/>
          <x14:colorNegative rgb="FFD00000"/>
          <x14:colorAxis rgb="FF000000"/>
          <x14:colorMarkers rgb="FFD00000"/>
          <x14:colorFirst rgb="FFD00000"/>
          <x14:colorLast rgb="FFD00000"/>
          <x14:colorHigh rgb="FFD00000"/>
          <x14:colorLow rgb="FFD00000"/>
          <x14:sparklines>
            <x14:sparkline>
              <xm:f>'Income Statement'!C18:E18</xm:f>
              <xm:sqref>F18</xm:sqref>
            </x14:sparkline>
          </x14:sparklines>
        </x14:sparklineGroup>
        <x14:sparklineGroup displayEmptyCellsAs="gap" markers="1" xr2:uid="{7C2C2A3E-A5D9-40FC-81F4-AB2285F3E9B2}">
          <x14:colorSeries rgb="FF376092"/>
          <x14:colorNegative rgb="FFD00000"/>
          <x14:colorAxis rgb="FF000000"/>
          <x14:colorMarkers rgb="FFD00000"/>
          <x14:colorFirst rgb="FFD00000"/>
          <x14:colorLast rgb="FFD00000"/>
          <x14:colorHigh rgb="FFD00000"/>
          <x14:colorLow rgb="FFD00000"/>
          <x14:sparklines>
            <x14:sparkline>
              <xm:f>'Income Statement'!C19:E19</xm:f>
              <xm:sqref>F19</xm:sqref>
            </x14:sparkline>
          </x14:sparklines>
        </x14:sparklineGroup>
        <x14:sparklineGroup displayEmptyCellsAs="gap" markers="1" xr2:uid="{CDE5A3B0-5557-4697-B1AE-47B103EA6468}">
          <x14:colorSeries rgb="FF376092"/>
          <x14:colorNegative rgb="FFD00000"/>
          <x14:colorAxis rgb="FF000000"/>
          <x14:colorMarkers rgb="FFD00000"/>
          <x14:colorFirst rgb="FFD00000"/>
          <x14:colorLast rgb="FFD00000"/>
          <x14:colorHigh rgb="FFD00000"/>
          <x14:colorLow rgb="FFD00000"/>
          <x14:sparklines>
            <x14:sparkline>
              <xm:f>'Income Statement'!C21:E21</xm:f>
              <xm:sqref>F21</xm:sqref>
            </x14:sparkline>
          </x14:sparklines>
        </x14:sparklineGroup>
        <x14:sparklineGroup displayEmptyCellsAs="gap" markers="1" xr2:uid="{0B40778C-EBD8-4069-9187-A32E494C9E46}">
          <x14:colorSeries rgb="FF376092"/>
          <x14:colorNegative rgb="FFD00000"/>
          <x14:colorAxis rgb="FF000000"/>
          <x14:colorMarkers rgb="FFD00000"/>
          <x14:colorFirst rgb="FFD00000"/>
          <x14:colorLast rgb="FFD00000"/>
          <x14:colorHigh rgb="FFD00000"/>
          <x14:colorLow rgb="FFD00000"/>
          <x14:sparklines>
            <x14:sparkline>
              <xm:f>'Income Statement'!C23:E23</xm:f>
              <xm:sqref>F23</xm:sqref>
            </x14:sparkline>
          </x14:sparklines>
        </x14:sparklineGroup>
        <x14:sparklineGroup displayEmptyCellsAs="gap" markers="1" xr2:uid="{C5BB34C5-A6DB-49FA-A975-394FCAB3FBA2}">
          <x14:colorSeries rgb="FF376092"/>
          <x14:colorNegative rgb="FFD00000"/>
          <x14:colorAxis rgb="FF000000"/>
          <x14:colorMarkers rgb="FFD00000"/>
          <x14:colorFirst rgb="FFD00000"/>
          <x14:colorLast rgb="FFD00000"/>
          <x14:colorHigh rgb="FFD00000"/>
          <x14:colorLow rgb="FFD00000"/>
          <x14:sparklines>
            <x14:sparkline>
              <xm:f>'Income Statement'!C25:E25</xm:f>
              <xm:sqref>F25</xm:sqref>
            </x14:sparkline>
          </x14:sparklines>
        </x14:sparklineGroup>
        <x14:sparklineGroup displayEmptyCellsAs="gap" markers="1" xr2:uid="{888BDD82-E2DD-4411-9AA5-3BC324B243EC}">
          <x14:colorSeries rgb="FF376092"/>
          <x14:colorNegative rgb="FFD00000"/>
          <x14:colorAxis rgb="FF000000"/>
          <x14:colorMarkers rgb="FFD00000"/>
          <x14:colorFirst rgb="FFD00000"/>
          <x14:colorLast rgb="FFD00000"/>
          <x14:colorHigh rgb="FFD00000"/>
          <x14:colorLow rgb="FFD00000"/>
          <x14:sparklines>
            <x14:sparkline>
              <xm:f>'Income Statement'!C27:E27</xm:f>
              <xm:sqref>F27</xm:sqref>
            </x14:sparkline>
          </x14:sparklines>
        </x14:sparklineGroup>
        <x14:sparklineGroup displayEmptyCellsAs="gap" markers="1" xr2:uid="{CB744102-E412-4CD3-8401-132B95264E2B}">
          <x14:colorSeries rgb="FF376092"/>
          <x14:colorNegative rgb="FFD00000"/>
          <x14:colorAxis rgb="FF000000"/>
          <x14:colorMarkers rgb="FFD00000"/>
          <x14:colorFirst rgb="FFD00000"/>
          <x14:colorLast rgb="FFD00000"/>
          <x14:colorHigh rgb="FFD00000"/>
          <x14:colorLow rgb="FFD00000"/>
          <x14:sparklines>
            <x14:sparkline>
              <xm:f>'Income Statement'!C29:E29</xm:f>
              <xm:sqref>F29</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3678-1D1F-4F7C-B4DD-506EBC16AB79}">
  <dimension ref="B2:L84"/>
  <sheetViews>
    <sheetView showGridLines="0" topLeftCell="B3" zoomScale="101" workbookViewId="0">
      <selection activeCell="M38" sqref="M38"/>
    </sheetView>
  </sheetViews>
  <sheetFormatPr defaultRowHeight="14.4" x14ac:dyDescent="0.3"/>
  <cols>
    <col min="1" max="1" width="1.88671875" customWidth="1"/>
    <col min="2" max="2" width="37.88671875" customWidth="1"/>
    <col min="3" max="3" width="13.88671875" customWidth="1"/>
    <col min="4" max="5" width="11.77734375" customWidth="1"/>
    <col min="6" max="6" width="3.44140625" customWidth="1"/>
    <col min="7" max="7" width="21.5546875" customWidth="1"/>
    <col min="8" max="8" width="12.33203125" customWidth="1"/>
    <col min="9" max="9" width="13.33203125" customWidth="1"/>
    <col min="10" max="10" width="13.5546875" customWidth="1"/>
    <col min="12" max="12" width="17" customWidth="1"/>
  </cols>
  <sheetData>
    <row r="2" spans="2:12" ht="18" x14ac:dyDescent="0.35">
      <c r="B2" s="76" t="s">
        <v>93</v>
      </c>
      <c r="C2" s="76"/>
      <c r="D2" s="76"/>
      <c r="E2" s="76"/>
    </row>
    <row r="3" spans="2:12" x14ac:dyDescent="0.3">
      <c r="B3" s="77" t="str">
        <f>'Income Statement'!B3</f>
        <v>Amount in Rs. Cr.</v>
      </c>
      <c r="C3" s="77"/>
      <c r="D3" s="77"/>
      <c r="E3" s="77"/>
    </row>
    <row r="4" spans="2:12" x14ac:dyDescent="0.3">
      <c r="B4" s="38" t="s">
        <v>101</v>
      </c>
      <c r="C4" s="39">
        <v>45016</v>
      </c>
      <c r="D4" s="39">
        <v>45382</v>
      </c>
      <c r="E4" s="39">
        <v>45747</v>
      </c>
    </row>
    <row r="5" spans="2:12" ht="18" x14ac:dyDescent="0.3">
      <c r="B5" s="35" t="s">
        <v>136</v>
      </c>
      <c r="C5" s="31"/>
      <c r="D5" s="31"/>
      <c r="E5" s="31"/>
      <c r="G5" s="46" t="s">
        <v>101</v>
      </c>
      <c r="H5" s="47">
        <v>45016</v>
      </c>
      <c r="I5" s="47">
        <v>45382</v>
      </c>
      <c r="J5" s="47">
        <v>45747</v>
      </c>
    </row>
    <row r="6" spans="2:12" x14ac:dyDescent="0.3">
      <c r="B6" s="33" t="s">
        <v>102</v>
      </c>
      <c r="C6" s="30"/>
      <c r="D6" s="32"/>
      <c r="E6" s="32"/>
      <c r="G6" s="37" t="str">
        <f>B21</f>
        <v>Inventories</v>
      </c>
      <c r="H6" s="30">
        <f t="shared" ref="H6:J6" si="0">C21</f>
        <v>4251</v>
      </c>
      <c r="I6" s="30">
        <f t="shared" si="0"/>
        <v>4022</v>
      </c>
      <c r="J6" s="30">
        <f t="shared" si="0"/>
        <v>4415</v>
      </c>
    </row>
    <row r="7" spans="2:12" x14ac:dyDescent="0.3">
      <c r="B7" s="32" t="s">
        <v>103</v>
      </c>
      <c r="C7" s="20">
        <v>6949</v>
      </c>
      <c r="D7" s="42">
        <v>8031</v>
      </c>
      <c r="E7" s="42">
        <v>8625</v>
      </c>
      <c r="G7" s="2" t="str">
        <f>B23</f>
        <v>Trade Receivables</v>
      </c>
      <c r="H7">
        <f t="shared" ref="H7:J7" si="1">C23</f>
        <v>3079</v>
      </c>
      <c r="I7">
        <f t="shared" si="1"/>
        <v>2997</v>
      </c>
      <c r="J7">
        <f t="shared" si="1"/>
        <v>3819</v>
      </c>
    </row>
    <row r="8" spans="2:12" x14ac:dyDescent="0.3">
      <c r="B8" s="32" t="s">
        <v>104</v>
      </c>
      <c r="C8" s="20">
        <v>1132</v>
      </c>
      <c r="D8" s="42">
        <v>1025</v>
      </c>
      <c r="E8" s="42">
        <v>1009</v>
      </c>
      <c r="G8" s="2" t="s">
        <v>220</v>
      </c>
      <c r="H8" s="68">
        <f>C52+C53</f>
        <v>9574</v>
      </c>
      <c r="I8" s="68">
        <f t="shared" ref="I8:J8" si="2">D52+D53</f>
        <v>10486</v>
      </c>
      <c r="J8" s="68">
        <f t="shared" si="2"/>
        <v>11315</v>
      </c>
    </row>
    <row r="9" spans="2:12" x14ac:dyDescent="0.3">
      <c r="B9" s="32" t="s">
        <v>98</v>
      </c>
      <c r="C9" s="20">
        <v>17466</v>
      </c>
      <c r="D9" s="42">
        <v>17466</v>
      </c>
      <c r="E9" s="42">
        <v>17466</v>
      </c>
      <c r="G9" s="2"/>
    </row>
    <row r="10" spans="2:12" x14ac:dyDescent="0.3">
      <c r="B10" s="32" t="s">
        <v>99</v>
      </c>
      <c r="C10" s="20">
        <v>28263</v>
      </c>
      <c r="D10" s="42">
        <v>28247</v>
      </c>
      <c r="E10" s="42">
        <v>28244</v>
      </c>
      <c r="L10" s="30"/>
    </row>
    <row r="11" spans="2:12" x14ac:dyDescent="0.3">
      <c r="B11" s="32" t="s">
        <v>105</v>
      </c>
      <c r="C11" s="20">
        <v>69</v>
      </c>
      <c r="D11" s="42">
        <v>65</v>
      </c>
      <c r="E11" s="42">
        <v>57</v>
      </c>
    </row>
    <row r="12" spans="2:12" x14ac:dyDescent="0.3">
      <c r="B12" s="32" t="s">
        <v>29</v>
      </c>
      <c r="C12" s="20">
        <v>2</v>
      </c>
      <c r="D12" s="42">
        <v>2</v>
      </c>
      <c r="E12" s="42">
        <v>2</v>
      </c>
    </row>
    <row r="13" spans="2:12" x14ac:dyDescent="0.3">
      <c r="B13" s="32" t="s">
        <v>106</v>
      </c>
      <c r="C13" s="20">
        <v>98</v>
      </c>
      <c r="D13" s="42">
        <v>102</v>
      </c>
      <c r="E13" s="42">
        <v>87</v>
      </c>
    </row>
    <row r="14" spans="2:12" x14ac:dyDescent="0.3">
      <c r="B14" s="32" t="s">
        <v>107</v>
      </c>
      <c r="C14" s="20">
        <v>725</v>
      </c>
      <c r="D14" s="42">
        <v>760</v>
      </c>
      <c r="E14" s="42">
        <v>763</v>
      </c>
    </row>
    <row r="15" spans="2:12" x14ac:dyDescent="0.3">
      <c r="B15" s="32" t="s">
        <v>108</v>
      </c>
      <c r="C15" s="20">
        <v>10</v>
      </c>
      <c r="D15" s="42">
        <v>10</v>
      </c>
      <c r="E15" s="42">
        <v>17</v>
      </c>
      <c r="L15" s="30"/>
    </row>
    <row r="16" spans="2:12" x14ac:dyDescent="0.3">
      <c r="B16" s="32" t="s">
        <v>109</v>
      </c>
      <c r="C16" s="20">
        <v>1164</v>
      </c>
      <c r="D16" s="42">
        <v>1175</v>
      </c>
      <c r="E16" s="42">
        <v>1199</v>
      </c>
    </row>
    <row r="17" spans="2:12" x14ac:dyDescent="0.3">
      <c r="B17" s="32" t="s">
        <v>110</v>
      </c>
      <c r="C17" s="20">
        <v>211</v>
      </c>
      <c r="D17" s="42">
        <v>292</v>
      </c>
      <c r="E17" s="42">
        <v>360</v>
      </c>
    </row>
    <row r="18" spans="2:12" x14ac:dyDescent="0.3">
      <c r="B18" s="40" t="s">
        <v>111</v>
      </c>
      <c r="C18" s="43">
        <f>SUM(C7:C17)</f>
        <v>56089</v>
      </c>
      <c r="D18" s="43">
        <f t="shared" ref="D18:E18" si="3">SUM(D7:D17)</f>
        <v>57175</v>
      </c>
      <c r="E18" s="43">
        <f t="shared" si="3"/>
        <v>57829</v>
      </c>
      <c r="F18" s="34"/>
    </row>
    <row r="19" spans="2:12" x14ac:dyDescent="0.3">
      <c r="B19" s="32"/>
      <c r="C19" s="20"/>
      <c r="D19" s="42"/>
      <c r="E19" s="42"/>
    </row>
    <row r="20" spans="2:12" x14ac:dyDescent="0.3">
      <c r="B20" s="33" t="s">
        <v>92</v>
      </c>
      <c r="C20" s="20"/>
      <c r="D20" s="42"/>
      <c r="E20" s="42"/>
      <c r="L20" s="30"/>
    </row>
    <row r="21" spans="2:12" x14ac:dyDescent="0.3">
      <c r="B21" s="32" t="s">
        <v>112</v>
      </c>
      <c r="C21" s="20">
        <v>4251</v>
      </c>
      <c r="D21" s="42">
        <v>4022</v>
      </c>
      <c r="E21" s="42">
        <v>4415</v>
      </c>
    </row>
    <row r="22" spans="2:12" x14ac:dyDescent="0.3">
      <c r="B22" s="32" t="s">
        <v>29</v>
      </c>
      <c r="C22" s="20">
        <v>2811</v>
      </c>
      <c r="D22" s="42">
        <v>4558</v>
      </c>
      <c r="E22" s="42">
        <v>3751</v>
      </c>
    </row>
    <row r="23" spans="2:12" x14ac:dyDescent="0.3">
      <c r="B23" s="32" t="s">
        <v>113</v>
      </c>
      <c r="C23" s="20">
        <v>3079</v>
      </c>
      <c r="D23" s="42">
        <v>2997</v>
      </c>
      <c r="E23" s="42">
        <v>3819</v>
      </c>
    </row>
    <row r="24" spans="2:12" x14ac:dyDescent="0.3">
      <c r="B24" s="32" t="s">
        <v>114</v>
      </c>
      <c r="C24" s="20">
        <v>714</v>
      </c>
      <c r="D24" s="42">
        <v>825</v>
      </c>
      <c r="E24" s="42">
        <v>6071</v>
      </c>
    </row>
    <row r="25" spans="2:12" x14ac:dyDescent="0.3">
      <c r="B25" s="32" t="s">
        <v>115</v>
      </c>
      <c r="C25" s="20">
        <v>3964</v>
      </c>
      <c r="D25" s="42">
        <v>6734</v>
      </c>
      <c r="E25" s="42">
        <v>1483</v>
      </c>
    </row>
    <row r="26" spans="2:12" x14ac:dyDescent="0.3">
      <c r="B26" s="32" t="s">
        <v>106</v>
      </c>
      <c r="C26" s="20">
        <v>36</v>
      </c>
      <c r="D26" s="42">
        <v>38</v>
      </c>
      <c r="E26" s="42">
        <v>46</v>
      </c>
      <c r="G26" s="30"/>
    </row>
    <row r="27" spans="2:12" x14ac:dyDescent="0.3">
      <c r="B27" s="32" t="s">
        <v>107</v>
      </c>
      <c r="C27" s="20">
        <v>1386</v>
      </c>
      <c r="D27" s="42">
        <v>1425</v>
      </c>
      <c r="E27" s="42">
        <v>1488</v>
      </c>
    </row>
    <row r="28" spans="2:12" ht="18" x14ac:dyDescent="0.35">
      <c r="B28" s="32" t="s">
        <v>97</v>
      </c>
      <c r="C28" s="20">
        <v>745</v>
      </c>
      <c r="D28" s="42">
        <v>713</v>
      </c>
      <c r="E28" s="42">
        <v>955</v>
      </c>
      <c r="G28" s="76" t="s">
        <v>219</v>
      </c>
      <c r="H28" s="76"/>
      <c r="I28" s="76"/>
      <c r="J28" s="76"/>
      <c r="K28" s="76"/>
      <c r="L28" s="76"/>
    </row>
    <row r="29" spans="2:12" x14ac:dyDescent="0.3">
      <c r="B29" s="32" t="s">
        <v>116</v>
      </c>
      <c r="C29" s="20">
        <v>12</v>
      </c>
      <c r="D29" s="42">
        <v>12</v>
      </c>
      <c r="E29" s="42">
        <v>23</v>
      </c>
    </row>
    <row r="30" spans="2:12" x14ac:dyDescent="0.3">
      <c r="B30" s="40" t="s">
        <v>117</v>
      </c>
      <c r="C30" s="43">
        <f>SUM(C21:C29)</f>
        <v>16998</v>
      </c>
      <c r="D30" s="43">
        <f t="shared" ref="D30:E30" si="4">SUM(D21:D29)</f>
        <v>21324</v>
      </c>
      <c r="E30" s="43">
        <f t="shared" si="4"/>
        <v>22051</v>
      </c>
      <c r="F30" s="30"/>
    </row>
    <row r="31" spans="2:12" ht="15" thickBot="1" x14ac:dyDescent="0.35">
      <c r="B31" s="32"/>
      <c r="C31" s="20"/>
      <c r="D31" s="42"/>
      <c r="E31" s="42"/>
    </row>
    <row r="32" spans="2:12" ht="15" thickBot="1" x14ac:dyDescent="0.35">
      <c r="B32" s="41" t="s">
        <v>118</v>
      </c>
      <c r="C32" s="44">
        <f>C18+C30</f>
        <v>73087</v>
      </c>
      <c r="D32" s="44">
        <f>D18+D30</f>
        <v>78499</v>
      </c>
      <c r="E32" s="44">
        <f>E18+E30</f>
        <v>79880</v>
      </c>
    </row>
    <row r="33" spans="2:12" ht="15" thickTop="1" x14ac:dyDescent="0.3">
      <c r="C33" s="20"/>
      <c r="D33" s="20"/>
      <c r="E33" s="20"/>
      <c r="L33" s="30"/>
    </row>
    <row r="34" spans="2:12" ht="18" x14ac:dyDescent="0.3">
      <c r="B34" s="35" t="s">
        <v>135</v>
      </c>
      <c r="C34" s="20"/>
      <c r="D34" s="45"/>
      <c r="E34" s="45"/>
    </row>
    <row r="35" spans="2:12" x14ac:dyDescent="0.3">
      <c r="B35" s="33" t="s">
        <v>119</v>
      </c>
      <c r="C35" s="20"/>
      <c r="D35" s="42"/>
      <c r="E35" s="42"/>
    </row>
    <row r="36" spans="2:12" x14ac:dyDescent="0.3">
      <c r="B36" s="32" t="s">
        <v>24</v>
      </c>
      <c r="C36" s="20">
        <v>235</v>
      </c>
      <c r="D36" s="42">
        <v>235</v>
      </c>
      <c r="E36" s="42">
        <v>235</v>
      </c>
    </row>
    <row r="37" spans="2:12" x14ac:dyDescent="0.3">
      <c r="B37" s="32" t="s">
        <v>120</v>
      </c>
      <c r="C37" s="20">
        <v>50069</v>
      </c>
      <c r="D37" s="42">
        <v>50983</v>
      </c>
      <c r="E37" s="42">
        <v>49167</v>
      </c>
    </row>
    <row r="38" spans="2:12" x14ac:dyDescent="0.3">
      <c r="B38" s="32" t="s">
        <v>121</v>
      </c>
      <c r="C38" s="20">
        <v>218</v>
      </c>
      <c r="D38" s="42">
        <v>205</v>
      </c>
      <c r="E38" s="42">
        <v>207</v>
      </c>
    </row>
    <row r="39" spans="2:12" x14ac:dyDescent="0.3">
      <c r="B39" s="40" t="s">
        <v>122</v>
      </c>
      <c r="C39" s="43">
        <f>SUM(C36:C38)</f>
        <v>50522</v>
      </c>
      <c r="D39" s="43">
        <f t="shared" ref="D39:E39" si="5">SUM(D36:D38)</f>
        <v>51423</v>
      </c>
      <c r="E39" s="43">
        <f t="shared" si="5"/>
        <v>49609</v>
      </c>
      <c r="L39" s="30"/>
    </row>
    <row r="40" spans="2:12" x14ac:dyDescent="0.3">
      <c r="B40" s="32"/>
      <c r="C40" s="20"/>
      <c r="D40" s="42"/>
      <c r="E40" s="42"/>
    </row>
    <row r="41" spans="2:12" x14ac:dyDescent="0.3">
      <c r="B41" s="33" t="s">
        <v>123</v>
      </c>
      <c r="C41" s="20"/>
      <c r="D41" s="42"/>
      <c r="E41" s="42"/>
    </row>
    <row r="42" spans="2:12" x14ac:dyDescent="0.3">
      <c r="B42" s="32" t="s">
        <v>124</v>
      </c>
      <c r="C42" s="20">
        <v>807</v>
      </c>
      <c r="D42" s="42">
        <v>1106</v>
      </c>
      <c r="E42" s="42">
        <v>1243</v>
      </c>
    </row>
    <row r="43" spans="2:12" x14ac:dyDescent="0.3">
      <c r="B43" s="32" t="s">
        <v>125</v>
      </c>
      <c r="C43" s="20">
        <v>860</v>
      </c>
      <c r="D43" s="42">
        <v>715</v>
      </c>
      <c r="E43" s="42">
        <v>680</v>
      </c>
    </row>
    <row r="44" spans="2:12" x14ac:dyDescent="0.3">
      <c r="B44" s="32" t="s">
        <v>126</v>
      </c>
      <c r="C44" s="20">
        <v>1363</v>
      </c>
      <c r="D44" s="42">
        <v>1576</v>
      </c>
      <c r="E44" s="42">
        <v>1528</v>
      </c>
      <c r="L44" s="30"/>
    </row>
    <row r="45" spans="2:12" x14ac:dyDescent="0.3">
      <c r="B45" s="32" t="s">
        <v>127</v>
      </c>
      <c r="C45" s="20">
        <v>6421</v>
      </c>
      <c r="D45" s="42">
        <v>6557</v>
      </c>
      <c r="E45" s="42">
        <v>6685</v>
      </c>
    </row>
    <row r="46" spans="2:12" x14ac:dyDescent="0.3">
      <c r="B46" s="32" t="s">
        <v>128</v>
      </c>
      <c r="C46" s="20">
        <v>1086</v>
      </c>
      <c r="D46" s="42">
        <v>4243</v>
      </c>
      <c r="E46" s="42">
        <v>3598</v>
      </c>
    </row>
    <row r="47" spans="2:12" x14ac:dyDescent="0.3">
      <c r="B47" s="40" t="s">
        <v>129</v>
      </c>
      <c r="C47" s="43">
        <f>SUM(C42:C46)</f>
        <v>10537</v>
      </c>
      <c r="D47" s="43">
        <f t="shared" ref="D47:E47" si="6">SUM(D42:D46)</f>
        <v>14197</v>
      </c>
      <c r="E47" s="43">
        <f t="shared" si="6"/>
        <v>13734</v>
      </c>
    </row>
    <row r="48" spans="2:12" x14ac:dyDescent="0.3">
      <c r="B48" s="32"/>
      <c r="C48" s="20"/>
      <c r="D48" s="42"/>
      <c r="E48" s="42"/>
    </row>
    <row r="49" spans="2:12" x14ac:dyDescent="0.3">
      <c r="B49" s="33" t="s">
        <v>91</v>
      </c>
      <c r="C49" s="20"/>
      <c r="D49" s="42"/>
      <c r="E49" s="42"/>
      <c r="L49" s="30"/>
    </row>
    <row r="50" spans="2:12" x14ac:dyDescent="0.3">
      <c r="B50" s="32" t="s">
        <v>56</v>
      </c>
      <c r="C50" s="20">
        <v>98</v>
      </c>
      <c r="D50" s="42">
        <v>13</v>
      </c>
      <c r="E50" s="42">
        <v>1</v>
      </c>
    </row>
    <row r="51" spans="2:12" x14ac:dyDescent="0.3">
      <c r="B51" s="32" t="s">
        <v>124</v>
      </c>
      <c r="C51" s="20">
        <v>314</v>
      </c>
      <c r="D51" s="42">
        <v>365</v>
      </c>
      <c r="E51" s="42">
        <v>404</v>
      </c>
    </row>
    <row r="52" spans="2:12" x14ac:dyDescent="0.3">
      <c r="B52" s="32" t="s">
        <v>130</v>
      </c>
      <c r="C52" s="20">
        <v>100</v>
      </c>
      <c r="D52" s="42">
        <v>250</v>
      </c>
      <c r="E52" s="42">
        <v>263</v>
      </c>
    </row>
    <row r="53" spans="2:12" x14ac:dyDescent="0.3">
      <c r="B53" s="32" t="s">
        <v>131</v>
      </c>
      <c r="C53" s="20">
        <v>9474</v>
      </c>
      <c r="D53" s="42">
        <v>10236</v>
      </c>
      <c r="E53" s="42">
        <v>11052</v>
      </c>
    </row>
    <row r="54" spans="2:12" x14ac:dyDescent="0.3">
      <c r="B54" s="32" t="s">
        <v>125</v>
      </c>
      <c r="C54" s="20">
        <v>889</v>
      </c>
      <c r="D54" s="42">
        <v>868</v>
      </c>
      <c r="E54" s="42">
        <v>1280</v>
      </c>
      <c r="L54" s="30"/>
    </row>
    <row r="55" spans="2:12" x14ac:dyDescent="0.3">
      <c r="B55" s="32" t="s">
        <v>100</v>
      </c>
      <c r="C55" s="20">
        <v>764</v>
      </c>
      <c r="D55" s="42">
        <v>807</v>
      </c>
      <c r="E55" s="42">
        <v>959</v>
      </c>
    </row>
    <row r="56" spans="2:12" x14ac:dyDescent="0.3">
      <c r="B56" s="32" t="s">
        <v>126</v>
      </c>
      <c r="C56" s="20">
        <v>389</v>
      </c>
      <c r="D56" s="42">
        <v>340</v>
      </c>
      <c r="E56" s="42">
        <v>675</v>
      </c>
    </row>
    <row r="57" spans="2:12" x14ac:dyDescent="0.3">
      <c r="B57" s="32" t="s">
        <v>132</v>
      </c>
      <c r="C57" s="20">
        <v>0</v>
      </c>
      <c r="D57" s="42">
        <v>0</v>
      </c>
      <c r="E57" s="42">
        <v>1903</v>
      </c>
    </row>
    <row r="58" spans="2:12" x14ac:dyDescent="0.3">
      <c r="B58" s="40" t="s">
        <v>133</v>
      </c>
      <c r="C58" s="43">
        <f>SUM(C50:C57)</f>
        <v>12028</v>
      </c>
      <c r="D58" s="43">
        <f t="shared" ref="D58:E58" si="7">SUM(D50:D57)</f>
        <v>12879</v>
      </c>
      <c r="E58" s="43">
        <f t="shared" si="7"/>
        <v>16537</v>
      </c>
    </row>
    <row r="59" spans="2:12" ht="15" thickBot="1" x14ac:dyDescent="0.35">
      <c r="B59" s="32"/>
      <c r="C59" s="20"/>
      <c r="D59" s="42"/>
      <c r="E59" s="42"/>
      <c r="L59" s="30"/>
    </row>
    <row r="60" spans="2:12" ht="15" thickBot="1" x14ac:dyDescent="0.35">
      <c r="B60" s="41" t="s">
        <v>134</v>
      </c>
      <c r="C60" s="44">
        <f>C39+C47+C58</f>
        <v>73087</v>
      </c>
      <c r="D60" s="44">
        <f t="shared" ref="D60:E60" si="8">D39+D47+D58</f>
        <v>78499</v>
      </c>
      <c r="E60" s="44">
        <f t="shared" si="8"/>
        <v>79880</v>
      </c>
    </row>
    <row r="61" spans="2:12" ht="15" thickTop="1" x14ac:dyDescent="0.3">
      <c r="C61" s="20"/>
      <c r="D61" s="20"/>
      <c r="E61" s="20"/>
    </row>
    <row r="62" spans="2:12" x14ac:dyDescent="0.3">
      <c r="C62" s="20"/>
      <c r="D62" s="20"/>
      <c r="E62" s="20"/>
    </row>
    <row r="63" spans="2:12" ht="15.6" x14ac:dyDescent="0.3">
      <c r="B63" s="78" t="s">
        <v>94</v>
      </c>
      <c r="C63" s="78"/>
      <c r="D63" s="78"/>
      <c r="E63" s="78"/>
    </row>
    <row r="64" spans="2:12" x14ac:dyDescent="0.3">
      <c r="B64" s="48" t="s">
        <v>92</v>
      </c>
      <c r="C64" s="49">
        <f>C30</f>
        <v>16998</v>
      </c>
      <c r="D64" s="49">
        <f t="shared" ref="D64:E64" si="9">D30</f>
        <v>21324</v>
      </c>
      <c r="E64" s="49">
        <f t="shared" si="9"/>
        <v>22051</v>
      </c>
    </row>
    <row r="65" spans="2:12" x14ac:dyDescent="0.3">
      <c r="B65" s="48" t="s">
        <v>91</v>
      </c>
      <c r="C65" s="49">
        <f>C58</f>
        <v>12028</v>
      </c>
      <c r="D65" s="49">
        <f t="shared" ref="D65:E65" si="10">D58</f>
        <v>12879</v>
      </c>
      <c r="E65" s="49">
        <f t="shared" si="10"/>
        <v>16537</v>
      </c>
    </row>
    <row r="66" spans="2:12" x14ac:dyDescent="0.3">
      <c r="B66" s="48" t="s">
        <v>95</v>
      </c>
      <c r="C66" s="50">
        <f>C64/C65</f>
        <v>1.4132025274359827</v>
      </c>
      <c r="D66" s="50">
        <f t="shared" ref="D66:E66" si="11">D64/D65</f>
        <v>1.6557186116934544</v>
      </c>
      <c r="E66" s="50">
        <f t="shared" si="11"/>
        <v>1.3334341174336337</v>
      </c>
      <c r="L66" s="30"/>
    </row>
    <row r="67" spans="2:12" x14ac:dyDescent="0.3">
      <c r="B67" s="48" t="s">
        <v>96</v>
      </c>
      <c r="C67" s="50">
        <f>C50/C39</f>
        <v>1.9397490202288112E-3</v>
      </c>
      <c r="D67" s="50">
        <f t="shared" ref="D67:E67" si="12">D50/D39</f>
        <v>2.5280516500398654E-4</v>
      </c>
      <c r="E67" s="50">
        <f t="shared" si="12"/>
        <v>2.0157632687617165E-5</v>
      </c>
    </row>
    <row r="69" spans="2:12" x14ac:dyDescent="0.3">
      <c r="L69" s="30"/>
    </row>
    <row r="74" spans="2:12" x14ac:dyDescent="0.3">
      <c r="L74" s="30"/>
    </row>
    <row r="79" spans="2:12" x14ac:dyDescent="0.3">
      <c r="L79" s="30"/>
    </row>
    <row r="84" spans="12:12" x14ac:dyDescent="0.3">
      <c r="L84" s="30"/>
    </row>
  </sheetData>
  <mergeCells count="4">
    <mergeCell ref="B2:E2"/>
    <mergeCell ref="B3:E3"/>
    <mergeCell ref="B63:E63"/>
    <mergeCell ref="G28:L28"/>
  </mergeCells>
  <conditionalFormatting sqref="H6:J9">
    <cfRule type="dataBar" priority="1">
      <dataBar>
        <cfvo type="min"/>
        <cfvo type="max"/>
        <color rgb="FF638EC6"/>
      </dataBar>
      <extLst>
        <ext xmlns:x14="http://schemas.microsoft.com/office/spreadsheetml/2009/9/main" uri="{B025F937-C7B1-47D3-B67F-A62EFF666E3E}">
          <x14:id>{39702CC2-0C0F-4FA8-8561-CF0578C1FC75}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39702CC2-0C0F-4FA8-8561-CF0578C1FC75}">
            <x14:dataBar minLength="0" maxLength="100" border="1" negativeBarBorderColorSameAsPositive="0">
              <x14:cfvo type="autoMin"/>
              <x14:cfvo type="autoMax"/>
              <x14:borderColor rgb="FF638EC6"/>
              <x14:negativeFillColor rgb="FFFF0000"/>
              <x14:negativeBorderColor rgb="FFFF0000"/>
              <x14:axisColor rgb="FF000000"/>
            </x14:dataBar>
          </x14:cfRule>
          <xm:sqref>H6:J9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EF2A-BFB2-4BB2-BD4A-835C372F7361}">
  <dimension ref="B2:H71"/>
  <sheetViews>
    <sheetView showGridLines="0" topLeftCell="A6" zoomScale="95" workbookViewId="0">
      <selection activeCell="J9" sqref="J9"/>
    </sheetView>
  </sheetViews>
  <sheetFormatPr defaultRowHeight="14.4" x14ac:dyDescent="0.3"/>
  <cols>
    <col min="1" max="1" width="1.88671875" customWidth="1"/>
    <col min="2" max="2" width="48.33203125" customWidth="1"/>
    <col min="3" max="3" width="12.33203125" customWidth="1"/>
    <col min="4" max="4" width="14" customWidth="1"/>
    <col min="5" max="5" width="12" customWidth="1"/>
    <col min="6" max="6" width="2.33203125" customWidth="1"/>
    <col min="7" max="7" width="35" customWidth="1"/>
    <col min="8" max="8" width="30.109375" customWidth="1"/>
  </cols>
  <sheetData>
    <row r="2" spans="2:8" ht="18" x14ac:dyDescent="0.35">
      <c r="B2" s="76" t="s">
        <v>197</v>
      </c>
      <c r="C2" s="76"/>
      <c r="D2" s="76"/>
      <c r="E2" s="76"/>
    </row>
    <row r="3" spans="2:8" x14ac:dyDescent="0.3">
      <c r="B3" s="81" t="str">
        <f>'Balance Sheet'!B3:E3</f>
        <v>Amount in Rs. Cr.</v>
      </c>
      <c r="C3" s="81"/>
      <c r="D3" s="81"/>
      <c r="E3" s="81"/>
    </row>
    <row r="4" spans="2:8" x14ac:dyDescent="0.3">
      <c r="B4" s="66" t="s">
        <v>101</v>
      </c>
      <c r="C4" s="39">
        <v>45016</v>
      </c>
      <c r="D4" s="67">
        <v>45382</v>
      </c>
      <c r="E4" s="67">
        <v>45747</v>
      </c>
      <c r="G4" s="79" t="s">
        <v>198</v>
      </c>
      <c r="H4" s="79"/>
    </row>
    <row r="5" spans="2:8" x14ac:dyDescent="0.3">
      <c r="B5" s="2" t="s">
        <v>178</v>
      </c>
      <c r="C5" s="31"/>
      <c r="D5" s="52"/>
      <c r="E5" s="52"/>
      <c r="G5" s="79" t="str">
        <f>B5</f>
        <v>A. Cash Flows from Operating Activities</v>
      </c>
      <c r="H5" s="79"/>
    </row>
    <row r="6" spans="2:8" x14ac:dyDescent="0.3">
      <c r="B6" s="53" t="s">
        <v>137</v>
      </c>
      <c r="C6" s="55">
        <v>13345</v>
      </c>
      <c r="D6" s="56">
        <v>13926</v>
      </c>
      <c r="E6" s="56">
        <v>14415</v>
      </c>
    </row>
    <row r="7" spans="2:8" x14ac:dyDescent="0.3">
      <c r="B7" s="54" t="s">
        <v>138</v>
      </c>
      <c r="C7" s="55"/>
      <c r="D7" s="56"/>
      <c r="E7" s="56"/>
      <c r="G7" s="48" t="s">
        <v>199</v>
      </c>
      <c r="H7" s="63" t="str">
        <f>B6</f>
        <v>Profit Before Tax</v>
      </c>
    </row>
    <row r="8" spans="2:8" x14ac:dyDescent="0.3">
      <c r="B8" s="53" t="s">
        <v>139</v>
      </c>
      <c r="C8" s="55">
        <v>1152</v>
      </c>
      <c r="D8" s="56">
        <v>1216</v>
      </c>
      <c r="E8" s="56">
        <v>1363</v>
      </c>
      <c r="G8" s="48" t="s">
        <v>200</v>
      </c>
      <c r="H8" s="64" t="str">
        <f>B36</f>
        <v>Taxes Paid</v>
      </c>
    </row>
    <row r="9" spans="2:8" x14ac:dyDescent="0.3">
      <c r="B9" s="53" t="s">
        <v>140</v>
      </c>
      <c r="C9" s="55">
        <v>-100</v>
      </c>
      <c r="D9" s="56">
        <v>18</v>
      </c>
      <c r="E9" s="56">
        <v>43</v>
      </c>
    </row>
    <row r="10" spans="2:8" x14ac:dyDescent="0.3">
      <c r="B10" t="s">
        <v>186</v>
      </c>
      <c r="C10" s="55">
        <v>-2</v>
      </c>
      <c r="D10" s="56">
        <v>0</v>
      </c>
      <c r="E10" s="56">
        <v>0</v>
      </c>
      <c r="G10" s="79" t="str">
        <f>B39</f>
        <v>B. Cash Flows from Investing Activities</v>
      </c>
      <c r="H10" s="79"/>
    </row>
    <row r="11" spans="2:8" x14ac:dyDescent="0.3">
      <c r="B11" s="53" t="s">
        <v>141</v>
      </c>
      <c r="C11" s="55">
        <v>0</v>
      </c>
      <c r="D11" s="56">
        <v>-132</v>
      </c>
      <c r="E11" s="56">
        <v>120</v>
      </c>
      <c r="G11" s="2"/>
    </row>
    <row r="12" spans="2:8" x14ac:dyDescent="0.3">
      <c r="B12" s="53" t="s">
        <v>142</v>
      </c>
      <c r="C12" s="55">
        <v>-411</v>
      </c>
      <c r="D12" s="56">
        <v>-546</v>
      </c>
      <c r="E12" s="56">
        <v>-755</v>
      </c>
      <c r="G12" s="48" t="s">
        <v>199</v>
      </c>
      <c r="H12" s="63" t="str">
        <f>B48</f>
        <v>Purchase of Current Investments</v>
      </c>
    </row>
    <row r="13" spans="2:8" x14ac:dyDescent="0.3">
      <c r="B13" s="53" t="s">
        <v>143</v>
      </c>
      <c r="C13" s="55">
        <v>-2</v>
      </c>
      <c r="D13" s="56">
        <v>-3</v>
      </c>
      <c r="E13" s="56">
        <v>0</v>
      </c>
      <c r="G13" s="48" t="s">
        <v>200</v>
      </c>
      <c r="H13" s="64" t="str">
        <f>B49</f>
        <v>Sale of Current Investments</v>
      </c>
    </row>
    <row r="14" spans="2:8" x14ac:dyDescent="0.3">
      <c r="B14" s="53" t="s">
        <v>144</v>
      </c>
      <c r="C14" s="55">
        <v>-99</v>
      </c>
      <c r="D14" s="56">
        <v>-249</v>
      </c>
      <c r="E14" s="56">
        <v>-256</v>
      </c>
    </row>
    <row r="15" spans="2:8" x14ac:dyDescent="0.3">
      <c r="B15" s="53" t="s">
        <v>145</v>
      </c>
      <c r="C15" s="55">
        <v>114</v>
      </c>
      <c r="D15" s="56">
        <v>317</v>
      </c>
      <c r="E15" s="56">
        <v>372</v>
      </c>
      <c r="G15" s="80" t="str">
        <f>B57</f>
        <v>C. Cash Flows from Financing Activities</v>
      </c>
      <c r="H15" s="80"/>
    </row>
    <row r="16" spans="2:8" x14ac:dyDescent="0.3">
      <c r="B16" s="53" t="s">
        <v>146</v>
      </c>
      <c r="C16" s="55">
        <v>0</v>
      </c>
      <c r="D16" s="56">
        <v>0</v>
      </c>
      <c r="E16" s="56">
        <v>-595</v>
      </c>
    </row>
    <row r="17" spans="2:8" x14ac:dyDescent="0.3">
      <c r="B17" s="53" t="s">
        <v>147</v>
      </c>
      <c r="C17" s="55">
        <v>0</v>
      </c>
      <c r="D17" s="56">
        <v>-159</v>
      </c>
      <c r="E17" s="56">
        <v>0</v>
      </c>
      <c r="G17" s="65" t="s">
        <v>199</v>
      </c>
      <c r="H17" s="63" t="str">
        <f>B58</f>
        <v>Dividends Paid</v>
      </c>
    </row>
    <row r="18" spans="2:8" x14ac:dyDescent="0.3">
      <c r="B18" t="s">
        <v>187</v>
      </c>
      <c r="C18" s="55">
        <v>1</v>
      </c>
      <c r="D18" s="56">
        <v>0</v>
      </c>
      <c r="E18" s="56">
        <v>0</v>
      </c>
      <c r="G18" s="65" t="s">
        <v>200</v>
      </c>
      <c r="H18" s="64" t="str">
        <f>B62</f>
        <v>Lease Liability Payments (Principal)</v>
      </c>
    </row>
    <row r="19" spans="2:8" x14ac:dyDescent="0.3">
      <c r="B19" t="s">
        <v>188</v>
      </c>
      <c r="C19" s="55">
        <v>-60</v>
      </c>
      <c r="D19" s="56">
        <v>0</v>
      </c>
      <c r="E19" s="56">
        <v>0</v>
      </c>
    </row>
    <row r="20" spans="2:8" x14ac:dyDescent="0.3">
      <c r="B20" s="53" t="s">
        <v>148</v>
      </c>
      <c r="C20" s="55">
        <v>-1</v>
      </c>
      <c r="D20" s="56">
        <v>-1</v>
      </c>
      <c r="E20" s="56">
        <v>-1</v>
      </c>
    </row>
    <row r="21" spans="2:8" x14ac:dyDescent="0.3">
      <c r="B21" s="53" t="s">
        <v>149</v>
      </c>
      <c r="C21" s="55">
        <v>1</v>
      </c>
      <c r="D21" s="56">
        <v>4</v>
      </c>
      <c r="E21" s="56">
        <v>8</v>
      </c>
    </row>
    <row r="22" spans="2:8" x14ac:dyDescent="0.3">
      <c r="B22" t="s">
        <v>189</v>
      </c>
      <c r="C22" s="55">
        <v>2</v>
      </c>
      <c r="D22" s="56">
        <v>0</v>
      </c>
      <c r="E22" s="56">
        <v>0</v>
      </c>
    </row>
    <row r="23" spans="2:8" x14ac:dyDescent="0.3">
      <c r="B23" s="53" t="s">
        <v>150</v>
      </c>
      <c r="C23" s="55">
        <v>184</v>
      </c>
      <c r="D23" s="56">
        <v>167</v>
      </c>
      <c r="E23" s="56">
        <v>189</v>
      </c>
    </row>
    <row r="24" spans="2:8" x14ac:dyDescent="0.3">
      <c r="B24" s="53" t="s">
        <v>151</v>
      </c>
      <c r="C24" s="55">
        <v>-27</v>
      </c>
      <c r="D24" s="56">
        <v>-11</v>
      </c>
      <c r="E24" s="56">
        <v>24</v>
      </c>
    </row>
    <row r="25" spans="2:8" x14ac:dyDescent="0.3">
      <c r="B25" s="53" t="s">
        <v>152</v>
      </c>
      <c r="C25" s="55">
        <v>0</v>
      </c>
      <c r="D25" s="56">
        <v>0</v>
      </c>
      <c r="E25" s="56">
        <v>11</v>
      </c>
    </row>
    <row r="26" spans="2:8" x14ac:dyDescent="0.3">
      <c r="B26" s="53" t="s">
        <v>153</v>
      </c>
      <c r="C26" s="55">
        <v>-8</v>
      </c>
      <c r="D26" s="56">
        <v>-10</v>
      </c>
      <c r="E26" s="56">
        <v>4</v>
      </c>
    </row>
    <row r="27" spans="2:8" x14ac:dyDescent="0.3">
      <c r="B27" s="54" t="s">
        <v>154</v>
      </c>
      <c r="C27" s="57">
        <f>SUM(C6:C26)</f>
        <v>14089</v>
      </c>
      <c r="D27" s="57">
        <f t="shared" ref="D27:E27" si="0">SUM(D6:D26)</f>
        <v>14537</v>
      </c>
      <c r="E27" s="57">
        <f t="shared" si="0"/>
        <v>14942</v>
      </c>
      <c r="F27" s="30"/>
    </row>
    <row r="28" spans="2:8" x14ac:dyDescent="0.3">
      <c r="B28" s="53"/>
      <c r="C28" s="55"/>
      <c r="D28" s="56"/>
      <c r="E28" s="56"/>
    </row>
    <row r="29" spans="2:8" x14ac:dyDescent="0.3">
      <c r="B29" s="54" t="s">
        <v>155</v>
      </c>
      <c r="C29" s="55"/>
      <c r="D29" s="56"/>
      <c r="E29" s="56"/>
    </row>
    <row r="30" spans="2:8" x14ac:dyDescent="0.3">
      <c r="B30" s="53" t="s">
        <v>156</v>
      </c>
      <c r="C30" s="55">
        <v>-14</v>
      </c>
      <c r="D30" s="56">
        <v>-30</v>
      </c>
      <c r="E30" s="56">
        <v>-87</v>
      </c>
    </row>
    <row r="31" spans="2:8" x14ac:dyDescent="0.3">
      <c r="B31" s="53" t="s">
        <v>157</v>
      </c>
      <c r="C31" s="55">
        <v>-1111</v>
      </c>
      <c r="D31" s="56">
        <v>220</v>
      </c>
      <c r="E31" s="56">
        <v>-1275</v>
      </c>
    </row>
    <row r="32" spans="2:8" x14ac:dyDescent="0.3">
      <c r="B32" s="53" t="s">
        <v>158</v>
      </c>
      <c r="C32" s="55">
        <v>-339</v>
      </c>
      <c r="D32" s="56">
        <v>74</v>
      </c>
      <c r="E32" s="56">
        <v>-584</v>
      </c>
    </row>
    <row r="33" spans="2:6" x14ac:dyDescent="0.3">
      <c r="B33" s="53" t="s">
        <v>159</v>
      </c>
      <c r="C33" s="55">
        <v>-116</v>
      </c>
      <c r="D33" s="56">
        <v>128</v>
      </c>
      <c r="E33" s="56">
        <v>-284</v>
      </c>
    </row>
    <row r="34" spans="2:6" x14ac:dyDescent="0.3">
      <c r="B34" s="53" t="s">
        <v>160</v>
      </c>
      <c r="C34" s="55">
        <v>620</v>
      </c>
      <c r="D34" s="56">
        <v>921</v>
      </c>
      <c r="E34" s="56">
        <v>1442</v>
      </c>
    </row>
    <row r="35" spans="2:6" x14ac:dyDescent="0.3">
      <c r="B35" s="54" t="s">
        <v>161</v>
      </c>
      <c r="C35" s="57">
        <f>SUM(C27:C34)</f>
        <v>13129</v>
      </c>
      <c r="D35" s="57">
        <f t="shared" ref="D35:E35" si="1">SUM(D27:D34)</f>
        <v>15850</v>
      </c>
      <c r="E35" s="57">
        <f t="shared" si="1"/>
        <v>14154</v>
      </c>
      <c r="F35" s="30"/>
    </row>
    <row r="36" spans="2:6" x14ac:dyDescent="0.3">
      <c r="B36" s="53" t="s">
        <v>162</v>
      </c>
      <c r="C36" s="55">
        <v>-3138</v>
      </c>
      <c r="D36" s="56">
        <v>-381</v>
      </c>
      <c r="E36" s="56">
        <v>-2268</v>
      </c>
    </row>
    <row r="37" spans="2:6" x14ac:dyDescent="0.3">
      <c r="B37" s="59" t="s">
        <v>163</v>
      </c>
      <c r="C37" s="60">
        <f>C35+C36</f>
        <v>9991</v>
      </c>
      <c r="D37" s="60">
        <f t="shared" ref="D37:E37" si="2">D35+D36</f>
        <v>15469</v>
      </c>
      <c r="E37" s="60">
        <f t="shared" si="2"/>
        <v>11886</v>
      </c>
    </row>
    <row r="38" spans="2:6" x14ac:dyDescent="0.3">
      <c r="C38" s="55"/>
      <c r="D38" s="55"/>
      <c r="E38" s="55"/>
    </row>
    <row r="39" spans="2:6" x14ac:dyDescent="0.3">
      <c r="B39" s="2" t="s">
        <v>177</v>
      </c>
      <c r="C39" s="55"/>
      <c r="D39" s="55"/>
      <c r="E39" s="55"/>
    </row>
    <row r="40" spans="2:6" x14ac:dyDescent="0.3">
      <c r="B40" s="32" t="s">
        <v>164</v>
      </c>
      <c r="C40" s="55">
        <v>-1174</v>
      </c>
      <c r="D40" s="58">
        <v>-1468</v>
      </c>
      <c r="E40" s="58">
        <v>-1254</v>
      </c>
    </row>
    <row r="41" spans="2:6" x14ac:dyDescent="0.3">
      <c r="B41" s="32" t="s">
        <v>165</v>
      </c>
      <c r="C41" s="55">
        <v>121</v>
      </c>
      <c r="D41" s="58">
        <v>20</v>
      </c>
      <c r="E41" s="58">
        <v>13</v>
      </c>
    </row>
    <row r="42" spans="2:6" x14ac:dyDescent="0.3">
      <c r="B42" s="32" t="s">
        <v>166</v>
      </c>
      <c r="C42" s="55">
        <v>-18</v>
      </c>
      <c r="D42" s="58">
        <v>-9</v>
      </c>
      <c r="E42" s="58">
        <v>-21</v>
      </c>
    </row>
    <row r="43" spans="2:6" x14ac:dyDescent="0.3">
      <c r="B43" s="32" t="s">
        <v>167</v>
      </c>
      <c r="C43" s="55">
        <v>60</v>
      </c>
      <c r="D43" s="58">
        <v>0</v>
      </c>
      <c r="E43" s="58">
        <v>595</v>
      </c>
    </row>
    <row r="44" spans="2:6" x14ac:dyDescent="0.3">
      <c r="B44" t="s">
        <v>190</v>
      </c>
      <c r="C44" s="55">
        <v>-264</v>
      </c>
      <c r="D44" s="58">
        <v>0</v>
      </c>
      <c r="E44" s="58">
        <v>0</v>
      </c>
    </row>
    <row r="45" spans="2:6" x14ac:dyDescent="0.3">
      <c r="B45" t="s">
        <v>191</v>
      </c>
      <c r="C45" s="55">
        <v>-2</v>
      </c>
      <c r="D45" s="58">
        <v>0</v>
      </c>
      <c r="E45" s="58">
        <v>0</v>
      </c>
    </row>
    <row r="46" spans="2:6" x14ac:dyDescent="0.3">
      <c r="B46" t="s">
        <v>192</v>
      </c>
      <c r="C46" s="55">
        <v>-70</v>
      </c>
      <c r="D46" s="58">
        <v>0</v>
      </c>
      <c r="E46" s="58">
        <v>0</v>
      </c>
    </row>
    <row r="47" spans="2:6" x14ac:dyDescent="0.3">
      <c r="B47" s="32" t="s">
        <v>168</v>
      </c>
      <c r="C47" s="55">
        <v>-40</v>
      </c>
      <c r="D47" s="58">
        <v>-4</v>
      </c>
      <c r="E47" s="58">
        <v>0</v>
      </c>
    </row>
    <row r="48" spans="2:6" x14ac:dyDescent="0.3">
      <c r="B48" s="32" t="s">
        <v>169</v>
      </c>
      <c r="C48" s="55">
        <v>-22649</v>
      </c>
      <c r="D48" s="58">
        <v>-21337</v>
      </c>
      <c r="E48" s="58">
        <v>-22957</v>
      </c>
    </row>
    <row r="49" spans="2:5" x14ac:dyDescent="0.3">
      <c r="B49" s="32" t="s">
        <v>170</v>
      </c>
      <c r="C49" s="55">
        <v>23462</v>
      </c>
      <c r="D49" s="58">
        <v>19846</v>
      </c>
      <c r="E49" s="58">
        <v>23987</v>
      </c>
    </row>
    <row r="50" spans="2:5" x14ac:dyDescent="0.3">
      <c r="B50" s="32" t="s">
        <v>171</v>
      </c>
      <c r="C50" s="55">
        <v>-1</v>
      </c>
      <c r="D50" s="58">
        <v>1</v>
      </c>
      <c r="E50" s="58">
        <v>0</v>
      </c>
    </row>
    <row r="51" spans="2:5" x14ac:dyDescent="0.3">
      <c r="B51" s="32" t="s">
        <v>172</v>
      </c>
      <c r="C51" s="55">
        <v>-3668</v>
      </c>
      <c r="D51" s="58">
        <v>-9170</v>
      </c>
      <c r="E51" s="58">
        <v>-2499</v>
      </c>
    </row>
    <row r="52" spans="2:5" x14ac:dyDescent="0.3">
      <c r="B52" s="32" t="s">
        <v>173</v>
      </c>
      <c r="C52" s="55">
        <v>2488</v>
      </c>
      <c r="D52" s="58">
        <v>6369</v>
      </c>
      <c r="E52" s="58">
        <v>7774</v>
      </c>
    </row>
    <row r="53" spans="2:5" x14ac:dyDescent="0.3">
      <c r="B53" s="32" t="s">
        <v>174</v>
      </c>
      <c r="C53" s="55">
        <v>259</v>
      </c>
      <c r="D53" s="58">
        <v>425</v>
      </c>
      <c r="E53" s="58">
        <v>835</v>
      </c>
    </row>
    <row r="54" spans="2:5" x14ac:dyDescent="0.3">
      <c r="B54" s="32" t="s">
        <v>175</v>
      </c>
      <c r="C54" s="55">
        <v>2</v>
      </c>
      <c r="D54" s="58">
        <v>3</v>
      </c>
      <c r="E54" s="58">
        <v>0</v>
      </c>
    </row>
    <row r="55" spans="2:5" x14ac:dyDescent="0.3">
      <c r="B55" s="59" t="s">
        <v>176</v>
      </c>
      <c r="C55" s="60">
        <f>SUM(C40:C54)</f>
        <v>-1494</v>
      </c>
      <c r="D55" s="60">
        <f t="shared" ref="D55:E55" si="3">SUM(D40:D54)</f>
        <v>-5324</v>
      </c>
      <c r="E55" s="60">
        <f t="shared" si="3"/>
        <v>6473</v>
      </c>
    </row>
    <row r="56" spans="2:5" x14ac:dyDescent="0.3">
      <c r="C56" s="55"/>
      <c r="D56" s="55"/>
      <c r="E56" s="55"/>
    </row>
    <row r="57" spans="2:5" x14ac:dyDescent="0.3">
      <c r="B57" s="2" t="s">
        <v>185</v>
      </c>
      <c r="C57" s="55"/>
      <c r="D57" s="55"/>
      <c r="E57" s="55"/>
    </row>
    <row r="58" spans="2:5" x14ac:dyDescent="0.3">
      <c r="B58" s="32" t="s">
        <v>179</v>
      </c>
      <c r="C58" s="55">
        <v>-8474</v>
      </c>
      <c r="D58" s="58">
        <v>-9416</v>
      </c>
      <c r="E58" s="58">
        <v>-12473</v>
      </c>
    </row>
    <row r="59" spans="2:5" x14ac:dyDescent="0.3">
      <c r="B59" t="s">
        <v>193</v>
      </c>
      <c r="C59" s="55">
        <v>286</v>
      </c>
      <c r="D59" s="58">
        <v>0</v>
      </c>
      <c r="E59" s="58">
        <v>0</v>
      </c>
    </row>
    <row r="60" spans="2:5" x14ac:dyDescent="0.3">
      <c r="B60" s="32" t="s">
        <v>180</v>
      </c>
      <c r="C60" s="55">
        <v>-201</v>
      </c>
      <c r="D60" s="58">
        <v>-85</v>
      </c>
      <c r="E60" s="58">
        <v>0</v>
      </c>
    </row>
    <row r="61" spans="2:5" x14ac:dyDescent="0.3">
      <c r="B61" t="s">
        <v>194</v>
      </c>
      <c r="C61" s="55">
        <v>-7</v>
      </c>
      <c r="D61" s="58">
        <v>0</v>
      </c>
      <c r="E61" s="58">
        <v>0</v>
      </c>
    </row>
    <row r="62" spans="2:5" x14ac:dyDescent="0.3">
      <c r="B62" s="32" t="s">
        <v>181</v>
      </c>
      <c r="C62" s="55">
        <v>-467</v>
      </c>
      <c r="D62" s="58">
        <v>-423</v>
      </c>
      <c r="E62" s="58">
        <v>-498</v>
      </c>
    </row>
    <row r="63" spans="2:5" x14ac:dyDescent="0.3">
      <c r="B63" s="32" t="s">
        <v>182</v>
      </c>
      <c r="C63" s="55">
        <v>-84</v>
      </c>
      <c r="D63" s="58">
        <v>-106</v>
      </c>
      <c r="E63" s="58">
        <v>-127</v>
      </c>
    </row>
    <row r="64" spans="2:5" x14ac:dyDescent="0.3">
      <c r="B64" s="32" t="s">
        <v>183</v>
      </c>
      <c r="C64" s="55">
        <v>-4</v>
      </c>
      <c r="D64" s="58">
        <v>-4</v>
      </c>
      <c r="E64" s="58">
        <v>-3</v>
      </c>
    </row>
    <row r="65" spans="2:5" x14ac:dyDescent="0.3">
      <c r="B65" t="s">
        <v>195</v>
      </c>
      <c r="C65" s="55">
        <v>-2</v>
      </c>
      <c r="D65" s="58">
        <v>0</v>
      </c>
      <c r="E65" s="58">
        <v>0</v>
      </c>
    </row>
    <row r="66" spans="2:5" x14ac:dyDescent="0.3">
      <c r="B66" s="59" t="s">
        <v>184</v>
      </c>
      <c r="C66" s="60">
        <f>SUM(C58:C65)</f>
        <v>-8953</v>
      </c>
      <c r="D66" s="60">
        <f t="shared" ref="D66:E66" si="4">SUM(D58:D65)</f>
        <v>-10034</v>
      </c>
      <c r="E66" s="60">
        <f t="shared" si="4"/>
        <v>-13101</v>
      </c>
    </row>
    <row r="67" spans="2:5" ht="15" thickBot="1" x14ac:dyDescent="0.35">
      <c r="C67" s="55"/>
      <c r="D67" s="55"/>
      <c r="E67" s="55"/>
    </row>
    <row r="68" spans="2:5" ht="15" thickBot="1" x14ac:dyDescent="0.35">
      <c r="B68" s="61" t="s">
        <v>196</v>
      </c>
      <c r="C68" s="62">
        <f>C37+C55+C66</f>
        <v>-456</v>
      </c>
      <c r="D68" s="62">
        <f t="shared" ref="D68:E68" si="5">D37+D55+D66</f>
        <v>111</v>
      </c>
      <c r="E68" s="62">
        <f t="shared" si="5"/>
        <v>5258</v>
      </c>
    </row>
    <row r="69" spans="2:5" ht="15" thickTop="1" x14ac:dyDescent="0.3">
      <c r="B69" s="32"/>
      <c r="D69" s="32"/>
      <c r="E69" s="51"/>
    </row>
    <row r="70" spans="2:5" x14ac:dyDescent="0.3">
      <c r="B70" s="32"/>
      <c r="D70" s="32"/>
      <c r="E70" s="32"/>
    </row>
    <row r="71" spans="2:5" x14ac:dyDescent="0.3">
      <c r="B71" s="33"/>
      <c r="D71" s="33"/>
      <c r="E71" s="34"/>
    </row>
  </sheetData>
  <mergeCells count="6">
    <mergeCell ref="G4:H4"/>
    <mergeCell ref="G5:H5"/>
    <mergeCell ref="G10:H10"/>
    <mergeCell ref="G15:H15"/>
    <mergeCell ref="B2:E2"/>
    <mergeCell ref="B3:E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ACFD-F424-48DF-8136-6EA80C4738BC}">
  <dimension ref="B2:E25"/>
  <sheetViews>
    <sheetView showGridLines="0" workbookViewId="0">
      <selection activeCell="P36" sqref="P36"/>
    </sheetView>
  </sheetViews>
  <sheetFormatPr defaultRowHeight="14.4" x14ac:dyDescent="0.3"/>
  <cols>
    <col min="1" max="1" width="1.88671875" customWidth="1"/>
    <col min="2" max="2" width="27.88671875" customWidth="1"/>
  </cols>
  <sheetData>
    <row r="2" spans="2:5" ht="18" x14ac:dyDescent="0.35">
      <c r="B2" s="76" t="s">
        <v>201</v>
      </c>
      <c r="C2" s="76"/>
      <c r="D2" s="76"/>
      <c r="E2" s="76"/>
    </row>
    <row r="3" spans="2:5" x14ac:dyDescent="0.3">
      <c r="B3" s="21" t="str">
        <f>'Cash Flow'!B4</f>
        <v>Particulars</v>
      </c>
      <c r="C3" s="22">
        <v>44986</v>
      </c>
      <c r="D3" s="22">
        <v>45352</v>
      </c>
      <c r="E3" s="22">
        <v>45717</v>
      </c>
    </row>
    <row r="4" spans="2:5" x14ac:dyDescent="0.3">
      <c r="B4" s="79" t="s">
        <v>202</v>
      </c>
      <c r="C4" s="79"/>
      <c r="D4" s="79"/>
      <c r="E4" s="79"/>
    </row>
    <row r="6" spans="2:5" x14ac:dyDescent="0.3">
      <c r="B6" t="s">
        <v>95</v>
      </c>
      <c r="C6" s="36">
        <f>'Balance Sheet'!C66</f>
        <v>1.4132025274359827</v>
      </c>
      <c r="D6" s="36">
        <f>'Balance Sheet'!D66</f>
        <v>1.6557186116934544</v>
      </c>
      <c r="E6" s="36">
        <f>'Balance Sheet'!E66</f>
        <v>1.3334341174336337</v>
      </c>
    </row>
    <row r="7" spans="2:5" x14ac:dyDescent="0.3">
      <c r="B7" t="s">
        <v>203</v>
      </c>
      <c r="C7" s="36">
        <f>('Balance Sheet'!C64-'Balance Sheet'!C21)/'Balance Sheet'!C65</f>
        <v>1.0597771865646823</v>
      </c>
      <c r="D7" s="36">
        <f>('Balance Sheet'!D64-'Balance Sheet'!D21)/'Balance Sheet'!D65</f>
        <v>1.3434272847270752</v>
      </c>
      <c r="E7" s="36">
        <f>('Balance Sheet'!E64-'Balance Sheet'!E21)/'Balance Sheet'!E65</f>
        <v>1.0664570357380421</v>
      </c>
    </row>
    <row r="9" spans="2:5" x14ac:dyDescent="0.3">
      <c r="B9" s="79" t="s">
        <v>204</v>
      </c>
      <c r="C9" s="79"/>
      <c r="D9" s="79"/>
      <c r="E9" s="79"/>
    </row>
    <row r="11" spans="2:5" x14ac:dyDescent="0.3">
      <c r="B11" t="s">
        <v>205</v>
      </c>
      <c r="C11" s="36">
        <f>'Balance Sheet'!C67</f>
        <v>1.9397490202288112E-3</v>
      </c>
      <c r="D11" s="36">
        <f>'Balance Sheet'!D67</f>
        <v>2.5280516500398654E-4</v>
      </c>
      <c r="E11" s="36">
        <f>'Balance Sheet'!E67</f>
        <v>2.0157632687617165E-5</v>
      </c>
    </row>
    <row r="12" spans="2:5" x14ac:dyDescent="0.3">
      <c r="B12" t="s">
        <v>206</v>
      </c>
      <c r="C12" s="36">
        <f>'Income Statement'!C21/'Income Statement'!C23</f>
        <v>118.05263157894737</v>
      </c>
      <c r="D12" s="36">
        <f>'Income Statement'!D21/'Income Statement'!D23</f>
        <v>42.694610778443113</v>
      </c>
      <c r="E12" s="36">
        <f>'Income Statement'!E21/'Income Statement'!E23</f>
        <v>37.493670886075947</v>
      </c>
    </row>
    <row r="14" spans="2:5" x14ac:dyDescent="0.3">
      <c r="B14" s="79" t="s">
        <v>207</v>
      </c>
      <c r="C14" s="79"/>
      <c r="D14" s="79"/>
      <c r="E14" s="79"/>
    </row>
    <row r="16" spans="2:5" x14ac:dyDescent="0.3">
      <c r="B16" t="s">
        <v>82</v>
      </c>
      <c r="C16" s="5">
        <f>'Income Statement'!C11</f>
        <v>0.46307362165731264</v>
      </c>
      <c r="D16" s="5">
        <f>'Income Statement'!D11</f>
        <v>0.50494377665761925</v>
      </c>
      <c r="E16" s="5">
        <f>'Income Statement'!E11</f>
        <v>0.50171892080290237</v>
      </c>
    </row>
    <row r="17" spans="2:5" x14ac:dyDescent="0.3">
      <c r="B17" t="s">
        <v>88</v>
      </c>
      <c r="C17" s="5">
        <f>'Income Statement'!C30</f>
        <v>0.16743149554308354</v>
      </c>
      <c r="D17" s="5">
        <f>'Income Statement'!D30</f>
        <v>0.16611735814915343</v>
      </c>
      <c r="E17" s="5">
        <f>'Income Statement'!E30</f>
        <v>0.16905625703014845</v>
      </c>
    </row>
    <row r="18" spans="2:5" x14ac:dyDescent="0.3">
      <c r="B18" t="s">
        <v>208</v>
      </c>
      <c r="C18" s="5">
        <f>'Income Statement'!C29/'Balance Sheet'!C39</f>
        <v>0.20076402359368195</v>
      </c>
      <c r="D18" s="5">
        <f>'Income Statement'!D29/'Balance Sheet'!D39</f>
        <v>0.19994943896699921</v>
      </c>
      <c r="E18" s="5">
        <f>'Income Statement'!E29/'Balance Sheet'!E39</f>
        <v>0.21510209840956279</v>
      </c>
    </row>
    <row r="19" spans="2:5" x14ac:dyDescent="0.3">
      <c r="B19" t="s">
        <v>209</v>
      </c>
      <c r="C19" s="5">
        <f>'Income Statement'!C29/'Balance Sheet'!C32</f>
        <v>0.13877981036299206</v>
      </c>
      <c r="D19" s="5">
        <f>'Income Statement'!D29/'Balance Sheet'!D32</f>
        <v>0.13098256028739219</v>
      </c>
      <c r="E19" s="5">
        <f>'Income Statement'!E29/'Balance Sheet'!E32</f>
        <v>0.13358788182273409</v>
      </c>
    </row>
    <row r="21" spans="2:5" x14ac:dyDescent="0.3">
      <c r="B21" s="79" t="s">
        <v>210</v>
      </c>
      <c r="C21" s="79"/>
      <c r="D21" s="79"/>
      <c r="E21" s="79"/>
    </row>
    <row r="23" spans="2:5" x14ac:dyDescent="0.3">
      <c r="B23" t="s">
        <v>211</v>
      </c>
      <c r="C23" s="36" t="s">
        <v>89</v>
      </c>
      <c r="D23" s="36">
        <f>'Income Statement'!D8/(('Balance Sheet'!C21+'Balance Sheet'!D21)/2)</f>
        <v>7.4077118336758128</v>
      </c>
      <c r="E23" s="36">
        <f>'Income Statement'!E8/(('Balance Sheet'!D21+'Balance Sheet'!E21)/2)</f>
        <v>7.4557307099679981</v>
      </c>
    </row>
    <row r="24" spans="2:5" x14ac:dyDescent="0.3">
      <c r="B24" t="s">
        <v>212</v>
      </c>
      <c r="C24" t="s">
        <v>89</v>
      </c>
      <c r="D24" s="36">
        <f>'Income Statement'!D5/(('Balance Sheet'!C23+'Balance Sheet'!D23)/2)</f>
        <v>20.373930217248191</v>
      </c>
      <c r="E24" s="36">
        <f>'Income Statement'!E5/(('Balance Sheet'!D23+'Balance Sheet'!E23)/2)</f>
        <v>18.521420187793428</v>
      </c>
    </row>
    <row r="25" spans="2:5" x14ac:dyDescent="0.3">
      <c r="B25" t="s">
        <v>213</v>
      </c>
      <c r="C25" t="s">
        <v>89</v>
      </c>
      <c r="D25" s="36">
        <f>'Income Statement'!D5/(('Balance Sheet'!C32+'Balance Sheet'!D32)/2)</f>
        <v>0.81664533664058692</v>
      </c>
      <c r="E25" s="36">
        <f>'Income Statement'!E5/(('Balance Sheet'!D32+'Balance Sheet'!E32)/2)</f>
        <v>0.79708799777748307</v>
      </c>
    </row>
  </sheetData>
  <mergeCells count="5">
    <mergeCell ref="B2:E2"/>
    <mergeCell ref="B4:E4"/>
    <mergeCell ref="B9:E9"/>
    <mergeCell ref="B14:E14"/>
    <mergeCell ref="B21:E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4595-5086-43C0-ACD7-8D02EC364F00}">
  <dimension ref="B2:P17"/>
  <sheetViews>
    <sheetView showGridLines="0" workbookViewId="0">
      <selection activeCell="S14" sqref="S14"/>
    </sheetView>
  </sheetViews>
  <sheetFormatPr defaultRowHeight="14.4" x14ac:dyDescent="0.3"/>
  <cols>
    <col min="1" max="1" width="1.88671875" customWidth="1"/>
    <col min="2" max="2" width="17.21875" customWidth="1"/>
  </cols>
  <sheetData>
    <row r="2" spans="2:16" ht="18" x14ac:dyDescent="0.35">
      <c r="B2" s="76" t="s">
        <v>214</v>
      </c>
      <c r="C2" s="76"/>
      <c r="D2" s="76"/>
      <c r="E2" s="76"/>
      <c r="F2" s="76"/>
      <c r="G2" s="76"/>
      <c r="H2" s="76"/>
      <c r="I2" s="76"/>
      <c r="J2" s="76"/>
      <c r="L2" s="76" t="s">
        <v>218</v>
      </c>
      <c r="M2" s="76"/>
      <c r="N2" s="76"/>
      <c r="O2" s="76"/>
      <c r="P2" s="76"/>
    </row>
    <row r="3" spans="2:16" x14ac:dyDescent="0.3">
      <c r="B3" s="79" t="s">
        <v>215</v>
      </c>
      <c r="C3" s="79"/>
      <c r="D3" s="79"/>
      <c r="E3" s="79"/>
      <c r="F3" s="79"/>
      <c r="G3" s="79"/>
      <c r="H3" s="79"/>
      <c r="I3" s="79"/>
      <c r="J3" s="79"/>
    </row>
    <row r="10" spans="2:16" x14ac:dyDescent="0.3">
      <c r="B10" s="79" t="s">
        <v>216</v>
      </c>
      <c r="C10" s="79"/>
      <c r="D10" s="79"/>
      <c r="E10" s="79"/>
      <c r="F10" s="79"/>
      <c r="G10" s="79"/>
      <c r="H10" s="79"/>
      <c r="I10" s="79"/>
      <c r="J10" s="79"/>
    </row>
    <row r="17" spans="2:10" x14ac:dyDescent="0.3">
      <c r="B17" s="79" t="s">
        <v>217</v>
      </c>
      <c r="C17" s="79"/>
      <c r="D17" s="79"/>
      <c r="E17" s="79"/>
      <c r="F17" s="79"/>
      <c r="G17" s="79"/>
      <c r="H17" s="79"/>
      <c r="I17" s="79"/>
      <c r="J17" s="79"/>
    </row>
  </sheetData>
  <mergeCells count="5">
    <mergeCell ref="B2:J2"/>
    <mergeCell ref="B3:J3"/>
    <mergeCell ref="B10:J10"/>
    <mergeCell ref="B17:J17"/>
    <mergeCell ref="L2:P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Profit &amp; Loss</vt:lpstr>
      <vt:lpstr>Quarters</vt:lpstr>
      <vt:lpstr>Cover Page</vt:lpstr>
      <vt:lpstr>Table of Content</vt:lpstr>
      <vt:lpstr>Source Data Sheet</vt:lpstr>
      <vt:lpstr>Income Statement</vt:lpstr>
      <vt:lpstr>Balance Sheet</vt:lpstr>
      <vt:lpstr>Cash Flow</vt:lpstr>
      <vt:lpstr>Ratios</vt:lpstr>
      <vt:lpstr>Comparative Industry Analysis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SANJEEV PARMAR</cp:lastModifiedBy>
  <cp:lastPrinted>2012-12-06T18:14:13Z</cp:lastPrinted>
  <dcterms:created xsi:type="dcterms:W3CDTF">2012-08-17T09:55:37Z</dcterms:created>
  <dcterms:modified xsi:type="dcterms:W3CDTF">2026-05-01T14:59:05Z</dcterms:modified>
</cp:coreProperties>
</file>