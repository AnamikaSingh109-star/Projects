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1214C03-5829-4E53-B469-C4C88D9648BC}" xr6:coauthVersionLast="47" xr6:coauthVersionMax="47" xr10:uidLastSave="{00000000-0000-0000-0000-000000000000}"/>
  <bookViews>
    <workbookView xWindow="-108" yWindow="-108" windowWidth="23256" windowHeight="12456" firstSheet="1" activeTab="7" xr2:uid="{03DB676E-EB1F-483F-BCBA-68470C3FF887}"/>
  </bookViews>
  <sheets>
    <sheet name="Netflix DCF Model Raw Data " sheetId="1" r:id="rId1"/>
    <sheet name="Revenue Modelling" sheetId="2" r:id="rId2"/>
    <sheet name="Other Items of P&amp;L" sheetId="3" r:id="rId3"/>
    <sheet name="Schedules" sheetId="4" r:id="rId4"/>
    <sheet name="P&amp;L" sheetId="5" r:id="rId5"/>
    <sheet name="Balance Sheet" sheetId="6" r:id="rId6"/>
    <sheet name="Cash Flow" sheetId="7" r:id="rId7"/>
    <sheet name="WACC" sheetId="8" r:id="rId8"/>
    <sheet name="DCF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9" l="1"/>
  <c r="C18" i="9"/>
  <c r="D4" i="9"/>
  <c r="E4" i="9"/>
  <c r="F4" i="9"/>
  <c r="G4" i="9"/>
  <c r="C13" i="9" s="1"/>
  <c r="C15" i="9" s="1"/>
  <c r="D5" i="9"/>
  <c r="E5" i="9"/>
  <c r="F5" i="9"/>
  <c r="G5" i="9"/>
  <c r="C5" i="9"/>
  <c r="C4" i="9"/>
  <c r="C17" i="8"/>
  <c r="C15" i="8"/>
  <c r="C14" i="8"/>
  <c r="C13" i="8"/>
  <c r="C12" i="8"/>
  <c r="C10" i="8"/>
  <c r="G32" i="7"/>
  <c r="H32" i="7"/>
  <c r="I32" i="7"/>
  <c r="J32" i="7"/>
  <c r="F32" i="7"/>
  <c r="C6" i="6"/>
  <c r="D6" i="6"/>
  <c r="E6" i="6"/>
  <c r="C7" i="6"/>
  <c r="D7" i="6"/>
  <c r="E7" i="6"/>
  <c r="C8" i="6"/>
  <c r="D8" i="6"/>
  <c r="E8" i="6"/>
  <c r="C12" i="6"/>
  <c r="D12" i="6"/>
  <c r="E12" i="6"/>
  <c r="C13" i="6"/>
  <c r="D13" i="6"/>
  <c r="E13" i="6"/>
  <c r="C14" i="6"/>
  <c r="D14" i="6"/>
  <c r="E14" i="6"/>
  <c r="C19" i="6"/>
  <c r="D19" i="6"/>
  <c r="E19" i="6"/>
  <c r="C20" i="6"/>
  <c r="D20" i="6"/>
  <c r="E20" i="6"/>
  <c r="C21" i="6"/>
  <c r="D21" i="6"/>
  <c r="E21" i="6"/>
  <c r="C22" i="6"/>
  <c r="D22" i="6"/>
  <c r="E22" i="6"/>
  <c r="C23" i="6"/>
  <c r="D23" i="6"/>
  <c r="E23" i="6"/>
  <c r="C27" i="6"/>
  <c r="D27" i="6"/>
  <c r="E27" i="6"/>
  <c r="C28" i="6"/>
  <c r="D28" i="6"/>
  <c r="E28" i="6"/>
  <c r="C29" i="6"/>
  <c r="D29" i="6"/>
  <c r="E29" i="6"/>
  <c r="C34" i="6"/>
  <c r="D34" i="6"/>
  <c r="E34" i="6"/>
  <c r="C35" i="6"/>
  <c r="D35" i="6"/>
  <c r="E35" i="6"/>
  <c r="C36" i="6"/>
  <c r="D36" i="6"/>
  <c r="E36" i="6"/>
  <c r="C37" i="6"/>
  <c r="D37" i="6"/>
  <c r="E37" i="6"/>
  <c r="B38" i="6"/>
  <c r="B40" i="6"/>
  <c r="B34" i="6"/>
  <c r="B35" i="6"/>
  <c r="B36" i="6"/>
  <c r="B37" i="6"/>
  <c r="B5" i="6"/>
  <c r="B6" i="6"/>
  <c r="B7" i="6"/>
  <c r="B8" i="6"/>
  <c r="B10" i="6"/>
  <c r="B12" i="6"/>
  <c r="B13" i="6"/>
  <c r="B14" i="6"/>
  <c r="B15" i="6"/>
  <c r="B17" i="6"/>
  <c r="B18" i="6"/>
  <c r="B19" i="6"/>
  <c r="B20" i="6"/>
  <c r="B21" i="6"/>
  <c r="B22" i="6"/>
  <c r="B23" i="6"/>
  <c r="B25" i="6"/>
  <c r="B27" i="6"/>
  <c r="B28" i="6"/>
  <c r="B29" i="6"/>
  <c r="B31" i="6"/>
  <c r="B33" i="6"/>
  <c r="B4" i="6"/>
  <c r="D31" i="5"/>
  <c r="E31" i="5"/>
  <c r="C31" i="5"/>
  <c r="D3" i="3"/>
  <c r="E3" i="3"/>
  <c r="E7" i="5" s="1"/>
  <c r="C3" i="3"/>
  <c r="C7" i="5" s="1"/>
  <c r="C26" i="5"/>
  <c r="D26" i="5"/>
  <c r="E26" i="5"/>
  <c r="B26" i="5"/>
  <c r="B25" i="5"/>
  <c r="D20" i="5"/>
  <c r="E20" i="5"/>
  <c r="C20" i="5"/>
  <c r="B15" i="5"/>
  <c r="B14" i="5"/>
  <c r="B13" i="5"/>
  <c r="D7" i="5"/>
  <c r="D4" i="5"/>
  <c r="D5" i="5" s="1"/>
  <c r="E4" i="5"/>
  <c r="F4" i="5"/>
  <c r="F5" i="5" s="1"/>
  <c r="G4" i="5"/>
  <c r="G5" i="5" s="1"/>
  <c r="H4" i="5"/>
  <c r="I4" i="5"/>
  <c r="J4" i="5"/>
  <c r="C4" i="5"/>
  <c r="J26" i="4"/>
  <c r="C29" i="4"/>
  <c r="C25" i="5" s="1"/>
  <c r="D29" i="4"/>
  <c r="D25" i="5" s="1"/>
  <c r="E29" i="4"/>
  <c r="E25" i="5" s="1"/>
  <c r="D27" i="4"/>
  <c r="E25" i="4" s="1"/>
  <c r="E27" i="4"/>
  <c r="F25" i="4" s="1"/>
  <c r="F27" i="4" s="1"/>
  <c r="F28" i="6" s="1"/>
  <c r="F31" i="6" s="1"/>
  <c r="C27" i="4"/>
  <c r="D25" i="4" s="1"/>
  <c r="D18" i="4"/>
  <c r="E15" i="4" s="1"/>
  <c r="E16" i="4" s="1"/>
  <c r="E18" i="4"/>
  <c r="F15" i="4" s="1"/>
  <c r="C18" i="4"/>
  <c r="D15" i="4" s="1"/>
  <c r="D16" i="4" s="1"/>
  <c r="D8" i="4"/>
  <c r="E5" i="4" s="1"/>
  <c r="E8" i="4"/>
  <c r="F5" i="4" s="1"/>
  <c r="C8" i="4"/>
  <c r="D5" i="4" s="1"/>
  <c r="D24" i="3"/>
  <c r="D25" i="3" s="1"/>
  <c r="E24" i="3"/>
  <c r="E25" i="3" s="1"/>
  <c r="C24" i="3"/>
  <c r="C25" i="3" s="1"/>
  <c r="D21" i="3"/>
  <c r="D22" i="3" s="1"/>
  <c r="E21" i="3"/>
  <c r="E22" i="3" s="1"/>
  <c r="C21" i="3"/>
  <c r="C22" i="3" s="1"/>
  <c r="D18" i="3"/>
  <c r="D19" i="3" s="1"/>
  <c r="E18" i="3"/>
  <c r="E19" i="3" s="1"/>
  <c r="C18" i="3"/>
  <c r="D15" i="3"/>
  <c r="D16" i="3" s="1"/>
  <c r="E15" i="3"/>
  <c r="E16" i="3" s="1"/>
  <c r="C15" i="3"/>
  <c r="C16" i="3" s="1"/>
  <c r="D12" i="3"/>
  <c r="D13" i="3" s="1"/>
  <c r="E12" i="3"/>
  <c r="E13" i="3" s="1"/>
  <c r="C12" i="3"/>
  <c r="C15" i="5" s="1"/>
  <c r="D9" i="3"/>
  <c r="D10" i="3" s="1"/>
  <c r="E9" i="3"/>
  <c r="E10" i="3" s="1"/>
  <c r="C9" i="3"/>
  <c r="C10" i="3" s="1"/>
  <c r="D6" i="3"/>
  <c r="D13" i="5" s="1"/>
  <c r="E6" i="3"/>
  <c r="E13" i="5" s="1"/>
  <c r="C6" i="3"/>
  <c r="C13" i="5" s="1"/>
  <c r="B6" i="3"/>
  <c r="D4" i="2"/>
  <c r="E4" i="2"/>
  <c r="C4" i="2"/>
  <c r="C7" i="2" s="1"/>
  <c r="C7" i="3" s="1"/>
  <c r="E7" i="2"/>
  <c r="E6" i="2" s="1"/>
  <c r="D7" i="2"/>
  <c r="G32" i="2"/>
  <c r="H32" i="2"/>
  <c r="I32" i="2"/>
  <c r="J32" i="2"/>
  <c r="F32" i="2"/>
  <c r="G34" i="2"/>
  <c r="H34" i="2" s="1"/>
  <c r="I34" i="2" s="1"/>
  <c r="J34" i="2" s="1"/>
  <c r="F34" i="2"/>
  <c r="G33" i="2"/>
  <c r="H33" i="2" s="1"/>
  <c r="F33" i="2"/>
  <c r="G35" i="2"/>
  <c r="H35" i="2"/>
  <c r="I35" i="2"/>
  <c r="J35" i="2"/>
  <c r="F35" i="2"/>
  <c r="E35" i="2"/>
  <c r="D35" i="2"/>
  <c r="D34" i="2"/>
  <c r="E34" i="2"/>
  <c r="D33" i="2"/>
  <c r="E33" i="2"/>
  <c r="C33" i="2"/>
  <c r="C34" i="2" s="1"/>
  <c r="G25" i="2"/>
  <c r="H25" i="2"/>
  <c r="I25" i="2"/>
  <c r="J25" i="2"/>
  <c r="F25" i="2"/>
  <c r="G26" i="2"/>
  <c r="H26" i="2"/>
  <c r="I26" i="2"/>
  <c r="J26" i="2"/>
  <c r="F26" i="2"/>
  <c r="G27" i="2"/>
  <c r="H27" i="2" s="1"/>
  <c r="I27" i="2" s="1"/>
  <c r="J27" i="2" s="1"/>
  <c r="F27" i="2"/>
  <c r="G28" i="2"/>
  <c r="H28" i="2"/>
  <c r="I28" i="2"/>
  <c r="J28" i="2"/>
  <c r="F28" i="2"/>
  <c r="E28" i="2"/>
  <c r="D28" i="2"/>
  <c r="D26" i="2"/>
  <c r="D27" i="2" s="1"/>
  <c r="E26" i="2"/>
  <c r="E27" i="2"/>
  <c r="C26" i="2"/>
  <c r="C27" i="2" s="1"/>
  <c r="G18" i="2"/>
  <c r="H18" i="2"/>
  <c r="I18" i="2"/>
  <c r="J18" i="2"/>
  <c r="F18" i="2"/>
  <c r="G19" i="2"/>
  <c r="H19" i="2"/>
  <c r="I19" i="2"/>
  <c r="J19" i="2"/>
  <c r="F19" i="2"/>
  <c r="G20" i="2"/>
  <c r="H20" i="2" s="1"/>
  <c r="I20" i="2" s="1"/>
  <c r="J20" i="2" s="1"/>
  <c r="F20" i="2"/>
  <c r="G21" i="2"/>
  <c r="H21" i="2" s="1"/>
  <c r="F21" i="2"/>
  <c r="E21" i="2"/>
  <c r="D21" i="2"/>
  <c r="D20" i="2"/>
  <c r="E20" i="2"/>
  <c r="C20" i="2"/>
  <c r="D19" i="2"/>
  <c r="E19" i="2"/>
  <c r="C19" i="2"/>
  <c r="G12" i="2"/>
  <c r="H12" i="2"/>
  <c r="I12" i="2"/>
  <c r="J12" i="2"/>
  <c r="F12" i="2"/>
  <c r="D13" i="2"/>
  <c r="D14" i="2" s="1"/>
  <c r="E13" i="2"/>
  <c r="C13" i="2"/>
  <c r="D12" i="2"/>
  <c r="E12" i="2"/>
  <c r="C12" i="2"/>
  <c r="D8" i="9" l="1"/>
  <c r="C8" i="9"/>
  <c r="C10" i="9" s="1"/>
  <c r="C17" i="9" s="1"/>
  <c r="C20" i="9" s="1"/>
  <c r="G8" i="9"/>
  <c r="F8" i="9"/>
  <c r="E8" i="9"/>
  <c r="C31" i="6"/>
  <c r="E15" i="5"/>
  <c r="D15" i="5"/>
  <c r="E38" i="6"/>
  <c r="E25" i="6"/>
  <c r="D38" i="6"/>
  <c r="E31" i="6"/>
  <c r="E40" i="6" s="1"/>
  <c r="D25" i="6"/>
  <c r="C38" i="6"/>
  <c r="D31" i="6"/>
  <c r="C25" i="6"/>
  <c r="E10" i="6"/>
  <c r="J25" i="3"/>
  <c r="J24" i="3" s="1"/>
  <c r="G25" i="3"/>
  <c r="G24" i="3" s="1"/>
  <c r="H25" i="3"/>
  <c r="H24" i="3" s="1"/>
  <c r="I25" i="3"/>
  <c r="I24" i="3" s="1"/>
  <c r="J22" i="3"/>
  <c r="J21" i="3" s="1"/>
  <c r="G22" i="3"/>
  <c r="G21" i="3" s="1"/>
  <c r="H22" i="3"/>
  <c r="H21" i="3" s="1"/>
  <c r="I22" i="3"/>
  <c r="I21" i="3" s="1"/>
  <c r="D40" i="6"/>
  <c r="C40" i="6"/>
  <c r="E30" i="4"/>
  <c r="D14" i="5"/>
  <c r="C14" i="5"/>
  <c r="E26" i="4"/>
  <c r="E14" i="5"/>
  <c r="C13" i="3"/>
  <c r="C30" i="4"/>
  <c r="F10" i="3"/>
  <c r="F9" i="3" s="1"/>
  <c r="F14" i="5" s="1"/>
  <c r="D10" i="6"/>
  <c r="D15" i="6" s="1"/>
  <c r="D42" i="6" s="1"/>
  <c r="C10" i="6"/>
  <c r="C15" i="6" s="1"/>
  <c r="E15" i="6"/>
  <c r="E5" i="5"/>
  <c r="J5" i="5"/>
  <c r="E9" i="5"/>
  <c r="D9" i="5"/>
  <c r="H5" i="5"/>
  <c r="C19" i="3"/>
  <c r="C9" i="5"/>
  <c r="I5" i="5"/>
  <c r="D26" i="4"/>
  <c r="D30" i="4"/>
  <c r="H30" i="4" s="1"/>
  <c r="D6" i="4"/>
  <c r="D10" i="4" s="1"/>
  <c r="E6" i="4"/>
  <c r="E10" i="4" s="1"/>
  <c r="F16" i="4"/>
  <c r="F23" i="7" s="1"/>
  <c r="E20" i="4"/>
  <c r="G16" i="4"/>
  <c r="G23" i="7" s="1"/>
  <c r="I16" i="4"/>
  <c r="I23" i="7" s="1"/>
  <c r="H16" i="4"/>
  <c r="H23" i="7" s="1"/>
  <c r="J16" i="4"/>
  <c r="J23" i="7" s="1"/>
  <c r="D20" i="4"/>
  <c r="F25" i="3"/>
  <c r="F24" i="3" s="1"/>
  <c r="F22" i="3"/>
  <c r="F21" i="3" s="1"/>
  <c r="G16" i="3"/>
  <c r="G15" i="3" s="1"/>
  <c r="J16" i="3"/>
  <c r="J15" i="3" s="1"/>
  <c r="H16" i="3"/>
  <c r="H15" i="3" s="1"/>
  <c r="F16" i="3"/>
  <c r="F15" i="3" s="1"/>
  <c r="I16" i="3"/>
  <c r="I15" i="3" s="1"/>
  <c r="F13" i="3"/>
  <c r="F12" i="3" s="1"/>
  <c r="F15" i="5" s="1"/>
  <c r="E7" i="3"/>
  <c r="E14" i="2"/>
  <c r="F14" i="2" s="1"/>
  <c r="D6" i="2"/>
  <c r="E4" i="3"/>
  <c r="D7" i="3"/>
  <c r="D4" i="3"/>
  <c r="C4" i="3"/>
  <c r="I33" i="2"/>
  <c r="J33" i="2" s="1"/>
  <c r="I21" i="2"/>
  <c r="J21" i="2" s="1"/>
  <c r="E42" i="6" l="1"/>
  <c r="G10" i="3"/>
  <c r="G9" i="3" s="1"/>
  <c r="G14" i="5" s="1"/>
  <c r="C42" i="6"/>
  <c r="J19" i="7"/>
  <c r="J8" i="6"/>
  <c r="F21" i="6"/>
  <c r="F18" i="7"/>
  <c r="H18" i="7"/>
  <c r="H21" i="6"/>
  <c r="F16" i="7"/>
  <c r="F22" i="6"/>
  <c r="G30" i="4"/>
  <c r="G18" i="7"/>
  <c r="G21" i="6"/>
  <c r="J21" i="6"/>
  <c r="J18" i="7"/>
  <c r="G8" i="6"/>
  <c r="G19" i="7"/>
  <c r="I30" i="4"/>
  <c r="I19" i="7"/>
  <c r="I8" i="6"/>
  <c r="F30" i="4"/>
  <c r="F29" i="4" s="1"/>
  <c r="F25" i="5" s="1"/>
  <c r="I16" i="7"/>
  <c r="I22" i="6"/>
  <c r="J7" i="3"/>
  <c r="F19" i="7"/>
  <c r="F8" i="6"/>
  <c r="D17" i="5"/>
  <c r="D18" i="5" s="1"/>
  <c r="H16" i="7"/>
  <c r="H22" i="6"/>
  <c r="I18" i="7"/>
  <c r="I21" i="6"/>
  <c r="J19" i="3"/>
  <c r="G19" i="3"/>
  <c r="F19" i="3"/>
  <c r="H19" i="3"/>
  <c r="I19" i="3"/>
  <c r="H19" i="7"/>
  <c r="H8" i="6"/>
  <c r="E17" i="5"/>
  <c r="E18" i="5" s="1"/>
  <c r="G22" i="6"/>
  <c r="G16" i="7"/>
  <c r="J16" i="7"/>
  <c r="J22" i="6"/>
  <c r="D10" i="5"/>
  <c r="E10" i="5"/>
  <c r="E22" i="5"/>
  <c r="E28" i="5" s="1"/>
  <c r="D22" i="5"/>
  <c r="D28" i="5" s="1"/>
  <c r="C17" i="5"/>
  <c r="C10" i="5"/>
  <c r="J30" i="4"/>
  <c r="F10" i="4"/>
  <c r="G10" i="4" s="1"/>
  <c r="H10" i="4" s="1"/>
  <c r="I10" i="4" s="1"/>
  <c r="J10" i="4" s="1"/>
  <c r="J6" i="4"/>
  <c r="J24" i="7" s="1"/>
  <c r="J26" i="7" s="1"/>
  <c r="G6" i="4"/>
  <c r="G24" i="7" s="1"/>
  <c r="G26" i="7" s="1"/>
  <c r="H6" i="4"/>
  <c r="H24" i="7" s="1"/>
  <c r="H26" i="7" s="1"/>
  <c r="I6" i="4"/>
  <c r="I24" i="7" s="1"/>
  <c r="I26" i="7" s="1"/>
  <c r="F6" i="4"/>
  <c r="F24" i="7" s="1"/>
  <c r="F26" i="7" s="1"/>
  <c r="G20" i="4"/>
  <c r="H20" i="4"/>
  <c r="I20" i="4"/>
  <c r="J20" i="4"/>
  <c r="F20" i="4"/>
  <c r="F17" i="4" s="1"/>
  <c r="G13" i="3"/>
  <c r="G12" i="3" s="1"/>
  <c r="G15" i="5" s="1"/>
  <c r="H10" i="3"/>
  <c r="F13" i="2"/>
  <c r="G14" i="2"/>
  <c r="I7" i="3"/>
  <c r="G7" i="3"/>
  <c r="F4" i="3"/>
  <c r="F3" i="3" s="1"/>
  <c r="F7" i="3"/>
  <c r="F6" i="3" s="1"/>
  <c r="F13" i="5" s="1"/>
  <c r="H7" i="3"/>
  <c r="G13" i="2"/>
  <c r="F11" i="2"/>
  <c r="F4" i="2" s="1"/>
  <c r="F7" i="2" s="1"/>
  <c r="F6" i="2" s="1"/>
  <c r="F31" i="7" l="1"/>
  <c r="H13" i="3"/>
  <c r="H12" i="3" s="1"/>
  <c r="H15" i="5" s="1"/>
  <c r="F18" i="3"/>
  <c r="F18" i="4"/>
  <c r="F11" i="7"/>
  <c r="D29" i="5"/>
  <c r="D34" i="5"/>
  <c r="D35" i="5" s="1"/>
  <c r="D32" i="5"/>
  <c r="E29" i="5"/>
  <c r="E34" i="5"/>
  <c r="E35" i="5" s="1"/>
  <c r="E32" i="5"/>
  <c r="E23" i="5"/>
  <c r="D23" i="5"/>
  <c r="F7" i="5"/>
  <c r="F9" i="5" s="1"/>
  <c r="C22" i="5"/>
  <c r="C18" i="5"/>
  <c r="F7" i="4"/>
  <c r="I13" i="3"/>
  <c r="I12" i="3" s="1"/>
  <c r="I15" i="5" s="1"/>
  <c r="G4" i="3"/>
  <c r="I10" i="3"/>
  <c r="H9" i="3"/>
  <c r="H14" i="5" s="1"/>
  <c r="G6" i="3"/>
  <c r="G13" i="5" s="1"/>
  <c r="H14" i="2"/>
  <c r="I14" i="2"/>
  <c r="G11" i="2"/>
  <c r="G4" i="2" s="1"/>
  <c r="G7" i="2" s="1"/>
  <c r="G6" i="2" s="1"/>
  <c r="F8" i="4" l="1"/>
  <c r="F10" i="7"/>
  <c r="F20" i="5"/>
  <c r="G15" i="4"/>
  <c r="G17" i="4" s="1"/>
  <c r="F12" i="6"/>
  <c r="F20" i="6"/>
  <c r="F25" i="6" s="1"/>
  <c r="F15" i="7"/>
  <c r="F21" i="7" s="1"/>
  <c r="J32" i="5"/>
  <c r="J6" i="7" s="1"/>
  <c r="F32" i="5"/>
  <c r="F6" i="7" s="1"/>
  <c r="G32" i="5"/>
  <c r="G6" i="7" s="1"/>
  <c r="I32" i="5"/>
  <c r="I6" i="7" s="1"/>
  <c r="H32" i="5"/>
  <c r="H6" i="7" s="1"/>
  <c r="F10" i="5"/>
  <c r="F17" i="5"/>
  <c r="F22" i="5" s="1"/>
  <c r="F4" i="7" s="1"/>
  <c r="H4" i="3"/>
  <c r="G3" i="3"/>
  <c r="C23" i="5"/>
  <c r="C28" i="5"/>
  <c r="J13" i="3"/>
  <c r="J12" i="3" s="1"/>
  <c r="J15" i="5" s="1"/>
  <c r="J10" i="3"/>
  <c r="J9" i="3" s="1"/>
  <c r="J14" i="5" s="1"/>
  <c r="I9" i="3"/>
  <c r="I14" i="5" s="1"/>
  <c r="J14" i="2"/>
  <c r="H13" i="2"/>
  <c r="H11" i="2"/>
  <c r="H4" i="2" s="1"/>
  <c r="H7" i="2" s="1"/>
  <c r="I13" i="2"/>
  <c r="G18" i="4" l="1"/>
  <c r="G11" i="7"/>
  <c r="F5" i="7"/>
  <c r="F8" i="7" s="1"/>
  <c r="F13" i="7" s="1"/>
  <c r="F28" i="7" s="1"/>
  <c r="G5" i="4"/>
  <c r="G7" i="4" s="1"/>
  <c r="F13" i="6"/>
  <c r="F23" i="5"/>
  <c r="F28" i="5"/>
  <c r="C29" i="5"/>
  <c r="C34" i="5"/>
  <c r="C35" i="5" s="1"/>
  <c r="C32" i="5"/>
  <c r="F18" i="5"/>
  <c r="I4" i="3"/>
  <c r="H3" i="3"/>
  <c r="H7" i="5" s="1"/>
  <c r="H9" i="5" s="1"/>
  <c r="G7" i="5"/>
  <c r="G9" i="5" s="1"/>
  <c r="G18" i="3"/>
  <c r="H6" i="2"/>
  <c r="H6" i="3"/>
  <c r="H13" i="5" s="1"/>
  <c r="J13" i="2"/>
  <c r="J11" i="2" s="1"/>
  <c r="J4" i="2" s="1"/>
  <c r="J7" i="2" s="1"/>
  <c r="I11" i="2"/>
  <c r="I4" i="2" s="1"/>
  <c r="I7" i="2" s="1"/>
  <c r="G20" i="6" l="1"/>
  <c r="G25" i="6" s="1"/>
  <c r="G15" i="7"/>
  <c r="G21" i="7" s="1"/>
  <c r="G8" i="4"/>
  <c r="G20" i="5"/>
  <c r="G10" i="7"/>
  <c r="H15" i="4"/>
  <c r="H17" i="4" s="1"/>
  <c r="G12" i="6"/>
  <c r="F29" i="5"/>
  <c r="F31" i="5"/>
  <c r="H18" i="3"/>
  <c r="I3" i="3"/>
  <c r="J4" i="3"/>
  <c r="J3" i="3" s="1"/>
  <c r="H17" i="5"/>
  <c r="H10" i="5"/>
  <c r="G17" i="5"/>
  <c r="G10" i="5"/>
  <c r="I6" i="2"/>
  <c r="I6" i="3"/>
  <c r="I13" i="5" s="1"/>
  <c r="J6" i="2"/>
  <c r="J6" i="3"/>
  <c r="J13" i="5" s="1"/>
  <c r="G25" i="4"/>
  <c r="G27" i="4" s="1"/>
  <c r="G28" i="6" s="1"/>
  <c r="G31" i="6" s="1"/>
  <c r="H18" i="4" l="1"/>
  <c r="H11" i="7"/>
  <c r="H20" i="6"/>
  <c r="H25" i="6" s="1"/>
  <c r="H15" i="7"/>
  <c r="H21" i="7" s="1"/>
  <c r="H5" i="4"/>
  <c r="H7" i="4" s="1"/>
  <c r="G13" i="6"/>
  <c r="F34" i="5"/>
  <c r="F30" i="7"/>
  <c r="I7" i="5"/>
  <c r="I9" i="5" s="1"/>
  <c r="I18" i="3"/>
  <c r="G18" i="5"/>
  <c r="G22" i="5"/>
  <c r="G4" i="7" s="1"/>
  <c r="G5" i="7" s="1"/>
  <c r="G8" i="7" s="1"/>
  <c r="G13" i="7" s="1"/>
  <c r="G28" i="7" s="1"/>
  <c r="J7" i="5"/>
  <c r="J9" i="5" s="1"/>
  <c r="J18" i="3"/>
  <c r="H18" i="5"/>
  <c r="G29" i="4"/>
  <c r="H25" i="4"/>
  <c r="H27" i="4" s="1"/>
  <c r="H28" i="6" s="1"/>
  <c r="H31" i="6" s="1"/>
  <c r="J15" i="7" l="1"/>
  <c r="J21" i="7" s="1"/>
  <c r="J20" i="6"/>
  <c r="J25" i="6" s="1"/>
  <c r="H8" i="4"/>
  <c r="H20" i="5"/>
  <c r="H22" i="5" s="1"/>
  <c r="H4" i="7" s="1"/>
  <c r="H5" i="7" s="1"/>
  <c r="H8" i="7" s="1"/>
  <c r="H13" i="7" s="1"/>
  <c r="H28" i="7" s="1"/>
  <c r="H10" i="7"/>
  <c r="I15" i="7"/>
  <c r="I21" i="7" s="1"/>
  <c r="I20" i="6"/>
  <c r="I25" i="6" s="1"/>
  <c r="I15" i="4"/>
  <c r="I17" i="4" s="1"/>
  <c r="H12" i="6"/>
  <c r="F34" i="7"/>
  <c r="F6" i="6" s="1"/>
  <c r="F10" i="6" s="1"/>
  <c r="F15" i="6" s="1"/>
  <c r="G25" i="5"/>
  <c r="G28" i="5" s="1"/>
  <c r="G31" i="7"/>
  <c r="F35" i="5"/>
  <c r="F37" i="6"/>
  <c r="H23" i="5"/>
  <c r="G23" i="5"/>
  <c r="J10" i="5"/>
  <c r="J17" i="5"/>
  <c r="I10" i="5"/>
  <c r="I17" i="5"/>
  <c r="H29" i="4"/>
  <c r="I25" i="4"/>
  <c r="I27" i="4" s="1"/>
  <c r="I28" i="6" s="1"/>
  <c r="I31" i="6" s="1"/>
  <c r="I18" i="4" l="1"/>
  <c r="I11" i="7"/>
  <c r="I5" i="4"/>
  <c r="I7" i="4" s="1"/>
  <c r="H13" i="6"/>
  <c r="H25" i="5"/>
  <c r="H28" i="5" s="1"/>
  <c r="H31" i="5" s="1"/>
  <c r="H31" i="7"/>
  <c r="F38" i="6"/>
  <c r="F40" i="6" s="1"/>
  <c r="F42" i="6" s="1"/>
  <c r="G31" i="5"/>
  <c r="G29" i="5"/>
  <c r="I18" i="5"/>
  <c r="J18" i="5"/>
  <c r="J25" i="4"/>
  <c r="J27" i="4" s="1"/>
  <c r="I29" i="4"/>
  <c r="J29" i="4" l="1"/>
  <c r="J28" i="6"/>
  <c r="J31" i="6" s="1"/>
  <c r="H29" i="5"/>
  <c r="I8" i="4"/>
  <c r="I20" i="5"/>
  <c r="I22" i="5" s="1"/>
  <c r="I4" i="7" s="1"/>
  <c r="I5" i="7" s="1"/>
  <c r="I8" i="7" s="1"/>
  <c r="I13" i="7" s="1"/>
  <c r="I28" i="7" s="1"/>
  <c r="I10" i="7"/>
  <c r="J15" i="4"/>
  <c r="J17" i="4" s="1"/>
  <c r="I12" i="6"/>
  <c r="I25" i="5"/>
  <c r="I31" i="7"/>
  <c r="J31" i="7"/>
  <c r="J25" i="5"/>
  <c r="G34" i="5"/>
  <c r="G30" i="7"/>
  <c r="H34" i="5"/>
  <c r="H35" i="5" s="1"/>
  <c r="H30" i="7"/>
  <c r="H34" i="7" s="1"/>
  <c r="J18" i="4" l="1"/>
  <c r="J12" i="6" s="1"/>
  <c r="J11" i="7"/>
  <c r="J5" i="4"/>
  <c r="J7" i="4" s="1"/>
  <c r="I13" i="6"/>
  <c r="I28" i="5"/>
  <c r="I31" i="5" s="1"/>
  <c r="I30" i="7" s="1"/>
  <c r="I34" i="7" s="1"/>
  <c r="I23" i="5"/>
  <c r="G34" i="7"/>
  <c r="G6" i="6" s="1"/>
  <c r="G35" i="5"/>
  <c r="G37" i="6"/>
  <c r="I29" i="5" l="1"/>
  <c r="J8" i="4"/>
  <c r="J13" i="6" s="1"/>
  <c r="J20" i="5"/>
  <c r="J22" i="5" s="1"/>
  <c r="J10" i="7"/>
  <c r="H6" i="6"/>
  <c r="H10" i="6" s="1"/>
  <c r="H15" i="6" s="1"/>
  <c r="G10" i="6"/>
  <c r="G15" i="6" s="1"/>
  <c r="I34" i="5"/>
  <c r="I35" i="5" s="1"/>
  <c r="H37" i="6"/>
  <c r="G38" i="6"/>
  <c r="G40" i="6" s="1"/>
  <c r="I6" i="6" l="1"/>
  <c r="I10" i="6" s="1"/>
  <c r="I15" i="6" s="1"/>
  <c r="J4" i="7"/>
  <c r="J5" i="7" s="1"/>
  <c r="J8" i="7" s="1"/>
  <c r="J13" i="7" s="1"/>
  <c r="J28" i="7" s="1"/>
  <c r="J23" i="5"/>
  <c r="J28" i="5"/>
  <c r="G42" i="6"/>
  <c r="H38" i="6"/>
  <c r="H40" i="6" s="1"/>
  <c r="H42" i="6" s="1"/>
  <c r="I37" i="6"/>
  <c r="J29" i="5" l="1"/>
  <c r="J31" i="5"/>
  <c r="J30" i="7" s="1"/>
  <c r="J34" i="7" s="1"/>
  <c r="J6" i="6" s="1"/>
  <c r="J10" i="6" s="1"/>
  <c r="J15" i="6" s="1"/>
  <c r="J34" i="5"/>
  <c r="J35" i="5" s="1"/>
  <c r="I38" i="6"/>
  <c r="I40" i="6" s="1"/>
  <c r="I42" i="6" s="1"/>
  <c r="J37" i="6" l="1"/>
  <c r="J38" i="6" s="1"/>
  <c r="J40" i="6" s="1"/>
  <c r="J42" i="6" s="1"/>
</calcChain>
</file>

<file path=xl/sharedStrings.xml><?xml version="1.0" encoding="utf-8"?>
<sst xmlns="http://schemas.openxmlformats.org/spreadsheetml/2006/main" count="253" uniqueCount="168">
  <si>
    <t>Other income (expense):</t>
  </si>
  <si>
    <t>Revenues</t>
  </si>
  <si>
    <t>Year 2022</t>
  </si>
  <si>
    <t>Year 2023</t>
  </si>
  <si>
    <t>Year 2024</t>
  </si>
  <si>
    <t>$ 31,615,550</t>
  </si>
  <si>
    <t>$ 33,723,297</t>
  </si>
  <si>
    <t>$ 39,000,966</t>
  </si>
  <si>
    <t>Cost of revenues</t>
  </si>
  <si>
    <t>Sales and marketing</t>
  </si>
  <si>
    <t>Technology and development</t>
  </si>
  <si>
    <t>General and administrative</t>
  </si>
  <si>
    <t>Operating income</t>
  </si>
  <si>
    <t>Interest expense</t>
  </si>
  <si>
    <t>$ 4,491,924</t>
  </si>
  <si>
    <t>$ 5,407,990</t>
  </si>
  <si>
    <t>$ 8,711,631</t>
  </si>
  <si>
    <t>Interest and other income (expense)</t>
  </si>
  <si>
    <t>Income before income taxes</t>
  </si>
  <si>
    <t>Provision for income taxes</t>
  </si>
  <si>
    <t>Net income</t>
  </si>
  <si>
    <t>Income Statement for Netflix</t>
  </si>
  <si>
    <t>Balanace Sheet</t>
  </si>
  <si>
    <t>Assets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</si>
  <si>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</si>
  <si>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</si>
  <si>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</si>
  <si>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</si>
  <si>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</si>
  <si>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</si>
  <si>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</si>
  <si>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</si>
  <si>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</si>
  <si>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 and Stockholders’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</si>
  <si>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</si>
  <si>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</si>
  <si>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</si>
  <si>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</si>
  <si>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</si>
  <si>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</si>
  <si>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</si>
  <si>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</si>
  <si>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</si>
  <si>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</si>
  <si>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</si>
  <si>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Stockholders’ equity:</t>
  </si>
  <si>
    <t>Common stock</t>
  </si>
  <si>
    <t>Treasury stock at cost</t>
  </si>
  <si>
    <t>Accumulated other comprehensive loss</t>
  </si>
  <si>
    <t>Retained earnings</t>
  </si>
  <si>
    <t>Total stockholders’ equity</t>
  </si>
  <si>
    <t>Total liabilities and stockholders’ equity</t>
  </si>
  <si>
    <t>-</t>
  </si>
  <si>
    <t>Average Monthly Revenue UCAN</t>
  </si>
  <si>
    <t>Average Monthly Revenue EMEA</t>
  </si>
  <si>
    <t>Average Monthly Revenue Latin A</t>
  </si>
  <si>
    <t>Average Monthly Revenue APAC</t>
  </si>
  <si>
    <t>Revenue Sources</t>
  </si>
  <si>
    <t>(in thousands)</t>
  </si>
  <si>
    <t>DVD revenues</t>
  </si>
  <si>
    <t>Streaming revenues</t>
  </si>
  <si>
    <t>Growth %</t>
  </si>
  <si>
    <t>Total Revenues</t>
  </si>
  <si>
    <t>Revenue</t>
  </si>
  <si>
    <t>2025 F</t>
  </si>
  <si>
    <t>2026 F</t>
  </si>
  <si>
    <t>2027 F</t>
  </si>
  <si>
    <t>2028 F</t>
  </si>
  <si>
    <t>2029 F</t>
  </si>
  <si>
    <t>Average yearly revenue per membership</t>
  </si>
  <si>
    <t>Average Paid membership</t>
  </si>
  <si>
    <t>Unites States and Canada ( in thousands)</t>
  </si>
  <si>
    <t>Europe, Middle East, and Africa (EMEA) (in thousands)</t>
  </si>
  <si>
    <t>Latin America (LATAM) (in thousands)</t>
  </si>
  <si>
    <t>Asia-Pacific (in thousands)</t>
  </si>
  <si>
    <t>Other Items</t>
  </si>
  <si>
    <t>Cost of Goods Sold</t>
  </si>
  <si>
    <t>as a % revenues</t>
  </si>
  <si>
    <t>Technology and Development</t>
  </si>
  <si>
    <t>General and Administrative</t>
  </si>
  <si>
    <t>Other Current assets</t>
  </si>
  <si>
    <t xml:space="preserve">Accounts Payable </t>
  </si>
  <si>
    <t>Days Payable</t>
  </si>
  <si>
    <t>Accrued Expenses and other Liabilities</t>
  </si>
  <si>
    <t>Deferred Revenue</t>
  </si>
  <si>
    <t>Beginning Balance</t>
  </si>
  <si>
    <t>add: Capex</t>
  </si>
  <si>
    <t>less: Depreciation</t>
  </si>
  <si>
    <t>Closing Balance</t>
  </si>
  <si>
    <t xml:space="preserve">Useful life </t>
  </si>
  <si>
    <t>Content Assets</t>
  </si>
  <si>
    <t>add: Addition to Content Assets</t>
  </si>
  <si>
    <t>less: Amortisation of Content Assets</t>
  </si>
  <si>
    <t>Useful life</t>
  </si>
  <si>
    <t>Debt Schedule</t>
  </si>
  <si>
    <t>Beginning Balance of Debt</t>
  </si>
  <si>
    <t>add/less: Debt Taken /(debt repaid)</t>
  </si>
  <si>
    <t>Interest Expense</t>
  </si>
  <si>
    <t>PPE Schedule</t>
  </si>
  <si>
    <t xml:space="preserve">Income Statement for Netflix Inc </t>
  </si>
  <si>
    <t>Particular</t>
  </si>
  <si>
    <t>Growth % of Revenue</t>
  </si>
  <si>
    <t>COGS</t>
  </si>
  <si>
    <t>Gross Profit</t>
  </si>
  <si>
    <t>Gross Profit %</t>
  </si>
  <si>
    <t>EBITDA</t>
  </si>
  <si>
    <t>EBITDA %</t>
  </si>
  <si>
    <t>Depreciation</t>
  </si>
  <si>
    <t>EBIT</t>
  </si>
  <si>
    <t>EBIT %</t>
  </si>
  <si>
    <t>EBT</t>
  </si>
  <si>
    <t>EBT %</t>
  </si>
  <si>
    <t>Tax</t>
  </si>
  <si>
    <t>Tax %</t>
  </si>
  <si>
    <t>Net Profit</t>
  </si>
  <si>
    <t>Net Profit %</t>
  </si>
  <si>
    <t>Operating Expense</t>
  </si>
  <si>
    <t xml:space="preserve">Balanace Sheet for Netflix Inc </t>
  </si>
  <si>
    <t>(-)Operating Taxes</t>
  </si>
  <si>
    <t>NOPAT</t>
  </si>
  <si>
    <t>(-)Operation Tax Rate</t>
  </si>
  <si>
    <t>(+)Depretiation</t>
  </si>
  <si>
    <t>(+)Amortisation</t>
  </si>
  <si>
    <t>Gross Cash Flow</t>
  </si>
  <si>
    <t>(-)Investment in Working Capital</t>
  </si>
  <si>
    <t>(-)Capex</t>
  </si>
  <si>
    <t>UFCF</t>
  </si>
  <si>
    <t>Diff b/w Actual &amp; Operating Tax</t>
  </si>
  <si>
    <t xml:space="preserve">Interest Expense </t>
  </si>
  <si>
    <t>Debt Repaid</t>
  </si>
  <si>
    <t>Net Cash Flow</t>
  </si>
  <si>
    <t>Account Payable</t>
  </si>
  <si>
    <t>Differred Revenue</t>
  </si>
  <si>
    <t>Currenet Content Liabilities</t>
  </si>
  <si>
    <t>Accrued Expenses &amp; other Liabilities</t>
  </si>
  <si>
    <t>Other Current Asset</t>
  </si>
  <si>
    <t>PP&amp;E</t>
  </si>
  <si>
    <t xml:space="preserve"> </t>
  </si>
  <si>
    <r>
      <t xml:space="preserve">Particular </t>
    </r>
    <r>
      <rPr>
        <b/>
        <i/>
        <sz val="9"/>
        <color theme="1"/>
        <rFont val="Calibri"/>
        <family val="2"/>
      </rPr>
      <t>(in thousands)</t>
    </r>
  </si>
  <si>
    <r>
      <rPr>
        <b/>
        <sz val="11"/>
        <color theme="0"/>
        <rFont val="Calibri"/>
        <family val="2"/>
      </rPr>
      <t>Particular</t>
    </r>
    <r>
      <rPr>
        <b/>
        <sz val="10"/>
        <color theme="0"/>
        <rFont val="Calibri"/>
        <family val="2"/>
      </rPr>
      <t xml:space="preserve"> </t>
    </r>
    <r>
      <rPr>
        <b/>
        <i/>
        <sz val="9"/>
        <color theme="0"/>
        <rFont val="Calibri"/>
        <family val="2"/>
      </rPr>
      <t>(in thousands)</t>
    </r>
  </si>
  <si>
    <t>Check</t>
  </si>
  <si>
    <t>Netflix Raw Data</t>
  </si>
  <si>
    <t>Notes:</t>
  </si>
  <si>
    <t>Depreciation and Amortisation have taken from 10K Report 2024.</t>
  </si>
  <si>
    <t>Debt Taken calculated from the table given.</t>
  </si>
  <si>
    <t>Working Average Cost of Capital</t>
  </si>
  <si>
    <t>Risk Free Rate</t>
  </si>
  <si>
    <t>Market Risk Premium</t>
  </si>
  <si>
    <t>Beta</t>
  </si>
  <si>
    <t>Amount</t>
  </si>
  <si>
    <t>Cost of Equity</t>
  </si>
  <si>
    <t>Cost of Debt</t>
  </si>
  <si>
    <t>Weight of Equity</t>
  </si>
  <si>
    <t>Weight of Debt</t>
  </si>
  <si>
    <t>Equity</t>
  </si>
  <si>
    <t>Debt</t>
  </si>
  <si>
    <t>WACC</t>
  </si>
  <si>
    <t>DCF Model</t>
  </si>
  <si>
    <t>Discounted Factor</t>
  </si>
  <si>
    <t>No. of Years</t>
  </si>
  <si>
    <t>PV of Future Cash Flow</t>
  </si>
  <si>
    <t>Sum of PV</t>
  </si>
  <si>
    <t xml:space="preserve">PV of Terminal Value/Continuins Value </t>
  </si>
  <si>
    <t>Growth Rate/GDP Rate</t>
  </si>
  <si>
    <t>TV of Cash Flow</t>
  </si>
  <si>
    <t>Enterprise Value</t>
  </si>
  <si>
    <t>Equity Value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</si>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</sst>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;[Red]#,##0.00"/>
  </numFmts>
  <fonts count="19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9"/>
      <color theme="1"/>
      <name val="Calibri"/>
      <family val="2"/>
    </font>
    <font>
      <b/>
      <sz val="10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9"/>
      <color theme="1"/>
      <name val="Calibri"/>
      <family val="2"/>
    </font>
    <font>
      <b/>
      <sz val="10"/>
      <color theme="0"/>
      <name val="Calibri"/>
      <family val="2"/>
    </font>
    <font>
      <b/>
      <i/>
      <sz val="9"/>
      <color theme="0"/>
      <name val="Calibri"/>
      <family val="2"/>
    </font>
    <font>
      <sz val="22"/>
      <color theme="1"/>
      <name val="Calibri"/>
      <family val="2"/>
    </font>
    <font>
      <b/>
      <sz val="22"/>
      <color theme="1"/>
      <name val="Calibri"/>
      <family val="2"/>
    </font>
    <font>
      <b/>
      <sz val="20"/>
      <color theme="0"/>
      <name val="Calibri"/>
      <family val="2"/>
    </font>
    <font>
      <i/>
      <sz val="10"/>
      <color theme="0"/>
      <name val="Calibri"/>
      <family val="2"/>
    </font>
    <font>
      <sz val="11"/>
      <color theme="8" tint="-0.249977111117893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/>
    <xf numFmtId="2" fontId="1" fillId="2" borderId="0" xfId="0" applyNumberFormat="1" applyFont="1" applyFill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4" fontId="0" fillId="0" borderId="0" xfId="0" applyNumberFormat="1"/>
    <xf numFmtId="10" fontId="0" fillId="0" borderId="0" xfId="0" applyNumberFormat="1"/>
    <xf numFmtId="2" fontId="0" fillId="0" borderId="0" xfId="0" applyNumberFormat="1"/>
    <xf numFmtId="0" fontId="3" fillId="3" borderId="0" xfId="0" applyFont="1" applyFill="1"/>
    <xf numFmtId="0" fontId="0" fillId="3" borderId="0" xfId="0" applyFill="1"/>
    <xf numFmtId="0" fontId="4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4" fontId="0" fillId="0" borderId="0" xfId="0" applyNumberFormat="1" applyAlignment="1">
      <alignment horizontal="right"/>
    </xf>
    <xf numFmtId="1" fontId="0" fillId="0" borderId="0" xfId="0" applyNumberFormat="1"/>
    <xf numFmtId="0" fontId="1" fillId="0" borderId="0" xfId="0" applyFont="1"/>
    <xf numFmtId="0" fontId="8" fillId="0" borderId="0" xfId="0" applyFont="1"/>
    <xf numFmtId="0" fontId="9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0" fontId="1" fillId="0" borderId="3" xfId="0" applyFont="1" applyBorder="1"/>
    <xf numFmtId="165" fontId="1" fillId="0" borderId="3" xfId="0" applyNumberFormat="1" applyFont="1" applyBorder="1" applyAlignment="1">
      <alignment horizontal="right"/>
    </xf>
    <xf numFmtId="0" fontId="1" fillId="0" borderId="6" xfId="0" applyFont="1" applyBorder="1"/>
    <xf numFmtId="165" fontId="1" fillId="0" borderId="6" xfId="0" applyNumberFormat="1" applyFont="1" applyBorder="1" applyAlignment="1">
      <alignment horizontal="right"/>
    </xf>
    <xf numFmtId="0" fontId="7" fillId="4" borderId="0" xfId="0" applyFont="1" applyFill="1"/>
    <xf numFmtId="10" fontId="7" fillId="4" borderId="0" xfId="0" applyNumberFormat="1" applyFont="1" applyFill="1" applyAlignment="1">
      <alignment horizontal="right"/>
    </xf>
    <xf numFmtId="4" fontId="1" fillId="0" borderId="0" xfId="0" applyNumberFormat="1" applyFont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1" fillId="8" borderId="3" xfId="0" applyFont="1" applyFill="1" applyBorder="1"/>
    <xf numFmtId="0" fontId="1" fillId="8" borderId="6" xfId="0" applyFont="1" applyFill="1" applyBorder="1"/>
    <xf numFmtId="165" fontId="1" fillId="0" borderId="3" xfId="0" applyNumberFormat="1" applyFont="1" applyBorder="1"/>
    <xf numFmtId="0" fontId="1" fillId="9" borderId="3" xfId="0" applyFont="1" applyFill="1" applyBorder="1"/>
    <xf numFmtId="165" fontId="1" fillId="9" borderId="3" xfId="0" applyNumberFormat="1" applyFont="1" applyFill="1" applyBorder="1"/>
    <xf numFmtId="0" fontId="6" fillId="10" borderId="0" xfId="0" applyFont="1" applyFill="1" applyAlignment="1">
      <alignment horizontal="center"/>
    </xf>
    <xf numFmtId="0" fontId="12" fillId="10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horizontal="right"/>
    </xf>
    <xf numFmtId="165" fontId="1" fillId="0" borderId="0" xfId="0" applyNumberFormat="1" applyFont="1"/>
    <xf numFmtId="0" fontId="14" fillId="0" borderId="0" xfId="0" applyFont="1"/>
    <xf numFmtId="0" fontId="15" fillId="11" borderId="0" xfId="0" applyFont="1" applyFill="1"/>
    <xf numFmtId="0" fontId="16" fillId="10" borderId="0" xfId="0" applyFont="1" applyFill="1"/>
    <xf numFmtId="0" fontId="17" fillId="10" borderId="0" xfId="0" applyFont="1" applyFill="1"/>
    <xf numFmtId="0" fontId="5" fillId="0" borderId="0" xfId="0" applyFont="1"/>
    <xf numFmtId="0" fontId="5" fillId="6" borderId="0" xfId="0" applyFont="1" applyFill="1"/>
    <xf numFmtId="0" fontId="1" fillId="6" borderId="5" xfId="0" applyFont="1" applyFill="1" applyBorder="1"/>
    <xf numFmtId="4" fontId="1" fillId="6" borderId="5" xfId="0" applyNumberFormat="1" applyFont="1" applyFill="1" applyBorder="1" applyAlignment="1">
      <alignment horizontal="right"/>
    </xf>
    <xf numFmtId="0" fontId="1" fillId="12" borderId="0" xfId="0" applyFont="1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10" borderId="0" xfId="0" applyFill="1"/>
    <xf numFmtId="0" fontId="0" fillId="0" borderId="8" xfId="0" applyBorder="1"/>
    <xf numFmtId="10" fontId="0" fillId="0" borderId="8" xfId="0" applyNumberFormat="1" applyBorder="1"/>
    <xf numFmtId="1" fontId="0" fillId="0" borderId="8" xfId="0" applyNumberFormat="1" applyBorder="1"/>
    <xf numFmtId="10" fontId="0" fillId="13" borderId="8" xfId="0" applyNumberFormat="1" applyFill="1" applyBorder="1"/>
    <xf numFmtId="1" fontId="0" fillId="13" borderId="8" xfId="0" applyNumberFormat="1" applyFill="1" applyBorder="1"/>
    <xf numFmtId="4" fontId="1" fillId="0" borderId="6" xfId="0" applyNumberFormat="1" applyFont="1" applyBorder="1"/>
    <xf numFmtId="0" fontId="1" fillId="6" borderId="6" xfId="0" applyFont="1" applyFill="1" applyBorder="1"/>
    <xf numFmtId="165" fontId="1" fillId="6" borderId="6" xfId="0" applyNumberFormat="1" applyFont="1" applyFill="1" applyBorder="1"/>
    <xf numFmtId="0" fontId="1" fillId="7" borderId="7" xfId="0" applyFont="1" applyFill="1" applyBorder="1"/>
    <xf numFmtId="165" fontId="1" fillId="7" borderId="7" xfId="0" applyNumberFormat="1" applyFont="1" applyFill="1" applyBorder="1"/>
    <xf numFmtId="4" fontId="18" fillId="0" borderId="0" xfId="0" applyNumberFormat="1" applyFont="1" applyAlignment="1">
      <alignment horizontal="right"/>
    </xf>
    <xf numFmtId="4" fontId="18" fillId="0" borderId="1" xfId="0" applyNumberFormat="1" applyFont="1" applyBorder="1" applyAlignment="1">
      <alignment horizontal="right"/>
    </xf>
    <xf numFmtId="4" fontId="18" fillId="0" borderId="2" xfId="0" applyNumberFormat="1" applyFont="1" applyBorder="1" applyAlignment="1">
      <alignment horizontal="right"/>
    </xf>
    <xf numFmtId="3" fontId="18" fillId="0" borderId="0" xfId="0" applyNumberFormat="1" applyFont="1"/>
    <xf numFmtId="0" fontId="18" fillId="6" borderId="0" xfId="0" applyFont="1" applyFill="1"/>
    <xf numFmtId="4" fontId="18" fillId="0" borderId="0" xfId="0" applyNumberFormat="1" applyFont="1"/>
    <xf numFmtId="0" fontId="4" fillId="0" borderId="0" xfId="0" applyFont="1"/>
    <xf numFmtId="0" fontId="1" fillId="14" borderId="0" xfId="0" applyFont="1" applyFill="1"/>
    <xf numFmtId="10" fontId="1" fillId="14" borderId="0" xfId="0" applyNumberFormat="1" applyFont="1" applyFill="1"/>
    <xf numFmtId="165" fontId="1" fillId="12" borderId="0" xfId="0" applyNumberFormat="1" applyFont="1" applyFill="1"/>
    <xf numFmtId="0" fontId="6" fillId="15" borderId="0" xfId="0" applyFont="1" applyFill="1"/>
    <xf numFmtId="165" fontId="6" fillId="15" borderId="0" xfId="0" applyNumberFormat="1" applyFont="1" applyFill="1"/>
    <xf numFmtId="10" fontId="0" fillId="7" borderId="0" xfId="0" applyNumberFormat="1" applyFill="1"/>
    <xf numFmtId="0" fontId="10" fillId="16" borderId="0" xfId="0" applyFont="1" applyFill="1"/>
    <xf numFmtId="0" fontId="10" fillId="16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91441</xdr:colOff>
      <xdr:row>7</xdr:row>
      <xdr:rowOff>45720</xdr:rowOff>
    </xdr:from>
    <xdr:to>
      <xdr:col>24</xdr:col>
      <xdr:colOff>68581</xdr:colOff>
      <xdr:row>27</xdr:row>
      <xdr:rowOff>2718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8F4E72-C468-1A33-98DC-ED6B716FC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4641" y="1371600"/>
          <a:ext cx="8511540" cy="3652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3BE4-906F-4DFE-BBD3-E2E73E569F13}">
  <dimension ref="B2:E48"/>
  <sheetViews>
    <sheetView showGridLines="0" workbookViewId="0">
      <selection activeCell="J11" sqref="J11"/>
    </sheetView>
  </sheetViews>
  <sheetFormatPr defaultRowHeight="14.4" x14ac:dyDescent="0.3"/>
  <cols>
    <col min="1" max="1" width="1.88671875" customWidth="1"/>
    <col min="2" max="2" width="38.77734375" customWidth="1"/>
    <col min="3" max="5" width="18.5546875" customWidth="1"/>
    <col min="6" max="6" width="8.88671875" customWidth="1"/>
    <col min="15" max="15" width="11.21875" customWidth="1"/>
  </cols>
  <sheetData>
    <row r="2" spans="2:5" ht="28.8" x14ac:dyDescent="0.55000000000000004">
      <c r="B2" s="46" t="s">
        <v>141</v>
      </c>
      <c r="C2" s="46"/>
      <c r="D2" s="46"/>
      <c r="E2" s="46"/>
    </row>
    <row r="3" spans="2:5" ht="13.8" customHeight="1" x14ac:dyDescent="0.55000000000000004">
      <c r="B3" s="45"/>
    </row>
    <row r="4" spans="2:5" x14ac:dyDescent="0.3">
      <c r="B4" s="1" t="s">
        <v>21</v>
      </c>
      <c r="C4" s="2" t="s">
        <v>2</v>
      </c>
      <c r="D4" s="2" t="s">
        <v>3</v>
      </c>
      <c r="E4" s="2" t="s">
        <v>4</v>
      </c>
    </row>
    <row r="5" spans="2:5" x14ac:dyDescent="0.3">
      <c r="B5" t="s">
        <v>1</v>
      </c>
      <c r="C5" s="67" t="s">
        <v>5</v>
      </c>
      <c r="D5" s="67" t="s">
        <v>6</v>
      </c>
      <c r="E5" s="67" t="s">
        <v>7</v>
      </c>
    </row>
    <row r="6" spans="2:5" x14ac:dyDescent="0.3">
      <c r="B6" t="s">
        <v>8</v>
      </c>
      <c r="C6" s="67">
        <v>19168285</v>
      </c>
      <c r="D6" s="67">
        <v>19715368</v>
      </c>
      <c r="E6" s="67">
        <v>21038464</v>
      </c>
    </row>
    <row r="7" spans="2:5" x14ac:dyDescent="0.3">
      <c r="B7" t="s">
        <v>9</v>
      </c>
      <c r="C7" s="67">
        <v>2530502</v>
      </c>
      <c r="D7" s="67">
        <v>2657883</v>
      </c>
      <c r="E7" s="67">
        <v>2917554</v>
      </c>
    </row>
    <row r="8" spans="2:5" x14ac:dyDescent="0.3">
      <c r="B8" t="s">
        <v>10</v>
      </c>
      <c r="C8" s="67">
        <v>2711041</v>
      </c>
      <c r="D8" s="67">
        <v>2675758</v>
      </c>
      <c r="E8" s="67">
        <v>2925295</v>
      </c>
    </row>
    <row r="9" spans="2:5" x14ac:dyDescent="0.3">
      <c r="B9" t="s">
        <v>11</v>
      </c>
      <c r="C9" s="67">
        <v>1572891</v>
      </c>
      <c r="D9" s="67">
        <v>1720285</v>
      </c>
      <c r="E9" s="67">
        <v>1702039</v>
      </c>
    </row>
    <row r="10" spans="2:5" x14ac:dyDescent="0.3">
      <c r="B10" s="3" t="s">
        <v>12</v>
      </c>
      <c r="C10" s="68">
        <v>5632831</v>
      </c>
      <c r="D10" s="68">
        <v>6954003</v>
      </c>
      <c r="E10" s="68">
        <v>10417614</v>
      </c>
    </row>
    <row r="11" spans="2:5" x14ac:dyDescent="0.3">
      <c r="B11" t="s">
        <v>0</v>
      </c>
      <c r="C11" s="16"/>
      <c r="D11" s="16"/>
      <c r="E11" s="16"/>
    </row>
    <row r="12" spans="2:5" x14ac:dyDescent="0.3">
      <c r="B12" t="s">
        <v>13</v>
      </c>
      <c r="C12" s="67">
        <v>-706212</v>
      </c>
      <c r="D12" s="67">
        <v>-699826</v>
      </c>
      <c r="E12" s="67">
        <v>-718733</v>
      </c>
    </row>
    <row r="13" spans="2:5" x14ac:dyDescent="0.3">
      <c r="B13" t="s">
        <v>17</v>
      </c>
      <c r="C13" s="67">
        <v>337310</v>
      </c>
      <c r="D13" s="67">
        <v>-48772</v>
      </c>
      <c r="E13" s="67">
        <v>266776</v>
      </c>
    </row>
    <row r="14" spans="2:5" x14ac:dyDescent="0.3">
      <c r="B14" s="3" t="s">
        <v>18</v>
      </c>
      <c r="C14" s="68">
        <v>5263929</v>
      </c>
      <c r="D14" s="68">
        <v>6205405</v>
      </c>
      <c r="E14" s="68">
        <v>9965657</v>
      </c>
    </row>
    <row r="15" spans="2:5" x14ac:dyDescent="0.3">
      <c r="B15" t="s">
        <v>19</v>
      </c>
      <c r="C15" s="67">
        <v>-772005</v>
      </c>
      <c r="D15" s="67">
        <v>-797415</v>
      </c>
      <c r="E15" s="67">
        <v>-1254026</v>
      </c>
    </row>
    <row r="16" spans="2:5" ht="15" thickBot="1" x14ac:dyDescent="0.35">
      <c r="B16" s="4" t="s">
        <v>20</v>
      </c>
      <c r="C16" s="69" t="s">
        <v>14</v>
      </c>
      <c r="D16" s="69" t="s">
        <v>15</v>
      </c>
      <c r="E16" s="69" t="s">
        <v>16</v>
      </c>
    </row>
    <row r="19" spans="2:5" x14ac:dyDescent="0.3">
      <c r="B19" s="1" t="s">
        <v>22</v>
      </c>
      <c r="C19" s="2" t="s">
        <v>2</v>
      </c>
      <c r="D19" s="2" t="s">
        <v>3</v>
      </c>
      <c r="E19" s="2" t="s">
        <v>4</v>
      </c>
    </row>
    <row r="20" spans="2:5" x14ac:dyDescent="0.3">
      <c r="B20" t="s">
        <v>23</v>
      </c>
    </row>
    <row r="21" spans="2:5" x14ac:dyDescent="0.3">
      <c r="B21" t="s">
        <v>24</v>
      </c>
    </row>
    <row r="22" spans="2:5" x14ac:dyDescent="0.3">
      <c r="B22" t="s">
        <v>25</v>
      </c>
      <c r="C22" s="67">
        <v>5147176</v>
      </c>
      <c r="D22" s="67">
        <v>7116913</v>
      </c>
      <c r="E22" s="67">
        <v>7804733</v>
      </c>
    </row>
    <row r="23" spans="2:5" x14ac:dyDescent="0.3">
      <c r="B23" t="s">
        <v>26</v>
      </c>
      <c r="C23" s="67">
        <v>911276</v>
      </c>
      <c r="D23" s="67">
        <v>20973</v>
      </c>
      <c r="E23" s="67">
        <v>1779006</v>
      </c>
    </row>
    <row r="24" spans="2:5" x14ac:dyDescent="0.3">
      <c r="B24" t="s">
        <v>27</v>
      </c>
      <c r="C24" s="67">
        <v>3208021</v>
      </c>
      <c r="D24" s="67">
        <v>2780247</v>
      </c>
      <c r="E24" s="67">
        <v>3516640</v>
      </c>
    </row>
    <row r="25" spans="2:5" x14ac:dyDescent="0.3">
      <c r="B25" s="5" t="s">
        <v>28</v>
      </c>
      <c r="C25" s="67">
        <v>9266473</v>
      </c>
      <c r="D25" s="67">
        <v>9918133</v>
      </c>
      <c r="E25" s="67">
        <v>13100379</v>
      </c>
    </row>
    <row r="26" spans="2:5" x14ac:dyDescent="0.3">
      <c r="B26" t="s">
        <v>29</v>
      </c>
      <c r="C26" s="67">
        <v>32736713</v>
      </c>
      <c r="D26" s="67">
        <v>31658056</v>
      </c>
      <c r="E26" s="67">
        <v>32452462</v>
      </c>
    </row>
    <row r="27" spans="2:5" x14ac:dyDescent="0.3">
      <c r="B27" t="s">
        <v>30</v>
      </c>
      <c r="C27" s="67">
        <v>1398257</v>
      </c>
      <c r="D27" s="67">
        <v>1491444</v>
      </c>
      <c r="E27" s="67">
        <v>1593756</v>
      </c>
    </row>
    <row r="28" spans="2:5" ht="15" thickBot="1" x14ac:dyDescent="0.35">
      <c r="B28" t="s">
        <v>31</v>
      </c>
      <c r="C28" s="67">
        <v>5193325</v>
      </c>
      <c r="D28" s="67">
        <v>5664359</v>
      </c>
      <c r="E28" s="67">
        <v>6483777</v>
      </c>
    </row>
    <row r="29" spans="2:5" ht="15" thickBot="1" x14ac:dyDescent="0.35">
      <c r="B29" s="6" t="s">
        <v>32</v>
      </c>
      <c r="C29" s="67">
        <v>48594768</v>
      </c>
      <c r="D29" s="67">
        <v>48731992</v>
      </c>
      <c r="E29" s="67">
        <v>53630374</v>
      </c>
    </row>
    <row r="30" spans="2:5" x14ac:dyDescent="0.3">
      <c r="B30" t="s">
        <v>33</v>
      </c>
      <c r="C30" s="16"/>
      <c r="D30" s="16"/>
      <c r="E30" s="16"/>
    </row>
    <row r="31" spans="2:5" x14ac:dyDescent="0.3">
      <c r="B31" t="s">
        <v>34</v>
      </c>
      <c r="C31" s="16"/>
      <c r="D31" s="16"/>
      <c r="E31" s="16"/>
    </row>
    <row r="32" spans="2:5" x14ac:dyDescent="0.3">
      <c r="B32" t="s">
        <v>35</v>
      </c>
      <c r="C32" s="67">
        <v>4480150</v>
      </c>
      <c r="D32" s="67">
        <v>4466470</v>
      </c>
      <c r="E32" s="67">
        <v>4393681</v>
      </c>
    </row>
    <row r="33" spans="2:5" x14ac:dyDescent="0.3">
      <c r="B33" t="s">
        <v>36</v>
      </c>
      <c r="C33" s="67">
        <v>671513</v>
      </c>
      <c r="D33" s="67">
        <v>747412</v>
      </c>
      <c r="E33" s="67">
        <v>899909</v>
      </c>
    </row>
    <row r="34" spans="2:5" x14ac:dyDescent="0.3">
      <c r="B34" t="s">
        <v>37</v>
      </c>
      <c r="C34" s="67">
        <v>1514650</v>
      </c>
      <c r="D34" s="67">
        <v>1803960</v>
      </c>
      <c r="E34" s="67">
        <v>2156544</v>
      </c>
    </row>
    <row r="35" spans="2:5" x14ac:dyDescent="0.3">
      <c r="B35" t="s">
        <v>38</v>
      </c>
      <c r="C35" s="67">
        <v>1264661</v>
      </c>
      <c r="D35" s="67">
        <v>1442969</v>
      </c>
      <c r="E35" s="67">
        <v>1520813</v>
      </c>
    </row>
    <row r="36" spans="2:5" x14ac:dyDescent="0.3">
      <c r="B36" t="s">
        <v>39</v>
      </c>
      <c r="C36" s="16" t="s">
        <v>52</v>
      </c>
      <c r="D36" s="67">
        <v>399844</v>
      </c>
      <c r="E36" s="67">
        <v>1784453</v>
      </c>
    </row>
    <row r="37" spans="2:5" x14ac:dyDescent="0.3">
      <c r="B37" s="5" t="s">
        <v>40</v>
      </c>
      <c r="C37" s="67">
        <v>7930974</v>
      </c>
      <c r="D37" s="67">
        <v>8860655</v>
      </c>
      <c r="E37" s="67">
        <v>10755400</v>
      </c>
    </row>
    <row r="38" spans="2:5" x14ac:dyDescent="0.3">
      <c r="B38" t="s">
        <v>41</v>
      </c>
      <c r="C38" s="67">
        <v>3081277</v>
      </c>
      <c r="D38" s="67">
        <v>2578173</v>
      </c>
      <c r="E38" s="67">
        <v>1780806</v>
      </c>
    </row>
    <row r="39" spans="2:5" x14ac:dyDescent="0.3">
      <c r="B39" t="s">
        <v>42</v>
      </c>
      <c r="C39" s="67">
        <v>14353076</v>
      </c>
      <c r="D39" s="67">
        <v>14143417</v>
      </c>
      <c r="E39" s="67">
        <v>13798351</v>
      </c>
    </row>
    <row r="40" spans="2:5" x14ac:dyDescent="0.3">
      <c r="B40" t="s">
        <v>43</v>
      </c>
      <c r="C40" s="67">
        <v>2452040</v>
      </c>
      <c r="D40" s="67">
        <v>2561434</v>
      </c>
      <c r="E40" s="67">
        <v>2552250</v>
      </c>
    </row>
    <row r="41" spans="2:5" x14ac:dyDescent="0.3">
      <c r="B41" s="5" t="s">
        <v>44</v>
      </c>
      <c r="C41" s="67">
        <v>27817367</v>
      </c>
      <c r="D41" s="67">
        <v>28143679</v>
      </c>
      <c r="E41" s="67">
        <v>28886807</v>
      </c>
    </row>
    <row r="42" spans="2:5" x14ac:dyDescent="0.3">
      <c r="B42" t="s">
        <v>45</v>
      </c>
      <c r="C42" s="16"/>
      <c r="D42" s="16"/>
      <c r="E42" s="16"/>
    </row>
    <row r="43" spans="2:5" x14ac:dyDescent="0.3">
      <c r="B43" t="s">
        <v>46</v>
      </c>
      <c r="C43" s="67">
        <v>4637601</v>
      </c>
      <c r="D43" s="67">
        <v>5145172</v>
      </c>
      <c r="E43" s="67">
        <v>6252126</v>
      </c>
    </row>
    <row r="44" spans="2:5" x14ac:dyDescent="0.3">
      <c r="B44" t="s">
        <v>47</v>
      </c>
      <c r="C44" s="67">
        <v>-824190</v>
      </c>
      <c r="D44" s="67">
        <v>-6922200</v>
      </c>
      <c r="E44" s="67">
        <v>-13171638</v>
      </c>
    </row>
    <row r="45" spans="2:5" x14ac:dyDescent="0.3">
      <c r="B45" t="s">
        <v>48</v>
      </c>
      <c r="C45" s="67">
        <v>-217306</v>
      </c>
      <c r="D45" s="67">
        <v>-223945</v>
      </c>
      <c r="E45" s="67">
        <v>362162</v>
      </c>
    </row>
    <row r="46" spans="2:5" x14ac:dyDescent="0.3">
      <c r="B46" t="s">
        <v>49</v>
      </c>
      <c r="C46" s="67">
        <v>17181296</v>
      </c>
      <c r="D46" s="67">
        <v>22589286</v>
      </c>
      <c r="E46" s="67">
        <v>31300917</v>
      </c>
    </row>
    <row r="47" spans="2:5" ht="15" thickBot="1" x14ac:dyDescent="0.35">
      <c r="B47" s="3" t="s">
        <v>50</v>
      </c>
      <c r="C47" s="67">
        <v>20777401</v>
      </c>
      <c r="D47" s="67">
        <v>20588313</v>
      </c>
      <c r="E47" s="67">
        <v>24743567</v>
      </c>
    </row>
    <row r="48" spans="2:5" ht="15" thickBot="1" x14ac:dyDescent="0.35">
      <c r="B48" s="6" t="s">
        <v>51</v>
      </c>
      <c r="C48" s="67">
        <v>48594768</v>
      </c>
      <c r="D48" s="67">
        <v>48731992</v>
      </c>
      <c r="E48" s="67">
        <v>53630374</v>
      </c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5884-BA9B-4273-AAA5-A0E349AC7B01}">
  <dimension ref="B1:M35"/>
  <sheetViews>
    <sheetView showGridLines="0" topLeftCell="B1" workbookViewId="0">
      <pane ySplit="2" topLeftCell="A3" activePane="bottomLeft" state="frozen"/>
      <selection pane="bottomLeft" activeCell="B1" sqref="B1:M2"/>
    </sheetView>
  </sheetViews>
  <sheetFormatPr defaultRowHeight="14.4" x14ac:dyDescent="0.3"/>
  <cols>
    <col min="1" max="1" width="1.88671875" customWidth="1"/>
    <col min="2" max="2" width="47.77734375" customWidth="1"/>
    <col min="3" max="10" width="16" customWidth="1"/>
    <col min="11" max="11" width="8.88671875" customWidth="1"/>
    <col min="13" max="13" width="11.6640625" customWidth="1"/>
    <col min="20" max="20" width="8.77734375" customWidth="1"/>
    <col min="22" max="22" width="10.44140625" customWidth="1"/>
  </cols>
  <sheetData>
    <row r="1" spans="2:13" ht="25.8" x14ac:dyDescent="0.5">
      <c r="B1" s="47" t="s">
        <v>57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2:13" x14ac:dyDescent="0.3">
      <c r="B2" s="48" t="s">
        <v>58</v>
      </c>
      <c r="C2" s="42">
        <v>2022</v>
      </c>
      <c r="D2" s="42">
        <v>2023</v>
      </c>
      <c r="E2" s="42">
        <v>2024</v>
      </c>
      <c r="F2" s="43" t="s">
        <v>64</v>
      </c>
      <c r="G2" s="43" t="s">
        <v>65</v>
      </c>
      <c r="H2" s="43" t="s">
        <v>66</v>
      </c>
      <c r="I2" s="43" t="s">
        <v>67</v>
      </c>
      <c r="J2" s="43" t="s">
        <v>68</v>
      </c>
      <c r="K2" s="56"/>
      <c r="L2" s="56"/>
      <c r="M2" s="56"/>
    </row>
    <row r="4" spans="2:13" x14ac:dyDescent="0.3">
      <c r="B4" t="s">
        <v>60</v>
      </c>
      <c r="C4" s="16">
        <f>C11+C18+C25+C32</f>
        <v>31469852</v>
      </c>
      <c r="D4" s="16">
        <f t="shared" ref="D4:J4" si="0">D11+D18+D25+D32</f>
        <v>33640458</v>
      </c>
      <c r="E4" s="16">
        <f t="shared" si="0"/>
        <v>39000966</v>
      </c>
      <c r="F4" s="16">
        <f t="shared" si="0"/>
        <v>42853158.465481073</v>
      </c>
      <c r="G4" s="16">
        <f t="shared" si="0"/>
        <v>47947760.714489639</v>
      </c>
      <c r="H4" s="16">
        <f t="shared" si="0"/>
        <v>53585176.919550046</v>
      </c>
      <c r="I4" s="16">
        <f t="shared" si="0"/>
        <v>60283217.449275456</v>
      </c>
      <c r="J4" s="16">
        <f t="shared" si="0"/>
        <v>67614889.06063363</v>
      </c>
    </row>
    <row r="5" spans="2:13" x14ac:dyDescent="0.3">
      <c r="B5" t="s">
        <v>59</v>
      </c>
      <c r="C5" s="70">
        <v>145698</v>
      </c>
      <c r="D5" s="70">
        <v>82839</v>
      </c>
      <c r="E5" s="7" t="s">
        <v>52</v>
      </c>
      <c r="F5" s="7" t="s">
        <v>52</v>
      </c>
      <c r="G5" s="7" t="s">
        <v>52</v>
      </c>
      <c r="H5" s="7" t="s">
        <v>52</v>
      </c>
      <c r="I5" s="7" t="s">
        <v>52</v>
      </c>
      <c r="J5" s="7" t="s">
        <v>52</v>
      </c>
    </row>
    <row r="6" spans="2:13" ht="15" thickBot="1" x14ac:dyDescent="0.35">
      <c r="B6" t="s">
        <v>61</v>
      </c>
      <c r="D6" s="9">
        <f>D7/C7-1</f>
        <v>6.6668047843545297E-2</v>
      </c>
      <c r="E6" s="9">
        <f t="shared" ref="E6:J6" si="1">E7/D7-1</f>
        <v>0.15649919994477401</v>
      </c>
      <c r="F6" s="9">
        <f t="shared" si="1"/>
        <v>9.8771719282057635E-2</v>
      </c>
      <c r="G6" s="9">
        <f t="shared" si="1"/>
        <v>0.11888510512270289</v>
      </c>
      <c r="H6" s="9">
        <f t="shared" si="1"/>
        <v>0.11757412903240749</v>
      </c>
      <c r="I6" s="9">
        <f t="shared" si="1"/>
        <v>0.12499801091972684</v>
      </c>
      <c r="J6" s="9">
        <f t="shared" si="1"/>
        <v>0.1216204429952219</v>
      </c>
    </row>
    <row r="7" spans="2:13" ht="15.6" thickTop="1" thickBot="1" x14ac:dyDescent="0.35">
      <c r="B7" s="51" t="s">
        <v>62</v>
      </c>
      <c r="C7" s="52">
        <f>C4+C5</f>
        <v>31615550</v>
      </c>
      <c r="D7" s="52">
        <f t="shared" ref="D7" si="2">D4+D5</f>
        <v>33723297</v>
      </c>
      <c r="E7" s="52">
        <f>E4</f>
        <v>39000966</v>
      </c>
      <c r="F7" s="52">
        <f t="shared" ref="F7:J7" si="3">F4</f>
        <v>42853158.465481073</v>
      </c>
      <c r="G7" s="52">
        <f t="shared" si="3"/>
        <v>47947760.714489639</v>
      </c>
      <c r="H7" s="52">
        <f t="shared" si="3"/>
        <v>53585176.919550046</v>
      </c>
      <c r="I7" s="52">
        <f t="shared" si="3"/>
        <v>60283217.449275456</v>
      </c>
      <c r="J7" s="52">
        <f t="shared" si="3"/>
        <v>67614889.06063363</v>
      </c>
    </row>
    <row r="8" spans="2:13" ht="15" thickTop="1" x14ac:dyDescent="0.3">
      <c r="C8" s="16"/>
      <c r="D8" s="16"/>
      <c r="E8" s="16"/>
      <c r="F8" s="16"/>
      <c r="G8" s="16"/>
      <c r="H8" s="16"/>
      <c r="I8" s="16"/>
      <c r="J8" s="16"/>
    </row>
    <row r="9" spans="2:13" x14ac:dyDescent="0.3">
      <c r="C9" s="16"/>
      <c r="D9" s="16"/>
      <c r="E9" s="16"/>
      <c r="F9" s="16"/>
      <c r="G9" s="16"/>
      <c r="H9" s="16"/>
      <c r="I9" s="16"/>
      <c r="J9" s="16"/>
    </row>
    <row r="10" spans="2:13" ht="15.6" x14ac:dyDescent="0.3">
      <c r="B10" s="49" t="s">
        <v>71</v>
      </c>
      <c r="C10" s="49"/>
      <c r="D10" s="49"/>
      <c r="E10" s="49"/>
      <c r="F10" s="49"/>
      <c r="G10" s="49"/>
      <c r="H10" s="49"/>
      <c r="I10" s="49"/>
      <c r="J10" s="49"/>
      <c r="K10" s="54" t="s">
        <v>53</v>
      </c>
      <c r="L10" s="54"/>
      <c r="M10" s="54"/>
    </row>
    <row r="11" spans="2:13" x14ac:dyDescent="0.3">
      <c r="B11" t="s">
        <v>63</v>
      </c>
      <c r="C11" s="67">
        <v>14084643</v>
      </c>
      <c r="D11" s="67">
        <v>14873783</v>
      </c>
      <c r="E11" s="67">
        <v>17359369</v>
      </c>
      <c r="F11" s="16">
        <f>F13*F12</f>
        <v>17706788.535255954</v>
      </c>
      <c r="G11" s="16">
        <f t="shared" ref="G11:J11" si="4">G13*G12</f>
        <v>19224434.504582658</v>
      </c>
      <c r="H11" s="16">
        <f t="shared" si="4"/>
        <v>20689764.513573963</v>
      </c>
      <c r="I11" s="16">
        <f t="shared" si="4"/>
        <v>22364933.084737748</v>
      </c>
      <c r="J11" s="16">
        <f t="shared" si="4"/>
        <v>24122686.231548898</v>
      </c>
      <c r="K11" s="55">
        <v>2022</v>
      </c>
      <c r="L11" s="55">
        <v>2023</v>
      </c>
      <c r="M11" s="55">
        <v>2024</v>
      </c>
    </row>
    <row r="12" spans="2:13" x14ac:dyDescent="0.3">
      <c r="B12" t="s">
        <v>69</v>
      </c>
      <c r="C12">
        <f>K12*12</f>
        <v>190.32</v>
      </c>
      <c r="D12">
        <f t="shared" ref="D12:E12" si="5">L12*12</f>
        <v>195.36</v>
      </c>
      <c r="E12">
        <f t="shared" si="5"/>
        <v>206.39999999999998</v>
      </c>
      <c r="F12">
        <f>AVERAGE($C$12:$E$12)</f>
        <v>197.35999999999999</v>
      </c>
      <c r="G12">
        <f t="shared" ref="G12:J12" si="6">AVERAGE($C$12:$E$12)</f>
        <v>197.35999999999999</v>
      </c>
      <c r="H12">
        <f t="shared" si="6"/>
        <v>197.35999999999999</v>
      </c>
      <c r="I12">
        <f t="shared" si="6"/>
        <v>197.35999999999999</v>
      </c>
      <c r="J12">
        <f t="shared" si="6"/>
        <v>197.35999999999999</v>
      </c>
      <c r="K12" s="71">
        <v>15.86</v>
      </c>
      <c r="L12" s="71">
        <v>16.28</v>
      </c>
      <c r="M12" s="71">
        <v>17.2</v>
      </c>
    </row>
    <row r="13" spans="2:13" x14ac:dyDescent="0.3">
      <c r="B13" t="s">
        <v>70</v>
      </c>
      <c r="C13" s="10">
        <f>C11/C12</f>
        <v>74005.059899117274</v>
      </c>
      <c r="D13" s="10">
        <f t="shared" ref="D13:E13" si="7">D11/D12</f>
        <v>76135.252866502866</v>
      </c>
      <c r="E13" s="10">
        <f t="shared" si="7"/>
        <v>84105.46996124032</v>
      </c>
      <c r="F13" s="10">
        <f>E13*(1+F14)</f>
        <v>89718.223222821005</v>
      </c>
      <c r="G13" s="10">
        <f t="shared" ref="G13:J13" si="8">F13*(1+G14)</f>
        <v>97407.957562741489</v>
      </c>
      <c r="H13" s="10">
        <f t="shared" si="8"/>
        <v>104832.61306026533</v>
      </c>
      <c r="I13" s="10">
        <f t="shared" si="8"/>
        <v>113320.49597049934</v>
      </c>
      <c r="J13" s="10">
        <f t="shared" si="8"/>
        <v>122226.82525105847</v>
      </c>
    </row>
    <row r="14" spans="2:13" x14ac:dyDescent="0.3">
      <c r="B14" t="s">
        <v>61</v>
      </c>
      <c r="C14" s="7" t="s">
        <v>52</v>
      </c>
      <c r="D14" s="9">
        <f>D13/C13-1</f>
        <v>2.8784423258212843E-2</v>
      </c>
      <c r="E14" s="9">
        <f>E13/D13-1</f>
        <v>0.10468497568022261</v>
      </c>
      <c r="F14" s="9">
        <f>AVERAGE(D14:E14)</f>
        <v>6.6734699469217729E-2</v>
      </c>
      <c r="G14" s="9">
        <f>AVERAGE(E14:F14)</f>
        <v>8.5709837574720171E-2</v>
      </c>
      <c r="H14" s="9">
        <f t="shared" ref="H14:I14" si="9">AVERAGE(F14:G14)</f>
        <v>7.622226852196895E-2</v>
      </c>
      <c r="I14" s="9">
        <f t="shared" si="9"/>
        <v>8.0966053048344561E-2</v>
      </c>
      <c r="J14" s="9">
        <f>AVERAGE(H14:I14)</f>
        <v>7.8594160785156755E-2</v>
      </c>
    </row>
    <row r="17" spans="2:13" ht="15.6" x14ac:dyDescent="0.3">
      <c r="B17" s="50" t="s">
        <v>72</v>
      </c>
      <c r="C17" s="50"/>
      <c r="D17" s="50"/>
      <c r="E17" s="50"/>
      <c r="F17" s="50"/>
      <c r="G17" s="50"/>
      <c r="H17" s="50"/>
      <c r="I17" s="50"/>
      <c r="J17" s="50"/>
      <c r="K17" s="54" t="s">
        <v>54</v>
      </c>
      <c r="L17" s="54"/>
      <c r="M17" s="54"/>
    </row>
    <row r="18" spans="2:13" x14ac:dyDescent="0.3">
      <c r="B18" t="s">
        <v>1</v>
      </c>
      <c r="C18" s="72">
        <v>9745015</v>
      </c>
      <c r="D18" s="72">
        <v>10556487</v>
      </c>
      <c r="E18" s="72">
        <v>12387035</v>
      </c>
      <c r="F18" s="8">
        <f>F20*F19</f>
        <v>13965616.749085454</v>
      </c>
      <c r="G18" s="8">
        <f t="shared" ref="G18:J18" si="10">G20*G19</f>
        <v>16013456.335837467</v>
      </c>
      <c r="H18" s="8">
        <f t="shared" si="10"/>
        <v>18224384.108022906</v>
      </c>
      <c r="I18" s="8">
        <f t="shared" si="10"/>
        <v>20818636.585343305</v>
      </c>
      <c r="J18" s="8">
        <f t="shared" si="10"/>
        <v>23737591.536654532</v>
      </c>
      <c r="K18" s="55">
        <v>2022</v>
      </c>
      <c r="L18" s="55">
        <v>2023</v>
      </c>
      <c r="M18" s="55">
        <v>2024</v>
      </c>
    </row>
    <row r="19" spans="2:13" x14ac:dyDescent="0.3">
      <c r="B19" t="s">
        <v>69</v>
      </c>
      <c r="C19">
        <f>K19*12</f>
        <v>131.88</v>
      </c>
      <c r="D19">
        <f t="shared" ref="D19:E19" si="11">L19*12</f>
        <v>130.44</v>
      </c>
      <c r="E19">
        <f t="shared" si="11"/>
        <v>131.52000000000001</v>
      </c>
      <c r="F19">
        <f>AVERAGE($C$19:$E$19)</f>
        <v>131.28</v>
      </c>
      <c r="G19">
        <f t="shared" ref="G19:J19" si="12">AVERAGE($C$19:$E$19)</f>
        <v>131.28</v>
      </c>
      <c r="H19">
        <f t="shared" si="12"/>
        <v>131.28</v>
      </c>
      <c r="I19">
        <f t="shared" si="12"/>
        <v>131.28</v>
      </c>
      <c r="J19">
        <f t="shared" si="12"/>
        <v>131.28</v>
      </c>
      <c r="K19" s="71">
        <v>10.99</v>
      </c>
      <c r="L19" s="71">
        <v>10.87</v>
      </c>
      <c r="M19" s="71">
        <v>10.96</v>
      </c>
    </row>
    <row r="20" spans="2:13" x14ac:dyDescent="0.3">
      <c r="B20" t="s">
        <v>70</v>
      </c>
      <c r="C20" s="10">
        <f>C18/C19</f>
        <v>73893.046709129514</v>
      </c>
      <c r="D20" s="10">
        <f t="shared" ref="D20:E20" si="13">D18/D19</f>
        <v>80929.829806807727</v>
      </c>
      <c r="E20" s="10">
        <f t="shared" si="13"/>
        <v>94183.66027980535</v>
      </c>
      <c r="F20" s="10">
        <f>E20*(1+F21)</f>
        <v>106380.38352441693</v>
      </c>
      <c r="G20" s="10">
        <f t="shared" ref="G20:J20" si="14">F20*(1+G21)</f>
        <v>121979.40536134572</v>
      </c>
      <c r="H20" s="10">
        <f t="shared" si="14"/>
        <v>138820.7198965791</v>
      </c>
      <c r="I20" s="10">
        <f t="shared" si="14"/>
        <v>158581.93620767296</v>
      </c>
      <c r="J20" s="10">
        <f t="shared" si="14"/>
        <v>180816.5107910918</v>
      </c>
    </row>
    <row r="21" spans="2:13" x14ac:dyDescent="0.3">
      <c r="B21" t="s">
        <v>61</v>
      </c>
      <c r="C21" s="7" t="s">
        <v>52</v>
      </c>
      <c r="D21" s="9">
        <f>D20/C20-1</f>
        <v>9.5229299792950917E-2</v>
      </c>
      <c r="E21" s="9">
        <f>E20/D20-1</f>
        <v>0.16376940992754596</v>
      </c>
      <c r="F21" s="9">
        <f>AVERAGE(D21:E21)</f>
        <v>0.12949935486024844</v>
      </c>
      <c r="G21" s="9">
        <f t="shared" ref="G21:J21" si="15">AVERAGE(E21:F21)</f>
        <v>0.1466343823938972</v>
      </c>
      <c r="H21" s="9">
        <f t="shared" si="15"/>
        <v>0.13806686862707282</v>
      </c>
      <c r="I21" s="9">
        <f t="shared" si="15"/>
        <v>0.142350625510485</v>
      </c>
      <c r="J21" s="9">
        <f t="shared" si="15"/>
        <v>0.14020874706877889</v>
      </c>
    </row>
    <row r="24" spans="2:13" ht="15.6" x14ac:dyDescent="0.3">
      <c r="B24" s="50" t="s">
        <v>73</v>
      </c>
      <c r="C24" s="50"/>
      <c r="D24" s="50"/>
      <c r="E24" s="50"/>
      <c r="F24" s="50"/>
      <c r="G24" s="50"/>
      <c r="H24" s="50"/>
      <c r="I24" s="50"/>
      <c r="J24" s="50"/>
      <c r="K24" s="54" t="s">
        <v>55</v>
      </c>
      <c r="L24" s="54"/>
      <c r="M24" s="54"/>
    </row>
    <row r="25" spans="2:13" x14ac:dyDescent="0.3">
      <c r="B25" t="s">
        <v>1</v>
      </c>
      <c r="C25" s="72">
        <v>4069973</v>
      </c>
      <c r="D25" s="72">
        <v>4446461</v>
      </c>
      <c r="E25" s="72">
        <v>4839816</v>
      </c>
      <c r="F25" s="8">
        <f>F27*F26</f>
        <v>5500076.612615102</v>
      </c>
      <c r="G25" s="8">
        <f t="shared" ref="G25:J25" si="16">G27*G26</f>
        <v>6087871.481743468</v>
      </c>
      <c r="H25" s="8">
        <f t="shared" si="16"/>
        <v>6738484.1682420848</v>
      </c>
      <c r="I25" s="8">
        <f t="shared" si="16"/>
        <v>7458628.0314585967</v>
      </c>
      <c r="J25" s="8">
        <f t="shared" si="16"/>
        <v>8255733.8895066101</v>
      </c>
      <c r="K25" s="55">
        <v>2022</v>
      </c>
      <c r="L25" s="55">
        <v>2023</v>
      </c>
      <c r="M25" s="55">
        <v>2024</v>
      </c>
    </row>
    <row r="26" spans="2:13" x14ac:dyDescent="0.3">
      <c r="B26" t="s">
        <v>69</v>
      </c>
      <c r="C26">
        <f>K26*12</f>
        <v>101.76</v>
      </c>
      <c r="D26">
        <f t="shared" ref="D26:E26" si="17">L26*12</f>
        <v>103.92</v>
      </c>
      <c r="E26">
        <f t="shared" si="17"/>
        <v>98.88</v>
      </c>
      <c r="F26">
        <f>AVERAGE($C$26:$E$26)</f>
        <v>101.52</v>
      </c>
      <c r="G26">
        <f t="shared" ref="G26:J26" si="18">AVERAGE($C$26:$E$26)</f>
        <v>101.52</v>
      </c>
      <c r="H26">
        <f t="shared" si="18"/>
        <v>101.52</v>
      </c>
      <c r="I26">
        <f t="shared" si="18"/>
        <v>101.52</v>
      </c>
      <c r="J26">
        <f t="shared" si="18"/>
        <v>101.52</v>
      </c>
      <c r="K26" s="71">
        <v>8.48</v>
      </c>
      <c r="L26" s="71">
        <v>8.66</v>
      </c>
      <c r="M26" s="71">
        <v>8.24</v>
      </c>
    </row>
    <row r="27" spans="2:13" x14ac:dyDescent="0.3">
      <c r="B27" t="s">
        <v>70</v>
      </c>
      <c r="C27" s="10">
        <f>C25/C26</f>
        <v>39995.803852201258</v>
      </c>
      <c r="D27" s="10">
        <f t="shared" ref="D27:E27" si="19">D25/D26</f>
        <v>42787.346035411858</v>
      </c>
      <c r="E27" s="10">
        <f t="shared" si="19"/>
        <v>48946.359223300977</v>
      </c>
      <c r="F27" s="10">
        <f>E27*(1+F28)</f>
        <v>54177.271597863495</v>
      </c>
      <c r="G27" s="10">
        <f t="shared" ref="G27:J27" si="20">F27*(1+G28)</f>
        <v>59967.213177142126</v>
      </c>
      <c r="H27" s="10">
        <f t="shared" si="20"/>
        <v>66375.927583156867</v>
      </c>
      <c r="I27" s="10">
        <f t="shared" si="20"/>
        <v>73469.543257078374</v>
      </c>
      <c r="J27" s="10">
        <f t="shared" si="20"/>
        <v>81321.255806802699</v>
      </c>
    </row>
    <row r="28" spans="2:13" x14ac:dyDescent="0.3">
      <c r="B28" t="s">
        <v>61</v>
      </c>
      <c r="C28" s="7" t="s">
        <v>52</v>
      </c>
      <c r="D28" s="9">
        <f>D27/C27-1</f>
        <v>6.9795876425595704E-2</v>
      </c>
      <c r="E28" s="9">
        <f>E27/D27-1</f>
        <v>0.14394473503431993</v>
      </c>
      <c r="F28" s="9">
        <f>AVERAGE($D$28:$E$28)</f>
        <v>0.10687030572995782</v>
      </c>
      <c r="G28" s="9">
        <f t="shared" ref="G28:J28" si="21">AVERAGE($D$28:$E$28)</f>
        <v>0.10687030572995782</v>
      </c>
      <c r="H28" s="9">
        <f t="shared" si="21"/>
        <v>0.10687030572995782</v>
      </c>
      <c r="I28" s="9">
        <f t="shared" si="21"/>
        <v>0.10687030572995782</v>
      </c>
      <c r="J28" s="9">
        <f t="shared" si="21"/>
        <v>0.10687030572995782</v>
      </c>
    </row>
    <row r="31" spans="2:13" ht="15.6" x14ac:dyDescent="0.3">
      <c r="B31" s="50" t="s">
        <v>74</v>
      </c>
      <c r="C31" s="50"/>
      <c r="D31" s="50"/>
      <c r="E31" s="50"/>
      <c r="F31" s="50"/>
      <c r="G31" s="50"/>
      <c r="H31" s="50"/>
      <c r="I31" s="50"/>
      <c r="J31" s="50"/>
      <c r="K31" s="54" t="s">
        <v>56</v>
      </c>
      <c r="L31" s="54"/>
      <c r="M31" s="54"/>
    </row>
    <row r="32" spans="2:13" x14ac:dyDescent="0.3">
      <c r="B32" t="s">
        <v>1</v>
      </c>
      <c r="C32" s="72">
        <v>3570221</v>
      </c>
      <c r="D32" s="72">
        <v>3763727</v>
      </c>
      <c r="E32" s="72">
        <v>4414746</v>
      </c>
      <c r="F32" s="8">
        <f>F34*F33</f>
        <v>5680676.5685245646</v>
      </c>
      <c r="G32" s="8">
        <f t="shared" ref="G32:J32" si="22">G34*G33</f>
        <v>6621998.3923260458</v>
      </c>
      <c r="H32" s="8">
        <f t="shared" si="22"/>
        <v>7932544.1297110906</v>
      </c>
      <c r="I32" s="8">
        <f t="shared" si="22"/>
        <v>9641019.7477358114</v>
      </c>
      <c r="J32" s="8">
        <f t="shared" si="22"/>
        <v>11498877.402923593</v>
      </c>
      <c r="K32" s="55">
        <v>2022</v>
      </c>
      <c r="L32" s="55">
        <v>2023</v>
      </c>
      <c r="M32" s="55">
        <v>2024</v>
      </c>
    </row>
    <row r="33" spans="2:13" x14ac:dyDescent="0.3">
      <c r="B33" t="s">
        <v>69</v>
      </c>
      <c r="C33">
        <f>K33*12</f>
        <v>102</v>
      </c>
      <c r="D33">
        <f t="shared" ref="D33:E33" si="23">L33*12</f>
        <v>91.679999999999993</v>
      </c>
      <c r="E33">
        <f t="shared" si="23"/>
        <v>87.48</v>
      </c>
      <c r="F33">
        <f>AVERAGE(C33:E33)</f>
        <v>93.720000000000013</v>
      </c>
      <c r="G33">
        <f t="shared" ref="G33:J33" si="24">AVERAGE(D33:F33)</f>
        <v>90.96</v>
      </c>
      <c r="H33">
        <f t="shared" si="24"/>
        <v>90.720000000000013</v>
      </c>
      <c r="I33">
        <f t="shared" si="24"/>
        <v>91.800000000000011</v>
      </c>
      <c r="J33">
        <f t="shared" si="24"/>
        <v>91.160000000000011</v>
      </c>
      <c r="K33" s="71">
        <v>8.5</v>
      </c>
      <c r="L33" s="71">
        <v>7.64</v>
      </c>
      <c r="M33" s="71">
        <v>7.29</v>
      </c>
    </row>
    <row r="34" spans="2:13" x14ac:dyDescent="0.3">
      <c r="B34" t="s">
        <v>70</v>
      </c>
      <c r="C34" s="10">
        <f>C32/C33</f>
        <v>35002.166666666664</v>
      </c>
      <c r="D34" s="10">
        <f t="shared" ref="D34:E34" si="25">D32/D33</f>
        <v>41052.86867364747</v>
      </c>
      <c r="E34" s="10">
        <f t="shared" si="25"/>
        <v>50465.775034293547</v>
      </c>
      <c r="F34" s="10">
        <f>E34*(1+F35)</f>
        <v>60613.279647082418</v>
      </c>
      <c r="G34" s="10">
        <f t="shared" ref="G34:J34" si="26">F34*(1+G35)</f>
        <v>72801.213635950378</v>
      </c>
      <c r="H34" s="10">
        <f t="shared" si="26"/>
        <v>87439.860336321537</v>
      </c>
      <c r="I34" s="10">
        <f t="shared" si="26"/>
        <v>105022.00160932256</v>
      </c>
      <c r="J34" s="10">
        <f t="shared" si="26"/>
        <v>126139.50639451067</v>
      </c>
    </row>
    <row r="35" spans="2:13" x14ac:dyDescent="0.3">
      <c r="B35" t="s">
        <v>61</v>
      </c>
      <c r="C35" s="7" t="s">
        <v>52</v>
      </c>
      <c r="D35" s="9">
        <f>D34/C34-1</f>
        <v>0.17286649893999351</v>
      </c>
      <c r="E35" s="9">
        <f>E34/D34-1</f>
        <v>0.22928742045956896</v>
      </c>
      <c r="F35" s="9">
        <f>AVERAGE($D$35:$E$35)</f>
        <v>0.20107695969978123</v>
      </c>
      <c r="G35" s="9">
        <f t="shared" ref="G35:J35" si="27">AVERAGE($D$35:$E$35)</f>
        <v>0.20107695969978123</v>
      </c>
      <c r="H35" s="9">
        <f t="shared" si="27"/>
        <v>0.20107695969978123</v>
      </c>
      <c r="I35" s="9">
        <f t="shared" si="27"/>
        <v>0.20107695969978123</v>
      </c>
      <c r="J35" s="9">
        <f t="shared" si="27"/>
        <v>0.20107695969978123</v>
      </c>
    </row>
  </sheetData>
  <mergeCells count="9">
    <mergeCell ref="K10:M10"/>
    <mergeCell ref="K17:M17"/>
    <mergeCell ref="K24:M24"/>
    <mergeCell ref="K31:M31"/>
    <mergeCell ref="B10:J10"/>
    <mergeCell ref="B17:J17"/>
    <mergeCell ref="B24:J24"/>
    <mergeCell ref="B31:J31"/>
    <mergeCell ref="B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A7B1-590E-44B0-BEB8-87004CFE3DA6}">
  <dimension ref="B1:J25"/>
  <sheetViews>
    <sheetView showGridLines="0" workbookViewId="0">
      <pane ySplit="2" topLeftCell="A3" activePane="bottomLeft" state="frozen"/>
      <selection pane="bottomLeft" activeCell="N15" sqref="N15"/>
    </sheetView>
  </sheetViews>
  <sheetFormatPr defaultRowHeight="14.4" x14ac:dyDescent="0.3"/>
  <cols>
    <col min="1" max="1" width="1.88671875" customWidth="1"/>
    <col min="2" max="2" width="32.21875" customWidth="1"/>
    <col min="3" max="3" width="13.6640625" customWidth="1"/>
    <col min="4" max="4" width="14.44140625" customWidth="1"/>
    <col min="5" max="5" width="13.77734375" customWidth="1"/>
    <col min="6" max="6" width="14.21875" customWidth="1"/>
    <col min="7" max="7" width="14.6640625" customWidth="1"/>
    <col min="8" max="8" width="15" customWidth="1"/>
    <col min="9" max="9" width="14.109375" customWidth="1"/>
    <col min="10" max="10" width="15.5546875" customWidth="1"/>
  </cols>
  <sheetData>
    <row r="1" spans="2:10" ht="18" x14ac:dyDescent="0.35">
      <c r="B1" s="11" t="s">
        <v>75</v>
      </c>
      <c r="C1" s="12"/>
      <c r="D1" s="12"/>
      <c r="E1" s="12"/>
      <c r="F1" s="12"/>
      <c r="G1" s="12"/>
      <c r="H1" s="12"/>
      <c r="I1" s="12"/>
      <c r="J1" s="12"/>
    </row>
    <row r="2" spans="2:10" x14ac:dyDescent="0.3">
      <c r="B2" s="13" t="s">
        <v>58</v>
      </c>
      <c r="C2" s="14">
        <v>2022</v>
      </c>
      <c r="D2" s="14">
        <v>2023</v>
      </c>
      <c r="E2" s="14">
        <v>2024</v>
      </c>
      <c r="F2" s="15" t="s">
        <v>64</v>
      </c>
      <c r="G2" s="15" t="s">
        <v>65</v>
      </c>
      <c r="H2" s="15" t="s">
        <v>66</v>
      </c>
      <c r="I2" s="15" t="s">
        <v>67</v>
      </c>
      <c r="J2" s="15" t="s">
        <v>68</v>
      </c>
    </row>
    <row r="3" spans="2:10" x14ac:dyDescent="0.3">
      <c r="B3" s="18" t="s">
        <v>76</v>
      </c>
      <c r="C3" s="8">
        <f>'Netflix DCF Model Raw Data '!C6-Schedules!C7</f>
        <v>18831603</v>
      </c>
      <c r="D3" s="8">
        <f>'Netflix DCF Model Raw Data '!D6-Schedules!D7</f>
        <v>19358421</v>
      </c>
      <c r="E3" s="8">
        <f>'Netflix DCF Model Raw Data '!E6-Schedules!E7</f>
        <v>20709550</v>
      </c>
      <c r="F3" s="8">
        <f>F4*'Revenue Modelling'!F7</f>
        <v>24293193.657530118</v>
      </c>
      <c r="G3" s="8">
        <f>G4*'Revenue Modelling'!G7</f>
        <v>25283363.455456786</v>
      </c>
      <c r="H3" s="8">
        <f>H4*'Revenue Modelling'!H7</f>
        <v>25813863.412402902</v>
      </c>
      <c r="I3" s="8">
        <f>I4*'Revenue Modelling'!I7</f>
        <v>28050578.077680327</v>
      </c>
      <c r="J3" s="8">
        <f>J4*'Revenue Modelling'!J7</f>
        <v>29172646.608857643</v>
      </c>
    </row>
    <row r="4" spans="2:10" x14ac:dyDescent="0.3">
      <c r="B4" s="57" t="s">
        <v>77</v>
      </c>
      <c r="C4" s="58">
        <f>C3/'Revenue Modelling'!C7</f>
        <v>0.59564369432130704</v>
      </c>
      <c r="D4" s="58">
        <f>D3/'Revenue Modelling'!D7</f>
        <v>0.57403702253667543</v>
      </c>
      <c r="E4" s="58">
        <f>E3/'Revenue Modelling'!E7</f>
        <v>0.53100095007903136</v>
      </c>
      <c r="F4" s="60">
        <f>AVERAGE(C4:E4)</f>
        <v>0.56689388897900461</v>
      </c>
      <c r="G4" s="60">
        <f>AVERAGE(D4:F4)-3%</f>
        <v>0.52731062053157041</v>
      </c>
      <c r="H4" s="60">
        <f>AVERAGE(E4:G4)-6%</f>
        <v>0.48173515319653554</v>
      </c>
      <c r="I4" s="60">
        <f t="shared" ref="I4:J4" si="0">AVERAGE(F4:H4)-6%</f>
        <v>0.46531322090237021</v>
      </c>
      <c r="J4" s="60">
        <f t="shared" si="0"/>
        <v>0.43145299821015876</v>
      </c>
    </row>
    <row r="6" spans="2:10" x14ac:dyDescent="0.3">
      <c r="B6" s="18" t="str">
        <f>'Netflix DCF Model Raw Data '!B7</f>
        <v>Sales and marketing</v>
      </c>
      <c r="C6" s="8">
        <f>'Netflix DCF Model Raw Data '!C7</f>
        <v>2530502</v>
      </c>
      <c r="D6" s="8">
        <f>'Netflix DCF Model Raw Data '!D7</f>
        <v>2657883</v>
      </c>
      <c r="E6" s="8">
        <f>'Netflix DCF Model Raw Data '!E7</f>
        <v>2917554</v>
      </c>
      <c r="F6" s="8">
        <f>F7*'Revenue Modelling'!F7</f>
        <v>3337710.5446602255</v>
      </c>
      <c r="G6" s="8">
        <f>G7*'Revenue Modelling'!G7</f>
        <v>3734514.6136313109</v>
      </c>
      <c r="H6" s="8">
        <f>H7*'Revenue Modelling'!H7</f>
        <v>4173596.9166878103</v>
      </c>
      <c r="I6" s="8">
        <f>I7*'Revenue Modelling'!I7</f>
        <v>4695288.2296544909</v>
      </c>
      <c r="J6" s="8">
        <f>J7*'Revenue Modelling'!J7</f>
        <v>5266331.2641353216</v>
      </c>
    </row>
    <row r="7" spans="2:10" x14ac:dyDescent="0.3">
      <c r="B7" s="57" t="s">
        <v>77</v>
      </c>
      <c r="C7" s="58">
        <f>C6/'Revenue Modelling'!C7</f>
        <v>8.0039790546107853E-2</v>
      </c>
      <c r="D7" s="58">
        <f>D6/'Revenue Modelling'!D7</f>
        <v>7.8814446879259759E-2</v>
      </c>
      <c r="E7" s="58">
        <f>E6/'Revenue Modelling'!E7</f>
        <v>7.4807224005682321E-2</v>
      </c>
      <c r="F7" s="60">
        <f>AVERAGE($C$7:$E$7)</f>
        <v>7.7887153810349982E-2</v>
      </c>
      <c r="G7" s="60">
        <f t="shared" ref="G7:J7" si="1">AVERAGE($C$7:$E$7)</f>
        <v>7.7887153810349982E-2</v>
      </c>
      <c r="H7" s="60">
        <f t="shared" si="1"/>
        <v>7.7887153810349982E-2</v>
      </c>
      <c r="I7" s="60">
        <f t="shared" si="1"/>
        <v>7.7887153810349982E-2</v>
      </c>
      <c r="J7" s="60">
        <f t="shared" si="1"/>
        <v>7.7887153810349982E-2</v>
      </c>
    </row>
    <row r="9" spans="2:10" x14ac:dyDescent="0.3">
      <c r="B9" s="18" t="s">
        <v>78</v>
      </c>
      <c r="C9" s="8">
        <f>'Netflix DCF Model Raw Data '!C8</f>
        <v>2711041</v>
      </c>
      <c r="D9" s="8">
        <f>'Netflix DCF Model Raw Data '!D8</f>
        <v>2675758</v>
      </c>
      <c r="E9" s="8">
        <f>'Netflix DCF Model Raw Data '!E8</f>
        <v>2925295</v>
      </c>
      <c r="F9" s="8">
        <f>F10*'Revenue Modelling'!F7</f>
        <v>3429687.4316273467</v>
      </c>
      <c r="G9" s="8">
        <f>G10*'Revenue Modelling'!G7</f>
        <v>3506318.7769339848</v>
      </c>
      <c r="H9" s="8">
        <f>H10*'Revenue Modelling'!H7</f>
        <v>3807531.9211497926</v>
      </c>
      <c r="I9" s="8">
        <f>I10*'Revenue Modelling'!I7</f>
        <v>4204092.683427318</v>
      </c>
      <c r="J9" s="8">
        <f>J10*'Revenue Modelling'!J7</f>
        <v>4483376.7574094608</v>
      </c>
    </row>
    <row r="10" spans="2:10" x14ac:dyDescent="0.3">
      <c r="B10" s="57" t="s">
        <v>77</v>
      </c>
      <c r="C10" s="58">
        <f>C9/'Revenue Modelling'!C7</f>
        <v>8.5750239992661834E-2</v>
      </c>
      <c r="D10" s="58">
        <f>D9/'Revenue Modelling'!D7</f>
        <v>7.9344495883661673E-2</v>
      </c>
      <c r="E10" s="58">
        <f>E9/'Revenue Modelling'!E7</f>
        <v>7.5005706268916519E-2</v>
      </c>
      <c r="F10" s="60">
        <f>AVERAGE(C10:E10)</f>
        <v>8.0033480715079999E-2</v>
      </c>
      <c r="G10" s="60">
        <f>AVERAGE(D10:F10)-0.5%</f>
        <v>7.3127894289219397E-2</v>
      </c>
      <c r="H10" s="60">
        <f t="shared" ref="H10:J10" si="2">AVERAGE(E10:G10)-0.5%</f>
        <v>7.1055693757738639E-2</v>
      </c>
      <c r="I10" s="60">
        <f t="shared" si="2"/>
        <v>6.9739022920679336E-2</v>
      </c>
      <c r="J10" s="60">
        <f t="shared" si="2"/>
        <v>6.6307536989212448E-2</v>
      </c>
    </row>
    <row r="12" spans="2:10" x14ac:dyDescent="0.3">
      <c r="B12" s="18" t="s">
        <v>79</v>
      </c>
      <c r="C12" s="8">
        <f>'Netflix DCF Model Raw Data '!C9</f>
        <v>1572891</v>
      </c>
      <c r="D12" s="8">
        <f>'Netflix DCF Model Raw Data '!D9</f>
        <v>1720285</v>
      </c>
      <c r="E12" s="8">
        <f>'Netflix DCF Model Raw Data '!E9</f>
        <v>1702039</v>
      </c>
      <c r="F12" s="8">
        <f>F13*'Revenue Modelling'!F7</f>
        <v>2062711.9646618804</v>
      </c>
      <c r="G12" s="8">
        <f>G13*'Revenue Modelling'!G7</f>
        <v>2282107.7694854061</v>
      </c>
      <c r="H12" s="8">
        <f>H13*'Revenue Modelling'!H7</f>
        <v>2489407.9341626801</v>
      </c>
      <c r="I12" s="8">
        <f>I13*'Revenue Modelling'!I7</f>
        <v>2857166.4462869489</v>
      </c>
      <c r="J12" s="8">
        <f>J13*'Revenue Modelling'!J7</f>
        <v>3188007.2181621003</v>
      </c>
    </row>
    <row r="13" spans="2:10" x14ac:dyDescent="0.3">
      <c r="B13" s="57" t="s">
        <v>77</v>
      </c>
      <c r="C13" s="58">
        <f>C12/'Revenue Modelling'!C7</f>
        <v>4.9750549966709419E-2</v>
      </c>
      <c r="D13" s="58">
        <f>D12/'Revenue Modelling'!D7</f>
        <v>5.1011767918184278E-2</v>
      </c>
      <c r="E13" s="58">
        <f>E12/'Revenue Modelling'!E7</f>
        <v>4.3640944688395668E-2</v>
      </c>
      <c r="F13" s="60">
        <f>AVERAGE(C13:E13)</f>
        <v>4.8134420857763122E-2</v>
      </c>
      <c r="G13" s="60">
        <f t="shared" ref="G13:J13" si="3">AVERAGE(D13:F13)</f>
        <v>4.7595711154781027E-2</v>
      </c>
      <c r="H13" s="60">
        <f t="shared" si="3"/>
        <v>4.6457025566979941E-2</v>
      </c>
      <c r="I13" s="60">
        <f t="shared" si="3"/>
        <v>4.7395719193174701E-2</v>
      </c>
      <c r="J13" s="60">
        <f t="shared" si="3"/>
        <v>4.7149485304978554E-2</v>
      </c>
    </row>
    <row r="15" spans="2:10" x14ac:dyDescent="0.3">
      <c r="B15" s="18" t="s">
        <v>80</v>
      </c>
      <c r="C15" s="8">
        <f>'Netflix DCF Model Raw Data '!C24</f>
        <v>3208021</v>
      </c>
      <c r="D15" s="8">
        <f>'Netflix DCF Model Raw Data '!D24</f>
        <v>2780247</v>
      </c>
      <c r="E15" s="8">
        <f>'Netflix DCF Model Raw Data '!E24</f>
        <v>3516640</v>
      </c>
      <c r="F15" s="8">
        <f>F16*'Revenue Modelling'!F7</f>
        <v>3915073.9929387923</v>
      </c>
      <c r="G15" s="8">
        <f>G16*'Revenue Modelling'!G7</f>
        <v>4380517.9761524806</v>
      </c>
      <c r="H15" s="8">
        <f>H16*'Revenue Modelling'!H7</f>
        <v>4895553.5619094139</v>
      </c>
      <c r="I15" s="8">
        <f>I16*'Revenue Modelling'!I7</f>
        <v>5507488.0194990737</v>
      </c>
      <c r="J15" s="8">
        <f>J16*'Revenue Modelling'!J7</f>
        <v>6177311.1522214292</v>
      </c>
    </row>
    <row r="16" spans="2:10" x14ac:dyDescent="0.3">
      <c r="B16" s="57" t="s">
        <v>77</v>
      </c>
      <c r="C16" s="58">
        <f>C15/'Revenue Modelling'!C7</f>
        <v>0.10146971980560199</v>
      </c>
      <c r="D16" s="58">
        <f>D15/'Revenue Modelling'!D7</f>
        <v>8.2442917725393222E-2</v>
      </c>
      <c r="E16" s="58">
        <f>E15/'Revenue Modelling'!E7</f>
        <v>9.0168023017686283E-2</v>
      </c>
      <c r="F16" s="60">
        <f>AVERAGE($C$16:$E$16)</f>
        <v>9.1360220182893845E-2</v>
      </c>
      <c r="G16" s="60">
        <f t="shared" ref="G16:J16" si="4">AVERAGE($C$16:$E$16)</f>
        <v>9.1360220182893845E-2</v>
      </c>
      <c r="H16" s="60">
        <f t="shared" si="4"/>
        <v>9.1360220182893845E-2</v>
      </c>
      <c r="I16" s="60">
        <f t="shared" si="4"/>
        <v>9.1360220182893845E-2</v>
      </c>
      <c r="J16" s="60">
        <f t="shared" si="4"/>
        <v>9.1360220182893845E-2</v>
      </c>
    </row>
    <row r="18" spans="2:10" x14ac:dyDescent="0.3">
      <c r="B18" s="18" t="s">
        <v>81</v>
      </c>
      <c r="C18" s="8">
        <f>'Netflix DCF Model Raw Data '!C33</f>
        <v>671513</v>
      </c>
      <c r="D18" s="8">
        <f>'Netflix DCF Model Raw Data '!D33</f>
        <v>747412</v>
      </c>
      <c r="E18" s="8">
        <f>'Netflix DCF Model Raw Data '!E33</f>
        <v>899909</v>
      </c>
      <c r="F18" s="8">
        <f>(F19*F3)/365</f>
        <v>953279.42710626055</v>
      </c>
      <c r="G18" s="8">
        <f t="shared" ref="G18:J18" si="5">(G19*G3)/365</f>
        <v>992134.2813099554</v>
      </c>
      <c r="H18" s="8">
        <f t="shared" si="5"/>
        <v>1012951.4164370504</v>
      </c>
      <c r="I18" s="8">
        <f t="shared" si="5"/>
        <v>1100721.4356767775</v>
      </c>
      <c r="J18" s="8">
        <f t="shared" si="5"/>
        <v>1144752.0749436372</v>
      </c>
    </row>
    <row r="19" spans="2:10" x14ac:dyDescent="0.3">
      <c r="B19" s="57" t="s">
        <v>82</v>
      </c>
      <c r="C19" s="59">
        <f>'Other Items of P&amp;L'!C18/'Other Items of P&amp;L'!C3*365</f>
        <v>13.015474306674795</v>
      </c>
      <c r="D19" s="59">
        <f>'Other Items of P&amp;L'!D18/'Other Items of P&amp;L'!D3*365</f>
        <v>14.092336353259391</v>
      </c>
      <c r="E19" s="59">
        <f>'Other Items of P&amp;L'!E18/'Other Items of P&amp;L'!E3*365</f>
        <v>15.860643278101167</v>
      </c>
      <c r="F19" s="61">
        <f>AVERAGE($C$19:$E$19)</f>
        <v>14.322817979345118</v>
      </c>
      <c r="G19" s="61">
        <f t="shared" ref="G19:J19" si="6">AVERAGE($C$19:$E$19)</f>
        <v>14.322817979345118</v>
      </c>
      <c r="H19" s="61">
        <f t="shared" si="6"/>
        <v>14.322817979345118</v>
      </c>
      <c r="I19" s="61">
        <f t="shared" si="6"/>
        <v>14.322817979345118</v>
      </c>
      <c r="J19" s="61">
        <f t="shared" si="6"/>
        <v>14.322817979345118</v>
      </c>
    </row>
    <row r="21" spans="2:10" x14ac:dyDescent="0.3">
      <c r="B21" s="18" t="s">
        <v>83</v>
      </c>
      <c r="C21" s="8">
        <f>'Netflix DCF Model Raw Data '!C34</f>
        <v>1514650</v>
      </c>
      <c r="D21" s="8">
        <f>'Netflix DCF Model Raw Data '!D34</f>
        <v>1803960</v>
      </c>
      <c r="E21" s="8">
        <f>'Netflix DCF Model Raw Data '!E34</f>
        <v>2156544</v>
      </c>
      <c r="F21" s="8">
        <f>F22*'Revenue Modelling'!F7</f>
        <v>2369549.5585874058</v>
      </c>
      <c r="G21" s="8">
        <f>G22*'Revenue Modelling'!G7</f>
        <v>2651253.7069535237</v>
      </c>
      <c r="H21" s="8">
        <f>H22*'Revenue Modelling'!H7</f>
        <v>2962972.5523925265</v>
      </c>
      <c r="I21" s="8">
        <f>I22*'Revenue Modelling'!I7</f>
        <v>3333338.2278513382</v>
      </c>
      <c r="J21" s="8">
        <f>J22*'Revenue Modelling'!J7</f>
        <v>3738740.2997755259</v>
      </c>
    </row>
    <row r="22" spans="2:10" x14ac:dyDescent="0.3">
      <c r="B22" s="57" t="s">
        <v>77</v>
      </c>
      <c r="C22" s="58">
        <f>C21/'Revenue Modelling'!C7</f>
        <v>4.7908386853937383E-2</v>
      </c>
      <c r="D22" s="58">
        <f>D21/'Revenue Modelling'!D7</f>
        <v>5.3492990320608329E-2</v>
      </c>
      <c r="E22" s="58">
        <f>E21/'Revenue Modelling'!E7</f>
        <v>5.5294630394539461E-2</v>
      </c>
      <c r="F22" s="60">
        <f>$E$22</f>
        <v>5.5294630394539461E-2</v>
      </c>
      <c r="G22" s="60">
        <f t="shared" ref="G22:J22" si="7">$E$22</f>
        <v>5.5294630394539461E-2</v>
      </c>
      <c r="H22" s="60">
        <f t="shared" si="7"/>
        <v>5.5294630394539461E-2</v>
      </c>
      <c r="I22" s="60">
        <f t="shared" si="7"/>
        <v>5.5294630394539461E-2</v>
      </c>
      <c r="J22" s="60">
        <f t="shared" si="7"/>
        <v>5.5294630394539461E-2</v>
      </c>
    </row>
    <row r="24" spans="2:10" x14ac:dyDescent="0.3">
      <c r="B24" s="18" t="s">
        <v>84</v>
      </c>
      <c r="C24" s="8">
        <f>'Netflix DCF Model Raw Data '!C35</f>
        <v>1264661</v>
      </c>
      <c r="D24" s="8">
        <f>'Netflix DCF Model Raw Data '!D35</f>
        <v>1442969</v>
      </c>
      <c r="E24" s="8">
        <f>'Netflix DCF Model Raw Data '!E35</f>
        <v>1520813</v>
      </c>
      <c r="F24" s="8">
        <f>F25*'Revenue Modelling'!F7</f>
        <v>1671026.314716504</v>
      </c>
      <c r="G24" s="8">
        <f>G25*'Revenue Modelling'!G7</f>
        <v>1869686.4538043784</v>
      </c>
      <c r="H24" s="8">
        <f>H25*'Revenue Modelling'!H7</f>
        <v>2089513.2101741191</v>
      </c>
      <c r="I24" s="8">
        <f>I25*'Revenue Modelling'!I7</f>
        <v>2350698.2052363772</v>
      </c>
      <c r="J24" s="8">
        <f>J25*'Revenue Modelling'!J7</f>
        <v>2636591.1623052983</v>
      </c>
    </row>
    <row r="25" spans="2:10" x14ac:dyDescent="0.3">
      <c r="B25" s="57" t="s">
        <v>77</v>
      </c>
      <c r="C25" s="58">
        <f>C24/'Revenue Modelling'!C7</f>
        <v>4.0001233570189351E-2</v>
      </c>
      <c r="D25" s="58">
        <f>D24/'Revenue Modelling'!D7</f>
        <v>4.278849129134675E-2</v>
      </c>
      <c r="E25" s="58">
        <f>E24/'Revenue Modelling'!E7</f>
        <v>3.899423927089396E-2</v>
      </c>
      <c r="F25" s="60">
        <f>$E$25</f>
        <v>3.899423927089396E-2</v>
      </c>
      <c r="G25" s="60">
        <f t="shared" ref="G25:J25" si="8">$E$25</f>
        <v>3.899423927089396E-2</v>
      </c>
      <c r="H25" s="60">
        <f t="shared" si="8"/>
        <v>3.899423927089396E-2</v>
      </c>
      <c r="I25" s="60">
        <f t="shared" si="8"/>
        <v>3.899423927089396E-2</v>
      </c>
      <c r="J25" s="60">
        <f t="shared" si="8"/>
        <v>3.899423927089396E-2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335F-5FD5-4E30-9CF4-02D490BC8AE2}">
  <dimension ref="B1:J35"/>
  <sheetViews>
    <sheetView showGridLines="0" workbookViewId="0">
      <pane ySplit="2" topLeftCell="A3" activePane="bottomLeft" state="frozen"/>
      <selection pane="bottomLeft" activeCell="B1" sqref="B1"/>
    </sheetView>
  </sheetViews>
  <sheetFormatPr defaultRowHeight="14.4" x14ac:dyDescent="0.3"/>
  <cols>
    <col min="1" max="1" width="1.88671875" customWidth="1"/>
    <col min="2" max="2" width="32.21875" customWidth="1"/>
    <col min="3" max="3" width="13.88671875" customWidth="1"/>
    <col min="4" max="4" width="14.6640625" customWidth="1"/>
    <col min="5" max="5" width="13.33203125" customWidth="1"/>
    <col min="6" max="6" width="15" customWidth="1"/>
    <col min="7" max="7" width="14.6640625" customWidth="1"/>
    <col min="8" max="8" width="14" customWidth="1"/>
    <col min="9" max="9" width="16.21875" customWidth="1"/>
    <col min="10" max="10" width="15.21875" customWidth="1"/>
  </cols>
  <sheetData>
    <row r="1" spans="2:10" ht="18" x14ac:dyDescent="0.35">
      <c r="B1" s="11" t="s">
        <v>75</v>
      </c>
      <c r="C1" s="12"/>
      <c r="D1" s="12"/>
      <c r="E1" s="12"/>
      <c r="F1" s="12"/>
      <c r="G1" s="12"/>
      <c r="H1" s="12"/>
      <c r="I1" s="12"/>
      <c r="J1" s="12"/>
    </row>
    <row r="2" spans="2:10" x14ac:dyDescent="0.3">
      <c r="B2" s="13" t="s">
        <v>58</v>
      </c>
      <c r="C2" s="14">
        <v>2022</v>
      </c>
      <c r="D2" s="14">
        <v>2023</v>
      </c>
      <c r="E2" s="14">
        <v>2024</v>
      </c>
      <c r="F2" s="15" t="s">
        <v>64</v>
      </c>
      <c r="G2" s="15" t="s">
        <v>65</v>
      </c>
      <c r="H2" s="15" t="s">
        <v>66</v>
      </c>
      <c r="I2" s="15" t="s">
        <v>67</v>
      </c>
      <c r="J2" s="15" t="s">
        <v>68</v>
      </c>
    </row>
    <row r="3" spans="2:10" x14ac:dyDescent="0.3">
      <c r="B3" s="32" t="s">
        <v>98</v>
      </c>
      <c r="C3" s="32"/>
      <c r="D3" s="32"/>
      <c r="E3" s="32"/>
      <c r="F3" s="32"/>
      <c r="G3" s="32"/>
      <c r="H3" s="32"/>
      <c r="I3" s="32"/>
      <c r="J3" s="32"/>
    </row>
    <row r="4" spans="2:10" x14ac:dyDescent="0.3">
      <c r="B4" s="19" t="s">
        <v>58</v>
      </c>
    </row>
    <row r="5" spans="2:10" x14ac:dyDescent="0.3">
      <c r="B5" t="s">
        <v>85</v>
      </c>
      <c r="C5" s="8"/>
      <c r="D5" s="8">
        <f>C8</f>
        <v>1398257</v>
      </c>
      <c r="E5" s="8">
        <f t="shared" ref="E5:J5" si="0">D8</f>
        <v>1491444</v>
      </c>
      <c r="F5" s="8">
        <f t="shared" si="0"/>
        <v>1593756</v>
      </c>
      <c r="G5" s="8">
        <f t="shared" si="0"/>
        <v>1657599.8177870184</v>
      </c>
      <c r="H5" s="8">
        <f t="shared" si="0"/>
        <v>1709516.6958955252</v>
      </c>
      <c r="I5" s="8">
        <f t="shared" si="0"/>
        <v>1751652.7334319232</v>
      </c>
      <c r="J5" s="8">
        <f t="shared" si="0"/>
        <v>1785769.4674605848</v>
      </c>
    </row>
    <row r="6" spans="2:10" x14ac:dyDescent="0.3">
      <c r="B6" t="s">
        <v>86</v>
      </c>
      <c r="C6" s="8"/>
      <c r="D6" s="8">
        <f>(D8+D7)-D5</f>
        <v>450134</v>
      </c>
      <c r="E6" s="8">
        <f>(E8+E7)-E5</f>
        <v>431226</v>
      </c>
      <c r="F6" s="8">
        <f>$E$6</f>
        <v>431226</v>
      </c>
      <c r="G6" s="8">
        <f t="shared" ref="G6:J6" si="1">$E$6</f>
        <v>431226</v>
      </c>
      <c r="H6" s="8">
        <f t="shared" si="1"/>
        <v>431226</v>
      </c>
      <c r="I6" s="8">
        <f>$E$6</f>
        <v>431226</v>
      </c>
      <c r="J6" s="8">
        <f t="shared" si="1"/>
        <v>431226</v>
      </c>
    </row>
    <row r="7" spans="2:10" x14ac:dyDescent="0.3">
      <c r="B7" t="s">
        <v>87</v>
      </c>
      <c r="C7" s="72">
        <v>336682</v>
      </c>
      <c r="D7" s="72">
        <v>356947</v>
      </c>
      <c r="E7" s="72">
        <v>328914</v>
      </c>
      <c r="F7" s="8">
        <f>(F5+F6)/F10</f>
        <v>367382.18221298163</v>
      </c>
      <c r="G7" s="8">
        <f t="shared" ref="G7:J7" si="2">(G5+G6)/G10</f>
        <v>379309.12189149315</v>
      </c>
      <c r="H7" s="8">
        <f t="shared" si="2"/>
        <v>389089.96246360202</v>
      </c>
      <c r="I7" s="8">
        <f t="shared" si="2"/>
        <v>397109.26597133826</v>
      </c>
      <c r="J7" s="8">
        <f t="shared" si="2"/>
        <v>403682.97170706611</v>
      </c>
    </row>
    <row r="8" spans="2:10" ht="15" thickBot="1" x14ac:dyDescent="0.35">
      <c r="B8" s="27" t="s">
        <v>88</v>
      </c>
      <c r="C8" s="62">
        <f>'Netflix DCF Model Raw Data '!C27</f>
        <v>1398257</v>
      </c>
      <c r="D8" s="62">
        <f>'Netflix DCF Model Raw Data '!D27</f>
        <v>1491444</v>
      </c>
      <c r="E8" s="62">
        <f>'Netflix DCF Model Raw Data '!E27</f>
        <v>1593756</v>
      </c>
      <c r="F8" s="62">
        <f>(F5+F6)-F7</f>
        <v>1657599.8177870184</v>
      </c>
      <c r="G8" s="62">
        <f t="shared" ref="G8:J8" si="3">(G5+G6)-G7</f>
        <v>1709516.6958955252</v>
      </c>
      <c r="H8" s="62">
        <f t="shared" si="3"/>
        <v>1751652.7334319232</v>
      </c>
      <c r="I8" s="62">
        <f t="shared" si="3"/>
        <v>1785769.4674605848</v>
      </c>
      <c r="J8" s="62">
        <f t="shared" si="3"/>
        <v>1813312.4957535188</v>
      </c>
    </row>
    <row r="9" spans="2:10" ht="15" thickTop="1" x14ac:dyDescent="0.3"/>
    <row r="10" spans="2:10" x14ac:dyDescent="0.3">
      <c r="B10" t="s">
        <v>89</v>
      </c>
      <c r="D10" s="17">
        <f>(D5+D6)/D7</f>
        <v>5.1783345986939233</v>
      </c>
      <c r="E10" s="17">
        <f>(E5+E6)/E7</f>
        <v>5.8455097685109179</v>
      </c>
      <c r="F10" s="17">
        <f>AVERAGE(D10:E10)</f>
        <v>5.5119221836024206</v>
      </c>
      <c r="G10" s="17">
        <f>F10-0.5%</f>
        <v>5.5069221836024207</v>
      </c>
      <c r="H10" s="17">
        <f t="shared" ref="H10:J10" si="4">G10-0.5%</f>
        <v>5.5019221836024208</v>
      </c>
      <c r="I10" s="17">
        <f t="shared" si="4"/>
        <v>5.4969221836024209</v>
      </c>
      <c r="J10" s="17">
        <f t="shared" si="4"/>
        <v>5.491922183602421</v>
      </c>
    </row>
    <row r="13" spans="2:10" x14ac:dyDescent="0.3">
      <c r="B13" s="32" t="s">
        <v>90</v>
      </c>
      <c r="C13" s="32"/>
      <c r="D13" s="32"/>
      <c r="E13" s="32"/>
      <c r="F13" s="32"/>
      <c r="G13" s="32"/>
      <c r="H13" s="32"/>
      <c r="I13" s="32"/>
      <c r="J13" s="32"/>
    </row>
    <row r="14" spans="2:10" x14ac:dyDescent="0.3">
      <c r="B14" s="19" t="s">
        <v>58</v>
      </c>
    </row>
    <row r="15" spans="2:10" x14ac:dyDescent="0.3">
      <c r="B15" t="s">
        <v>85</v>
      </c>
      <c r="C15" s="8"/>
      <c r="D15" s="8">
        <f>C18</f>
        <v>32736713</v>
      </c>
      <c r="E15" s="8">
        <f t="shared" ref="E15:J15" si="5">D18</f>
        <v>31658056</v>
      </c>
      <c r="F15" s="8">
        <f t="shared" si="5"/>
        <v>32452462</v>
      </c>
      <c r="G15" s="8">
        <f t="shared" si="5"/>
        <v>32992321.317850184</v>
      </c>
      <c r="H15" s="8">
        <f t="shared" si="5"/>
        <v>33359196.798485611</v>
      </c>
      <c r="I15" s="8">
        <f>H18</f>
        <v>33608516.600591585</v>
      </c>
      <c r="J15" s="8">
        <f t="shared" si="5"/>
        <v>33777948.375139453</v>
      </c>
    </row>
    <row r="16" spans="2:10" x14ac:dyDescent="0.3">
      <c r="B16" t="s">
        <v>91</v>
      </c>
      <c r="C16" s="8"/>
      <c r="D16" s="8">
        <f>(D18+D17)-D15</f>
        <v>13118780</v>
      </c>
      <c r="E16" s="8">
        <f>(E18+E17)-E15</f>
        <v>16095923</v>
      </c>
      <c r="F16" s="8">
        <f>$E$16</f>
        <v>16095923</v>
      </c>
      <c r="G16" s="8">
        <f t="shared" ref="G16:J16" si="6">$E$16</f>
        <v>16095923</v>
      </c>
      <c r="H16" s="8">
        <f t="shared" si="6"/>
        <v>16095923</v>
      </c>
      <c r="I16" s="8">
        <f t="shared" si="6"/>
        <v>16095923</v>
      </c>
      <c r="J16" s="8">
        <f t="shared" si="6"/>
        <v>16095923</v>
      </c>
    </row>
    <row r="17" spans="2:10" x14ac:dyDescent="0.3">
      <c r="B17" t="s">
        <v>92</v>
      </c>
      <c r="C17" s="72">
        <v>14026132</v>
      </c>
      <c r="D17" s="72">
        <v>14197437</v>
      </c>
      <c r="E17" s="72">
        <v>15301517</v>
      </c>
      <c r="F17" s="8">
        <f>(F15+F16)/F20</f>
        <v>15556063.682149816</v>
      </c>
      <c r="G17" s="8">
        <f t="shared" ref="G17:J17" si="7">(G15+G16)/G20</f>
        <v>15729047.519364577</v>
      </c>
      <c r="H17" s="8">
        <f t="shared" si="7"/>
        <v>15846603.197894026</v>
      </c>
      <c r="I17" s="8">
        <f t="shared" si="7"/>
        <v>15926491.225452133</v>
      </c>
      <c r="J17" s="8">
        <f t="shared" si="7"/>
        <v>15980781.218304547</v>
      </c>
    </row>
    <row r="18" spans="2:10" ht="15" thickBot="1" x14ac:dyDescent="0.35">
      <c r="B18" s="27" t="s">
        <v>88</v>
      </c>
      <c r="C18" s="62">
        <f>'Netflix DCF Model Raw Data '!C26</f>
        <v>32736713</v>
      </c>
      <c r="D18" s="62">
        <f>'Netflix DCF Model Raw Data '!D26</f>
        <v>31658056</v>
      </c>
      <c r="E18" s="62">
        <f>'Netflix DCF Model Raw Data '!E26</f>
        <v>32452462</v>
      </c>
      <c r="F18" s="62">
        <f>(F15+F16)-F17</f>
        <v>32992321.317850184</v>
      </c>
      <c r="G18" s="62">
        <f t="shared" ref="G18:J18" si="8">(G15+G16)-G17</f>
        <v>33359196.798485611</v>
      </c>
      <c r="H18" s="62">
        <f t="shared" si="8"/>
        <v>33608516.600591585</v>
      </c>
      <c r="I18" s="62">
        <f t="shared" si="8"/>
        <v>33777948.375139453</v>
      </c>
      <c r="J18" s="62">
        <f t="shared" si="8"/>
        <v>33893090.156834908</v>
      </c>
    </row>
    <row r="19" spans="2:10" ht="15" thickTop="1" x14ac:dyDescent="0.3"/>
    <row r="20" spans="2:10" x14ac:dyDescent="0.3">
      <c r="B20" t="s">
        <v>93</v>
      </c>
      <c r="D20" s="17">
        <f>(D15+D16)/D17</f>
        <v>3.229843034344861</v>
      </c>
      <c r="E20" s="17">
        <f>(E15+E16)/E17</f>
        <v>3.1208656631888196</v>
      </c>
      <c r="F20" s="17">
        <f>$E$20</f>
        <v>3.1208656631888196</v>
      </c>
      <c r="G20" s="17">
        <f t="shared" ref="G20:J20" si="9">$E$20</f>
        <v>3.1208656631888196</v>
      </c>
      <c r="H20" s="17">
        <f t="shared" si="9"/>
        <v>3.1208656631888196</v>
      </c>
      <c r="I20" s="17">
        <f t="shared" si="9"/>
        <v>3.1208656631888196</v>
      </c>
      <c r="J20" s="17">
        <f t="shared" si="9"/>
        <v>3.1208656631888196</v>
      </c>
    </row>
    <row r="23" spans="2:10" x14ac:dyDescent="0.3">
      <c r="B23" s="32" t="s">
        <v>94</v>
      </c>
      <c r="C23" s="32"/>
      <c r="D23" s="32"/>
      <c r="E23" s="32"/>
      <c r="F23" s="32"/>
      <c r="G23" s="32"/>
      <c r="H23" s="32"/>
      <c r="I23" s="32"/>
      <c r="J23" s="32"/>
    </row>
    <row r="24" spans="2:10" x14ac:dyDescent="0.3">
      <c r="B24" s="19" t="s">
        <v>58</v>
      </c>
    </row>
    <row r="25" spans="2:10" x14ac:dyDescent="0.3">
      <c r="B25" t="s">
        <v>95</v>
      </c>
      <c r="C25" s="8"/>
      <c r="D25" s="8">
        <f>C27</f>
        <v>14353076</v>
      </c>
      <c r="E25" s="8">
        <f>D27</f>
        <v>14143417</v>
      </c>
      <c r="F25" s="8">
        <f t="shared" ref="F25:I25" si="10">E27</f>
        <v>13798351</v>
      </c>
      <c r="G25" s="8">
        <f t="shared" si="10"/>
        <v>15585351</v>
      </c>
      <c r="H25" s="8">
        <f t="shared" si="10"/>
        <v>16585351</v>
      </c>
      <c r="I25" s="8">
        <f t="shared" si="10"/>
        <v>17931351</v>
      </c>
      <c r="J25" s="8">
        <f>I27</f>
        <v>21431351</v>
      </c>
    </row>
    <row r="26" spans="2:10" x14ac:dyDescent="0.3">
      <c r="B26" t="s">
        <v>96</v>
      </c>
      <c r="C26" s="8"/>
      <c r="D26" s="8">
        <f>D27-D25</f>
        <v>-209659</v>
      </c>
      <c r="E26" s="8">
        <f t="shared" ref="E26" si="11">E27-E25</f>
        <v>-345066</v>
      </c>
      <c r="F26" s="72">
        <v>-1787000</v>
      </c>
      <c r="G26" s="72">
        <v>-1000000</v>
      </c>
      <c r="H26" s="72">
        <v>-1346000</v>
      </c>
      <c r="I26" s="72">
        <v>-3500000</v>
      </c>
      <c r="J26" s="72">
        <f>-4081000</f>
        <v>-4081000</v>
      </c>
    </row>
    <row r="27" spans="2:10" ht="15" thickBot="1" x14ac:dyDescent="0.35">
      <c r="B27" s="27" t="s">
        <v>88</v>
      </c>
      <c r="C27" s="62">
        <f>'Netflix DCF Model Raw Data '!C39</f>
        <v>14353076</v>
      </c>
      <c r="D27" s="62">
        <f>'Netflix DCF Model Raw Data '!D39</f>
        <v>14143417</v>
      </c>
      <c r="E27" s="62">
        <f>'Netflix DCF Model Raw Data '!E39</f>
        <v>13798351</v>
      </c>
      <c r="F27" s="62">
        <f>F25-F26</f>
        <v>15585351</v>
      </c>
      <c r="G27" s="62">
        <f t="shared" ref="G27:J27" si="12">G25-G26</f>
        <v>16585351</v>
      </c>
      <c r="H27" s="62">
        <f t="shared" si="12"/>
        <v>17931351</v>
      </c>
      <c r="I27" s="62">
        <f t="shared" si="12"/>
        <v>21431351</v>
      </c>
      <c r="J27" s="62">
        <f t="shared" si="12"/>
        <v>25512351</v>
      </c>
    </row>
    <row r="28" spans="2:10" ht="15" thickTop="1" x14ac:dyDescent="0.3">
      <c r="C28" s="8"/>
      <c r="D28" s="8"/>
      <c r="E28" s="8"/>
      <c r="F28" s="8"/>
      <c r="G28" s="8"/>
      <c r="H28" s="8"/>
      <c r="I28" s="8"/>
      <c r="J28" s="8"/>
    </row>
    <row r="29" spans="2:10" x14ac:dyDescent="0.3">
      <c r="B29" s="18" t="s">
        <v>97</v>
      </c>
      <c r="C29" s="31">
        <f>'Netflix DCF Model Raw Data '!C12</f>
        <v>-706212</v>
      </c>
      <c r="D29" s="31">
        <f>'Netflix DCF Model Raw Data '!D12</f>
        <v>-699826</v>
      </c>
      <c r="E29" s="31">
        <f>'Netflix DCF Model Raw Data '!E12</f>
        <v>-718733</v>
      </c>
      <c r="F29" s="31">
        <f>F27*F30</f>
        <v>-783277.38159478793</v>
      </c>
      <c r="G29" s="31">
        <f t="shared" ref="G29:J29" si="13">G27*G30</f>
        <v>-833534.66367940616</v>
      </c>
      <c r="H29" s="31">
        <f t="shared" si="13"/>
        <v>-901180.9653653024</v>
      </c>
      <c r="I29" s="31">
        <f t="shared" si="13"/>
        <v>-1077081.4526614666</v>
      </c>
      <c r="J29" s="31">
        <f t="shared" si="13"/>
        <v>-1282181.4208487938</v>
      </c>
    </row>
    <row r="30" spans="2:10" x14ac:dyDescent="0.3">
      <c r="C30" s="9">
        <f>C29/C27</f>
        <v>-4.9202832897979498E-2</v>
      </c>
      <c r="D30" s="9">
        <f>D29/D27</f>
        <v>-4.9480687729139286E-2</v>
      </c>
      <c r="E30" s="9">
        <f>E29/E27</f>
        <v>-5.2088325626736119E-2</v>
      </c>
      <c r="F30" s="9">
        <f>AVERAGE($C$30:$E$30)</f>
        <v>-5.0257282084618299E-2</v>
      </c>
      <c r="G30" s="9">
        <f t="shared" ref="G30:J30" si="14">AVERAGE($C$30:$E$30)</f>
        <v>-5.0257282084618299E-2</v>
      </c>
      <c r="H30" s="9">
        <f t="shared" si="14"/>
        <v>-5.0257282084618299E-2</v>
      </c>
      <c r="I30" s="9">
        <f t="shared" si="14"/>
        <v>-5.0257282084618299E-2</v>
      </c>
      <c r="J30" s="9">
        <f t="shared" si="14"/>
        <v>-5.0257282084618299E-2</v>
      </c>
    </row>
    <row r="33" spans="2:2" x14ac:dyDescent="0.3">
      <c r="B33" s="73" t="s">
        <v>142</v>
      </c>
    </row>
    <row r="34" spans="2:2" x14ac:dyDescent="0.3">
      <c r="B34" s="19" t="s">
        <v>143</v>
      </c>
    </row>
    <row r="35" spans="2:2" x14ac:dyDescent="0.3">
      <c r="B35" s="19" t="s">
        <v>144</v>
      </c>
    </row>
  </sheetData>
  <mergeCells count="3">
    <mergeCell ref="B3:J3"/>
    <mergeCell ref="B13:J13"/>
    <mergeCell ref="B23:J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DBE4-6DF5-4C0A-8A75-88CA597878AB}">
  <dimension ref="B2:J35"/>
  <sheetViews>
    <sheetView showGridLines="0" workbookViewId="0">
      <pane ySplit="3" topLeftCell="A16" activePane="bottomLeft" state="frozen"/>
      <selection pane="bottomLeft" activeCell="M6" sqref="M6"/>
    </sheetView>
  </sheetViews>
  <sheetFormatPr defaultRowHeight="14.4" x14ac:dyDescent="0.3"/>
  <cols>
    <col min="1" max="1" width="1.88671875" customWidth="1"/>
    <col min="2" max="2" width="31.77734375" customWidth="1"/>
    <col min="3" max="10" width="15.44140625" customWidth="1"/>
  </cols>
  <sheetData>
    <row r="2" spans="2:10" x14ac:dyDescent="0.3">
      <c r="B2" s="21" t="s">
        <v>99</v>
      </c>
      <c r="C2" s="21"/>
      <c r="D2" s="21"/>
      <c r="E2" s="21"/>
      <c r="F2" s="21"/>
      <c r="G2" s="21"/>
      <c r="H2" s="21"/>
      <c r="I2" s="21"/>
      <c r="J2" s="21"/>
    </row>
    <row r="3" spans="2:10" x14ac:dyDescent="0.3">
      <c r="B3" s="20" t="s">
        <v>100</v>
      </c>
      <c r="C3" s="14">
        <v>2022</v>
      </c>
      <c r="D3" s="14">
        <v>2023</v>
      </c>
      <c r="E3" s="14">
        <v>2024</v>
      </c>
      <c r="F3" s="15" t="s">
        <v>64</v>
      </c>
      <c r="G3" s="15" t="s">
        <v>65</v>
      </c>
      <c r="H3" s="15" t="s">
        <v>66</v>
      </c>
      <c r="I3" s="15" t="s">
        <v>67</v>
      </c>
      <c r="J3" s="15" t="s">
        <v>68</v>
      </c>
    </row>
    <row r="4" spans="2:10" x14ac:dyDescent="0.3">
      <c r="B4" t="s">
        <v>63</v>
      </c>
      <c r="C4" s="24">
        <f>'Revenue Modelling'!C7</f>
        <v>31615550</v>
      </c>
      <c r="D4" s="24">
        <f>'Revenue Modelling'!D7</f>
        <v>33723297</v>
      </c>
      <c r="E4" s="24">
        <f>'Revenue Modelling'!E7</f>
        <v>39000966</v>
      </c>
      <c r="F4" s="24">
        <f>'Revenue Modelling'!F7</f>
        <v>42853158.465481073</v>
      </c>
      <c r="G4" s="24">
        <f>'Revenue Modelling'!G7</f>
        <v>47947760.714489639</v>
      </c>
      <c r="H4" s="24">
        <f>'Revenue Modelling'!H7</f>
        <v>53585176.919550046</v>
      </c>
      <c r="I4" s="24">
        <f>'Revenue Modelling'!I7</f>
        <v>60283217.449275456</v>
      </c>
      <c r="J4" s="24">
        <f>'Revenue Modelling'!J7</f>
        <v>67614889.06063363</v>
      </c>
    </row>
    <row r="5" spans="2:10" x14ac:dyDescent="0.3">
      <c r="B5" s="29" t="s">
        <v>101</v>
      </c>
      <c r="C5" s="30" t="s">
        <v>52</v>
      </c>
      <c r="D5" s="30">
        <f>+D4/C4-1</f>
        <v>6.6668047843545297E-2</v>
      </c>
      <c r="E5" s="30">
        <f t="shared" ref="E5:J5" si="0">+E4/D4-1</f>
        <v>0.15649919994477401</v>
      </c>
      <c r="F5" s="30">
        <f t="shared" si="0"/>
        <v>9.8771719282057635E-2</v>
      </c>
      <c r="G5" s="30">
        <f t="shared" si="0"/>
        <v>0.11888510512270289</v>
      </c>
      <c r="H5" s="30">
        <f t="shared" si="0"/>
        <v>0.11757412903240749</v>
      </c>
      <c r="I5" s="30">
        <f t="shared" si="0"/>
        <v>0.12499801091972684</v>
      </c>
      <c r="J5" s="30">
        <f t="shared" si="0"/>
        <v>0.1216204429952219</v>
      </c>
    </row>
    <row r="6" spans="2:10" x14ac:dyDescent="0.3">
      <c r="C6" s="24"/>
      <c r="D6" s="24"/>
      <c r="E6" s="24"/>
      <c r="F6" s="24"/>
      <c r="G6" s="24"/>
      <c r="H6" s="24"/>
      <c r="I6" s="24"/>
      <c r="J6" s="24"/>
    </row>
    <row r="7" spans="2:10" x14ac:dyDescent="0.3">
      <c r="B7" t="s">
        <v>102</v>
      </c>
      <c r="C7" s="24">
        <f>'Other Items of P&amp;L'!C3</f>
        <v>18831603</v>
      </c>
      <c r="D7" s="24">
        <f>'Other Items of P&amp;L'!D3</f>
        <v>19358421</v>
      </c>
      <c r="E7" s="24">
        <f>'Other Items of P&amp;L'!E3</f>
        <v>20709550</v>
      </c>
      <c r="F7" s="24">
        <f>'Other Items of P&amp;L'!F3</f>
        <v>24293193.657530118</v>
      </c>
      <c r="G7" s="24">
        <f>'Other Items of P&amp;L'!G3</f>
        <v>25283363.455456786</v>
      </c>
      <c r="H7" s="24">
        <f>'Other Items of P&amp;L'!H3</f>
        <v>25813863.412402902</v>
      </c>
      <c r="I7" s="24">
        <f>'Other Items of P&amp;L'!I3</f>
        <v>28050578.077680327</v>
      </c>
      <c r="J7" s="24">
        <f>'Other Items of P&amp;L'!J3</f>
        <v>29172646.608857643</v>
      </c>
    </row>
    <row r="8" spans="2:10" x14ac:dyDescent="0.3">
      <c r="C8" s="24"/>
      <c r="D8" s="24"/>
      <c r="E8" s="24"/>
      <c r="F8" s="24"/>
      <c r="G8" s="24"/>
      <c r="H8" s="24"/>
      <c r="I8" s="24"/>
      <c r="J8" s="24"/>
    </row>
    <row r="9" spans="2:10" x14ac:dyDescent="0.3">
      <c r="B9" s="25" t="s">
        <v>103</v>
      </c>
      <c r="C9" s="26">
        <f>C4-C7</f>
        <v>12783947</v>
      </c>
      <c r="D9" s="26">
        <f t="shared" ref="D9:J9" si="1">D4-D7</f>
        <v>14364876</v>
      </c>
      <c r="E9" s="26">
        <f t="shared" si="1"/>
        <v>18291416</v>
      </c>
      <c r="F9" s="26">
        <f t="shared" si="1"/>
        <v>18559964.807950955</v>
      </c>
      <c r="G9" s="26">
        <f t="shared" si="1"/>
        <v>22664397.259032853</v>
      </c>
      <c r="H9" s="26">
        <f t="shared" si="1"/>
        <v>27771313.507147145</v>
      </c>
      <c r="I9" s="26">
        <f t="shared" si="1"/>
        <v>32232639.371595129</v>
      </c>
      <c r="J9" s="26">
        <f t="shared" si="1"/>
        <v>38442242.451775983</v>
      </c>
    </row>
    <row r="10" spans="2:10" x14ac:dyDescent="0.3">
      <c r="B10" s="29" t="s">
        <v>104</v>
      </c>
      <c r="C10" s="30">
        <f>C9/C4</f>
        <v>0.40435630567869291</v>
      </c>
      <c r="D10" s="30">
        <f t="shared" ref="D10:J10" si="2">D9/D4</f>
        <v>0.42596297746332451</v>
      </c>
      <c r="E10" s="30">
        <f t="shared" si="2"/>
        <v>0.46899904992096864</v>
      </c>
      <c r="F10" s="30">
        <f t="shared" si="2"/>
        <v>0.43310611102099539</v>
      </c>
      <c r="G10" s="30">
        <f t="shared" si="2"/>
        <v>0.47268937946842959</v>
      </c>
      <c r="H10" s="30">
        <f t="shared" si="2"/>
        <v>0.51826484680346441</v>
      </c>
      <c r="I10" s="30">
        <f t="shared" si="2"/>
        <v>0.53468677909762985</v>
      </c>
      <c r="J10" s="30">
        <f t="shared" si="2"/>
        <v>0.56854700178984119</v>
      </c>
    </row>
    <row r="11" spans="2:10" x14ac:dyDescent="0.3">
      <c r="C11" s="24"/>
      <c r="D11" s="24"/>
      <c r="E11" s="24"/>
      <c r="F11" s="24"/>
      <c r="G11" s="24"/>
      <c r="H11" s="24"/>
      <c r="I11" s="24"/>
      <c r="J11" s="24"/>
    </row>
    <row r="12" spans="2:10" x14ac:dyDescent="0.3">
      <c r="B12" s="18" t="s">
        <v>116</v>
      </c>
      <c r="C12" s="24"/>
      <c r="D12" s="24"/>
      <c r="E12" s="24"/>
      <c r="F12" s="24"/>
      <c r="G12" s="24"/>
      <c r="H12" s="24"/>
      <c r="I12" s="24"/>
      <c r="J12" s="24"/>
    </row>
    <row r="13" spans="2:10" x14ac:dyDescent="0.3">
      <c r="B13" s="22" t="str">
        <f>'Other Items of P&amp;L'!B6</f>
        <v>Sales and marketing</v>
      </c>
      <c r="C13" s="24">
        <f>'Other Items of P&amp;L'!C6</f>
        <v>2530502</v>
      </c>
      <c r="D13" s="24">
        <f>'Other Items of P&amp;L'!D6</f>
        <v>2657883</v>
      </c>
      <c r="E13" s="24">
        <f>'Other Items of P&amp;L'!E6</f>
        <v>2917554</v>
      </c>
      <c r="F13" s="24">
        <f>'Other Items of P&amp;L'!F6</f>
        <v>3337710.5446602255</v>
      </c>
      <c r="G13" s="24">
        <f>'Other Items of P&amp;L'!G6</f>
        <v>3734514.6136313109</v>
      </c>
      <c r="H13" s="24">
        <f>'Other Items of P&amp;L'!H6</f>
        <v>4173596.9166878103</v>
      </c>
      <c r="I13" s="24">
        <f>'Other Items of P&amp;L'!I6</f>
        <v>4695288.2296544909</v>
      </c>
      <c r="J13" s="24">
        <f>'Other Items of P&amp;L'!J6</f>
        <v>5266331.2641353216</v>
      </c>
    </row>
    <row r="14" spans="2:10" x14ac:dyDescent="0.3">
      <c r="B14" s="22" t="str">
        <f>'Other Items of P&amp;L'!B9</f>
        <v>Technology and Development</v>
      </c>
      <c r="C14" s="24">
        <f>'Other Items of P&amp;L'!C9</f>
        <v>2711041</v>
      </c>
      <c r="D14" s="24">
        <f>'Other Items of P&amp;L'!D9</f>
        <v>2675758</v>
      </c>
      <c r="E14" s="24">
        <f>'Other Items of P&amp;L'!E9</f>
        <v>2925295</v>
      </c>
      <c r="F14" s="24">
        <f>'Other Items of P&amp;L'!F9</f>
        <v>3429687.4316273467</v>
      </c>
      <c r="G14" s="24">
        <f>'Other Items of P&amp;L'!G9</f>
        <v>3506318.7769339848</v>
      </c>
      <c r="H14" s="24">
        <f>'Other Items of P&amp;L'!H9</f>
        <v>3807531.9211497926</v>
      </c>
      <c r="I14" s="24">
        <f>'Other Items of P&amp;L'!I9</f>
        <v>4204092.683427318</v>
      </c>
      <c r="J14" s="24">
        <f>'Other Items of P&amp;L'!J9</f>
        <v>4483376.7574094608</v>
      </c>
    </row>
    <row r="15" spans="2:10" x14ac:dyDescent="0.3">
      <c r="B15" s="22" t="str">
        <f>'Other Items of P&amp;L'!B12</f>
        <v>General and Administrative</v>
      </c>
      <c r="C15" s="24">
        <f>'Other Items of P&amp;L'!C12</f>
        <v>1572891</v>
      </c>
      <c r="D15" s="24">
        <f>'Other Items of P&amp;L'!D12</f>
        <v>1720285</v>
      </c>
      <c r="E15" s="24">
        <f>'Other Items of P&amp;L'!E12</f>
        <v>1702039</v>
      </c>
      <c r="F15" s="24">
        <f>'Other Items of P&amp;L'!F12</f>
        <v>2062711.9646618804</v>
      </c>
      <c r="G15" s="24">
        <f>'Other Items of P&amp;L'!G12</f>
        <v>2282107.7694854061</v>
      </c>
      <c r="H15" s="24">
        <f>'Other Items of P&amp;L'!H12</f>
        <v>2489407.9341626801</v>
      </c>
      <c r="I15" s="24">
        <f>'Other Items of P&amp;L'!I12</f>
        <v>2857166.4462869489</v>
      </c>
      <c r="J15" s="24">
        <f>'Other Items of P&amp;L'!J12</f>
        <v>3188007.2181621003</v>
      </c>
    </row>
    <row r="16" spans="2:10" x14ac:dyDescent="0.3">
      <c r="C16" s="24"/>
      <c r="D16" s="24"/>
      <c r="E16" s="24"/>
      <c r="F16" s="24"/>
      <c r="G16" s="24"/>
      <c r="H16" s="24"/>
      <c r="I16" s="24"/>
      <c r="J16" s="24"/>
    </row>
    <row r="17" spans="2:10" x14ac:dyDescent="0.3">
      <c r="B17" s="25" t="s">
        <v>105</v>
      </c>
      <c r="C17" s="26">
        <f>C9-C13-C14-C15</f>
        <v>5969513</v>
      </c>
      <c r="D17" s="26">
        <f t="shared" ref="D17:J17" si="3">D9-D13-D14-D15</f>
        <v>7310950</v>
      </c>
      <c r="E17" s="26">
        <f t="shared" si="3"/>
        <v>10746528</v>
      </c>
      <c r="F17" s="26">
        <f t="shared" si="3"/>
        <v>9729854.8670015037</v>
      </c>
      <c r="G17" s="26">
        <f t="shared" si="3"/>
        <v>13141456.09898215</v>
      </c>
      <c r="H17" s="26">
        <f t="shared" si="3"/>
        <v>17300776.735146862</v>
      </c>
      <c r="I17" s="26">
        <f t="shared" si="3"/>
        <v>20476092.012226369</v>
      </c>
      <c r="J17" s="26">
        <f t="shared" si="3"/>
        <v>25504527.212069098</v>
      </c>
    </row>
    <row r="18" spans="2:10" x14ac:dyDescent="0.3">
      <c r="B18" s="29" t="s">
        <v>106</v>
      </c>
      <c r="C18" s="30">
        <f>C17/C4</f>
        <v>0.18881572517321382</v>
      </c>
      <c r="D18" s="30">
        <f t="shared" ref="D18:J18" si="4">D17/D4</f>
        <v>0.21679226678221883</v>
      </c>
      <c r="E18" s="30">
        <f t="shared" si="4"/>
        <v>0.27554517495797409</v>
      </c>
      <c r="F18" s="30">
        <f t="shared" si="4"/>
        <v>0.22705105563780234</v>
      </c>
      <c r="G18" s="30">
        <f t="shared" si="4"/>
        <v>0.27407862021407914</v>
      </c>
      <c r="H18" s="30">
        <f t="shared" si="4"/>
        <v>0.32286497366839589</v>
      </c>
      <c r="I18" s="30">
        <f t="shared" si="4"/>
        <v>0.33966488317342575</v>
      </c>
      <c r="J18" s="30">
        <f t="shared" si="4"/>
        <v>0.37720282568530017</v>
      </c>
    </row>
    <row r="19" spans="2:10" x14ac:dyDescent="0.3">
      <c r="C19" s="24"/>
      <c r="D19" s="24"/>
      <c r="E19" s="24"/>
      <c r="F19" s="24"/>
      <c r="G19" s="24"/>
      <c r="H19" s="24"/>
      <c r="I19" s="24"/>
      <c r="J19" s="24"/>
    </row>
    <row r="20" spans="2:10" x14ac:dyDescent="0.3">
      <c r="B20" s="8" t="s">
        <v>107</v>
      </c>
      <c r="C20" s="24">
        <f>Schedules!C7</f>
        <v>336682</v>
      </c>
      <c r="D20" s="24">
        <f>Schedules!D7</f>
        <v>356947</v>
      </c>
      <c r="E20" s="24">
        <f>Schedules!E7</f>
        <v>328914</v>
      </c>
      <c r="F20" s="24">
        <f>Schedules!F7</f>
        <v>367382.18221298163</v>
      </c>
      <c r="G20" s="24">
        <f>Schedules!G7</f>
        <v>379309.12189149315</v>
      </c>
      <c r="H20" s="24">
        <f>Schedules!H7</f>
        <v>389089.96246360202</v>
      </c>
      <c r="I20" s="24">
        <f>Schedules!I7</f>
        <v>397109.26597133826</v>
      </c>
      <c r="J20" s="24">
        <f>Schedules!J7</f>
        <v>403682.97170706611</v>
      </c>
    </row>
    <row r="21" spans="2:10" x14ac:dyDescent="0.3">
      <c r="C21" s="24"/>
      <c r="D21" s="24"/>
      <c r="E21" s="24"/>
      <c r="F21" s="24"/>
      <c r="G21" s="24"/>
      <c r="H21" s="24"/>
      <c r="I21" s="24"/>
      <c r="J21" s="24"/>
    </row>
    <row r="22" spans="2:10" x14ac:dyDescent="0.3">
      <c r="B22" s="25" t="s">
        <v>108</v>
      </c>
      <c r="C22" s="26">
        <f>C17-C20</f>
        <v>5632831</v>
      </c>
      <c r="D22" s="26">
        <f t="shared" ref="D22:J22" si="5">D17-D20</f>
        <v>6954003</v>
      </c>
      <c r="E22" s="26">
        <f t="shared" si="5"/>
        <v>10417614</v>
      </c>
      <c r="F22" s="26">
        <f t="shared" si="5"/>
        <v>9362472.6847885214</v>
      </c>
      <c r="G22" s="26">
        <f t="shared" si="5"/>
        <v>12762146.977090657</v>
      </c>
      <c r="H22" s="26">
        <f t="shared" si="5"/>
        <v>16911686.772683259</v>
      </c>
      <c r="I22" s="26">
        <f t="shared" si="5"/>
        <v>20078982.746255033</v>
      </c>
      <c r="J22" s="26">
        <f t="shared" si="5"/>
        <v>25100844.240362033</v>
      </c>
    </row>
    <row r="23" spans="2:10" x14ac:dyDescent="0.3">
      <c r="B23" s="29" t="s">
        <v>109</v>
      </c>
      <c r="C23" s="30">
        <f>C22/C4</f>
        <v>0.17816647187855345</v>
      </c>
      <c r="D23" s="30">
        <f t="shared" ref="D23:J23" si="6">D22/D4</f>
        <v>0.20620768485358951</v>
      </c>
      <c r="E23" s="30">
        <f t="shared" si="6"/>
        <v>0.26711169154117875</v>
      </c>
      <c r="F23" s="30">
        <f t="shared" si="6"/>
        <v>0.21847800769061509</v>
      </c>
      <c r="G23" s="30">
        <f t="shared" si="6"/>
        <v>0.26616773728150317</v>
      </c>
      <c r="H23" s="30">
        <f t="shared" si="6"/>
        <v>0.31560382450679547</v>
      </c>
      <c r="I23" s="30">
        <f t="shared" si="6"/>
        <v>0.33307748981962082</v>
      </c>
      <c r="J23" s="30">
        <f t="shared" si="6"/>
        <v>0.37123249907062422</v>
      </c>
    </row>
    <row r="24" spans="2:10" x14ac:dyDescent="0.3">
      <c r="C24" s="24"/>
      <c r="D24" s="24"/>
      <c r="E24" s="24"/>
      <c r="F24" s="24"/>
      <c r="G24" s="24"/>
      <c r="H24" s="24"/>
      <c r="I24" s="24"/>
      <c r="J24" s="24"/>
    </row>
    <row r="25" spans="2:10" x14ac:dyDescent="0.3">
      <c r="B25" t="str">
        <f>'Netflix DCF Model Raw Data '!B12</f>
        <v>Interest expense</v>
      </c>
      <c r="C25" s="24">
        <f>Schedules!C29</f>
        <v>-706212</v>
      </c>
      <c r="D25" s="24">
        <f>Schedules!D29</f>
        <v>-699826</v>
      </c>
      <c r="E25" s="24">
        <f>Schedules!E29</f>
        <v>-718733</v>
      </c>
      <c r="F25" s="24">
        <f>Schedules!F29</f>
        <v>-783277.38159478793</v>
      </c>
      <c r="G25" s="24">
        <f>Schedules!G29</f>
        <v>-833534.66367940616</v>
      </c>
      <c r="H25" s="24">
        <f>Schedules!H29</f>
        <v>-901180.9653653024</v>
      </c>
      <c r="I25" s="24">
        <f>Schedules!I29</f>
        <v>-1077081.4526614666</v>
      </c>
      <c r="J25" s="24">
        <f>Schedules!J29</f>
        <v>-1282181.4208487938</v>
      </c>
    </row>
    <row r="26" spans="2:10" x14ac:dyDescent="0.3">
      <c r="B26" t="str">
        <f>'Netflix DCF Model Raw Data '!B13</f>
        <v>Interest and other income (expense)</v>
      </c>
      <c r="C26" s="24">
        <f>'Netflix DCF Model Raw Data '!C13</f>
        <v>337310</v>
      </c>
      <c r="D26" s="24">
        <f>'Netflix DCF Model Raw Data '!D13</f>
        <v>-48772</v>
      </c>
      <c r="E26" s="24">
        <f>'Netflix DCF Model Raw Data '!E13</f>
        <v>266776</v>
      </c>
      <c r="F26" s="24" t="s">
        <v>52</v>
      </c>
      <c r="G26" s="24" t="s">
        <v>52</v>
      </c>
      <c r="H26" s="24" t="s">
        <v>52</v>
      </c>
      <c r="I26" s="24" t="s">
        <v>52</v>
      </c>
      <c r="J26" s="24" t="s">
        <v>52</v>
      </c>
    </row>
    <row r="27" spans="2:10" x14ac:dyDescent="0.3">
      <c r="C27" s="24"/>
      <c r="D27" s="24"/>
      <c r="E27" s="24"/>
      <c r="F27" s="24"/>
      <c r="G27" s="24"/>
      <c r="H27" s="24"/>
      <c r="I27" s="24"/>
      <c r="J27" s="24"/>
    </row>
    <row r="28" spans="2:10" x14ac:dyDescent="0.3">
      <c r="B28" s="25" t="s">
        <v>110</v>
      </c>
      <c r="C28" s="26">
        <f>C22+C25-C26</f>
        <v>4589309</v>
      </c>
      <c r="D28" s="26">
        <f>D22+D25+D26</f>
        <v>6205405</v>
      </c>
      <c r="E28" s="26">
        <f>E22+E25-E26</f>
        <v>9432105</v>
      </c>
      <c r="F28" s="26">
        <f>F22+F25</f>
        <v>8579195.3031937331</v>
      </c>
      <c r="G28" s="26">
        <f t="shared" ref="G28:J28" si="7">G22+G25</f>
        <v>11928612.313411251</v>
      </c>
      <c r="H28" s="26">
        <f t="shared" si="7"/>
        <v>16010505.807317957</v>
      </c>
      <c r="I28" s="26">
        <f t="shared" si="7"/>
        <v>19001901.293593567</v>
      </c>
      <c r="J28" s="26">
        <f t="shared" si="7"/>
        <v>23818662.819513239</v>
      </c>
    </row>
    <row r="29" spans="2:10" x14ac:dyDescent="0.3">
      <c r="B29" s="29" t="s">
        <v>111</v>
      </c>
      <c r="C29" s="30">
        <f>C28/C4</f>
        <v>0.14515986595203942</v>
      </c>
      <c r="D29" s="30">
        <f t="shared" ref="D29:E29" si="8">D28/D4</f>
        <v>0.1840094401208755</v>
      </c>
      <c r="E29" s="30">
        <f t="shared" si="8"/>
        <v>0.24184285589233867</v>
      </c>
      <c r="F29" s="30">
        <f t="shared" ref="F29" si="9">F28/F4</f>
        <v>0.20019983614753664</v>
      </c>
      <c r="G29" s="30">
        <f t="shared" ref="G29" si="10">G28/G4</f>
        <v>0.24878351221533621</v>
      </c>
      <c r="H29" s="30">
        <f t="shared" ref="H29" si="11">H28/H4</f>
        <v>0.29878609585175553</v>
      </c>
      <c r="I29" s="30">
        <f t="shared" ref="I29" si="12">I28/I4</f>
        <v>0.31521046980583733</v>
      </c>
      <c r="J29" s="30">
        <f t="shared" ref="J29" si="13">J28/J4</f>
        <v>0.35226949493555865</v>
      </c>
    </row>
    <row r="30" spans="2:10" x14ac:dyDescent="0.3">
      <c r="C30" s="24"/>
      <c r="D30" s="24"/>
      <c r="E30" s="24"/>
      <c r="F30" s="24"/>
      <c r="G30" s="24"/>
      <c r="H30" s="24"/>
      <c r="I30" s="24"/>
      <c r="J30" s="24"/>
    </row>
    <row r="31" spans="2:10" x14ac:dyDescent="0.3">
      <c r="B31" t="s">
        <v>112</v>
      </c>
      <c r="C31" s="24">
        <f>'Netflix DCF Model Raw Data '!C15</f>
        <v>-772005</v>
      </c>
      <c r="D31" s="24">
        <f>'Netflix DCF Model Raw Data '!D15</f>
        <v>-797415</v>
      </c>
      <c r="E31" s="24">
        <f>'Netflix DCF Model Raw Data '!E15</f>
        <v>-1254026</v>
      </c>
      <c r="F31" s="24">
        <f>F28*F32</f>
        <v>-1140629.156406001</v>
      </c>
      <c r="G31" s="24">
        <f t="shared" ref="G31:J31" si="14">G28*G32</f>
        <v>-1585943.9631914461</v>
      </c>
      <c r="H31" s="24">
        <f t="shared" si="14"/>
        <v>-2128643.6649642587</v>
      </c>
      <c r="I31" s="24">
        <f t="shared" si="14"/>
        <v>-2526358.4609798095</v>
      </c>
      <c r="J31" s="24">
        <f t="shared" si="14"/>
        <v>-3166761.0210979315</v>
      </c>
    </row>
    <row r="32" spans="2:10" x14ac:dyDescent="0.3">
      <c r="B32" s="29" t="s">
        <v>113</v>
      </c>
      <c r="C32" s="30">
        <f>C31/C28</f>
        <v>-0.1682181347998141</v>
      </c>
      <c r="D32" s="30">
        <f t="shared" ref="D32:E32" si="15">D31/D28</f>
        <v>-0.12850329672277636</v>
      </c>
      <c r="E32" s="30">
        <f t="shared" si="15"/>
        <v>-0.13295293044341638</v>
      </c>
      <c r="F32" s="30">
        <f>$E$32</f>
        <v>-0.13295293044341638</v>
      </c>
      <c r="G32" s="30">
        <f t="shared" ref="G32:J32" si="16">$E$32</f>
        <v>-0.13295293044341638</v>
      </c>
      <c r="H32" s="30">
        <f t="shared" si="16"/>
        <v>-0.13295293044341638</v>
      </c>
      <c r="I32" s="30">
        <f t="shared" si="16"/>
        <v>-0.13295293044341638</v>
      </c>
      <c r="J32" s="30">
        <f t="shared" si="16"/>
        <v>-0.13295293044341638</v>
      </c>
    </row>
    <row r="33" spans="2:10" x14ac:dyDescent="0.3">
      <c r="C33" s="24"/>
      <c r="D33" s="24"/>
      <c r="E33" s="24"/>
      <c r="F33" s="24"/>
      <c r="G33" s="24"/>
      <c r="H33" s="24"/>
      <c r="I33" s="24"/>
      <c r="J33" s="24"/>
    </row>
    <row r="34" spans="2:10" ht="15" thickBot="1" x14ac:dyDescent="0.35">
      <c r="B34" s="27" t="s">
        <v>114</v>
      </c>
      <c r="C34" s="28">
        <f>C28+C31</f>
        <v>3817304</v>
      </c>
      <c r="D34" s="28">
        <f t="shared" ref="D34:J34" si="17">D28+D31</f>
        <v>5407990</v>
      </c>
      <c r="E34" s="28">
        <f t="shared" si="17"/>
        <v>8178079</v>
      </c>
      <c r="F34" s="28">
        <f t="shared" si="17"/>
        <v>7438566.1467877319</v>
      </c>
      <c r="G34" s="28">
        <f t="shared" si="17"/>
        <v>10342668.350219805</v>
      </c>
      <c r="H34" s="28">
        <f t="shared" si="17"/>
        <v>13881862.142353699</v>
      </c>
      <c r="I34" s="28">
        <f t="shared" si="17"/>
        <v>16475542.832613757</v>
      </c>
      <c r="J34" s="28">
        <f t="shared" si="17"/>
        <v>20651901.798415307</v>
      </c>
    </row>
    <row r="35" spans="2:10" ht="15" thickTop="1" x14ac:dyDescent="0.3">
      <c r="B35" s="29" t="s">
        <v>115</v>
      </c>
      <c r="C35" s="30">
        <f>C34/C4</f>
        <v>0.12074134405379632</v>
      </c>
      <c r="D35" s="30">
        <f t="shared" ref="D35:J35" si="18">D34/D4</f>
        <v>0.16036362043723068</v>
      </c>
      <c r="E35" s="30">
        <f t="shared" si="18"/>
        <v>0.20968913949464738</v>
      </c>
      <c r="F35" s="30">
        <f t="shared" si="18"/>
        <v>0.17358268125742984</v>
      </c>
      <c r="G35" s="30">
        <f t="shared" si="18"/>
        <v>0.21570701522030178</v>
      </c>
      <c r="H35" s="30">
        <f t="shared" si="18"/>
        <v>0.25906160883251711</v>
      </c>
      <c r="I35" s="30">
        <f t="shared" si="18"/>
        <v>0.2733023141387052</v>
      </c>
      <c r="J35" s="30">
        <f t="shared" si="18"/>
        <v>0.30543423327805391</v>
      </c>
    </row>
  </sheetData>
  <mergeCells count="1">
    <mergeCell ref="B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D1C1-939D-40CB-B543-FC3139D693CA}">
  <dimension ref="B2:N42"/>
  <sheetViews>
    <sheetView showGridLines="0" topLeftCell="B1" zoomScale="97" zoomScaleNormal="130" workbookViewId="0">
      <pane ySplit="3" topLeftCell="A4" activePane="bottomLeft" state="frozen"/>
      <selection pane="bottomLeft" activeCell="L24" sqref="L24"/>
    </sheetView>
  </sheetViews>
  <sheetFormatPr defaultRowHeight="14.4" x14ac:dyDescent="0.3"/>
  <cols>
    <col min="1" max="1" width="1.88671875" customWidth="1"/>
    <col min="2" max="2" width="37.33203125" customWidth="1"/>
    <col min="3" max="3" width="15.33203125" customWidth="1"/>
    <col min="4" max="4" width="15.88671875" customWidth="1"/>
    <col min="5" max="5" width="15.5546875" customWidth="1"/>
    <col min="6" max="6" width="15.77734375" customWidth="1"/>
    <col min="7" max="7" width="15.109375" customWidth="1"/>
    <col min="8" max="8" width="16.109375" customWidth="1"/>
    <col min="9" max="9" width="16.21875" customWidth="1"/>
    <col min="10" max="10" width="15.77734375" customWidth="1"/>
  </cols>
  <sheetData>
    <row r="2" spans="2:10" x14ac:dyDescent="0.3">
      <c r="B2" s="40" t="s">
        <v>117</v>
      </c>
      <c r="C2" s="40"/>
      <c r="D2" s="40"/>
      <c r="E2" s="40"/>
      <c r="F2" s="40"/>
      <c r="G2" s="40"/>
      <c r="H2" s="40"/>
      <c r="I2" s="40"/>
      <c r="J2" s="40"/>
    </row>
    <row r="3" spans="2:10" x14ac:dyDescent="0.3">
      <c r="B3" s="41" t="s">
        <v>139</v>
      </c>
      <c r="C3" s="42">
        <v>2022</v>
      </c>
      <c r="D3" s="42">
        <v>2023</v>
      </c>
      <c r="E3" s="42">
        <v>2024</v>
      </c>
      <c r="F3" s="43" t="s">
        <v>64</v>
      </c>
      <c r="G3" s="43" t="s">
        <v>65</v>
      </c>
      <c r="H3" s="43" t="s">
        <v>66</v>
      </c>
      <c r="I3" s="43" t="s">
        <v>67</v>
      </c>
      <c r="J3" s="43" t="s">
        <v>68</v>
      </c>
    </row>
    <row r="4" spans="2:10" x14ac:dyDescent="0.3">
      <c r="B4" s="18" t="str">
        <f>'Netflix DCF Model Raw Data '!B20</f>
        <v>Assets</v>
      </c>
    </row>
    <row r="5" spans="2:10" x14ac:dyDescent="0.3">
      <c r="B5" s="18" t="str">
        <f>'Netflix DCF Model Raw Data '!B21</f>
        <v>Current assets:</v>
      </c>
    </row>
    <row r="6" spans="2:10" x14ac:dyDescent="0.3">
      <c r="B6" s="22" t="str">
        <f>'Netflix DCF Model Raw Data '!B22</f>
        <v>Cash and cash equivalents</v>
      </c>
      <c r="C6" s="23">
        <f>'Netflix DCF Model Raw Data '!C22</f>
        <v>5147176</v>
      </c>
      <c r="D6" s="23">
        <f>'Netflix DCF Model Raw Data '!D22</f>
        <v>7116913</v>
      </c>
      <c r="E6" s="23">
        <f>'Netflix DCF Model Raw Data '!E22</f>
        <v>7804733</v>
      </c>
      <c r="F6" s="24">
        <f>E6+'Cash Flow'!F34</f>
        <v>16444751.318621909</v>
      </c>
      <c r="G6" s="24">
        <f>F6+'Cash Flow'!G34</f>
        <v>27422402.468541782</v>
      </c>
      <c r="H6" s="24">
        <f>G6+'Cash Flow'!H34</f>
        <v>42396135.922432013</v>
      </c>
      <c r="I6" s="24">
        <f>H6+'Cash Flow'!I34</f>
        <v>62275516.478640385</v>
      </c>
      <c r="J6" s="24">
        <f>I6+'Cash Flow'!J34</f>
        <v>86931236.002604917</v>
      </c>
    </row>
    <row r="7" spans="2:10" x14ac:dyDescent="0.3">
      <c r="B7" s="22" t="str">
        <f>'Netflix DCF Model Raw Data '!B23</f>
        <v>Short-term investments</v>
      </c>
      <c r="C7" s="23">
        <f>'Netflix DCF Model Raw Data '!C23</f>
        <v>911276</v>
      </c>
      <c r="D7" s="23">
        <f>'Netflix DCF Model Raw Data '!D23</f>
        <v>20973</v>
      </c>
      <c r="E7" s="23">
        <f>'Netflix DCF Model Raw Data '!E23</f>
        <v>1779006</v>
      </c>
      <c r="F7" s="24">
        <v>1779006</v>
      </c>
      <c r="G7" s="24">
        <v>1779006</v>
      </c>
      <c r="H7" s="24">
        <v>1779006</v>
      </c>
      <c r="I7" s="24">
        <v>1779006</v>
      </c>
      <c r="J7" s="24">
        <v>1779006</v>
      </c>
    </row>
    <row r="8" spans="2:10" x14ac:dyDescent="0.3">
      <c r="B8" s="22" t="str">
        <f>'Netflix DCF Model Raw Data '!B24</f>
        <v>Other current assets</v>
      </c>
      <c r="C8" s="23">
        <f>'Netflix DCF Model Raw Data '!C24</f>
        <v>3208021</v>
      </c>
      <c r="D8" s="23">
        <f>'Netflix DCF Model Raw Data '!D24</f>
        <v>2780247</v>
      </c>
      <c r="E8" s="23">
        <f>'Netflix DCF Model Raw Data '!E24</f>
        <v>3516640</v>
      </c>
      <c r="F8" s="24">
        <f>'Other Items of P&amp;L'!F15</f>
        <v>3915073.9929387923</v>
      </c>
      <c r="G8" s="24">
        <f>'Other Items of P&amp;L'!G15</f>
        <v>4380517.9761524806</v>
      </c>
      <c r="H8" s="24">
        <f>'Other Items of P&amp;L'!H15</f>
        <v>4895553.5619094139</v>
      </c>
      <c r="I8" s="24">
        <f>'Other Items of P&amp;L'!I15</f>
        <v>5507488.0194990737</v>
      </c>
      <c r="J8" s="24">
        <f>'Other Items of P&amp;L'!J15</f>
        <v>6177311.1522214292</v>
      </c>
    </row>
    <row r="9" spans="2:10" x14ac:dyDescent="0.3">
      <c r="C9" s="23"/>
      <c r="D9" s="23"/>
      <c r="E9" s="23"/>
      <c r="F9" s="23"/>
      <c r="G9" s="23"/>
      <c r="H9" s="23"/>
      <c r="I9" s="23"/>
      <c r="J9" s="23"/>
    </row>
    <row r="10" spans="2:10" x14ac:dyDescent="0.3">
      <c r="B10" s="65" t="str">
        <f>'Netflix DCF Model Raw Data '!B25</f>
        <v>Total current assets</v>
      </c>
      <c r="C10" s="66">
        <f>SUM(C6:C8)</f>
        <v>9266473</v>
      </c>
      <c r="D10" s="66">
        <f t="shared" ref="D10:J10" si="0">SUM(D6:D8)</f>
        <v>9918133</v>
      </c>
      <c r="E10" s="66">
        <f t="shared" si="0"/>
        <v>13100379</v>
      </c>
      <c r="F10" s="66">
        <f t="shared" si="0"/>
        <v>22138831.311560705</v>
      </c>
      <c r="G10" s="66">
        <f t="shared" si="0"/>
        <v>33581926.444694266</v>
      </c>
      <c r="H10" s="66">
        <f t="shared" si="0"/>
        <v>49070695.484341428</v>
      </c>
      <c r="I10" s="66">
        <f t="shared" si="0"/>
        <v>69562010.498139456</v>
      </c>
      <c r="J10" s="66">
        <f t="shared" si="0"/>
        <v>94887553.154826343</v>
      </c>
    </row>
    <row r="11" spans="2:10" x14ac:dyDescent="0.3">
      <c r="C11" s="23"/>
      <c r="D11" s="23"/>
      <c r="E11" s="23"/>
      <c r="F11" s="23"/>
      <c r="G11" s="23"/>
      <c r="H11" s="23"/>
      <c r="I11" s="23"/>
      <c r="J11" s="23"/>
    </row>
    <row r="12" spans="2:10" x14ac:dyDescent="0.3">
      <c r="B12" s="22" t="str">
        <f>'Netflix DCF Model Raw Data '!B26</f>
        <v>Content assets, net</v>
      </c>
      <c r="C12" s="23">
        <f>'Netflix DCF Model Raw Data '!C26</f>
        <v>32736713</v>
      </c>
      <c r="D12" s="23">
        <f>'Netflix DCF Model Raw Data '!D26</f>
        <v>31658056</v>
      </c>
      <c r="E12" s="23">
        <f>'Netflix DCF Model Raw Data '!E26</f>
        <v>32452462</v>
      </c>
      <c r="F12" s="24">
        <f>Schedules!F18</f>
        <v>32992321.317850184</v>
      </c>
      <c r="G12" s="24">
        <f>Schedules!G18</f>
        <v>33359196.798485611</v>
      </c>
      <c r="H12" s="24">
        <f>Schedules!H18</f>
        <v>33608516.600591585</v>
      </c>
      <c r="I12" s="24">
        <f>Schedules!I18</f>
        <v>33777948.375139453</v>
      </c>
      <c r="J12" s="24">
        <f>Schedules!J18</f>
        <v>33893090.156834908</v>
      </c>
    </row>
    <row r="13" spans="2:10" x14ac:dyDescent="0.3">
      <c r="B13" s="22" t="str">
        <f>'Netflix DCF Model Raw Data '!B27</f>
        <v>Property and equipment, net</v>
      </c>
      <c r="C13" s="23">
        <f>'Netflix DCF Model Raw Data '!C27</f>
        <v>1398257</v>
      </c>
      <c r="D13" s="23">
        <f>'Netflix DCF Model Raw Data '!D27</f>
        <v>1491444</v>
      </c>
      <c r="E13" s="23">
        <f>'Netflix DCF Model Raw Data '!E27</f>
        <v>1593756</v>
      </c>
      <c r="F13" s="24">
        <f>Schedules!F8</f>
        <v>1657599.8177870184</v>
      </c>
      <c r="G13" s="24">
        <f>Schedules!G8</f>
        <v>1709516.6958955252</v>
      </c>
      <c r="H13" s="24">
        <f>Schedules!H8</f>
        <v>1751652.7334319232</v>
      </c>
      <c r="I13" s="24">
        <f>Schedules!I8</f>
        <v>1785769.4674605848</v>
      </c>
      <c r="J13" s="24">
        <f>Schedules!J8</f>
        <v>1813312.4957535188</v>
      </c>
    </row>
    <row r="14" spans="2:10" x14ac:dyDescent="0.3">
      <c r="B14" s="22" t="str">
        <f>'Netflix DCF Model Raw Data '!B28</f>
        <v>Other non-current assets</v>
      </c>
      <c r="C14" s="23">
        <f>'Netflix DCF Model Raw Data '!C28</f>
        <v>5193325</v>
      </c>
      <c r="D14" s="23">
        <f>'Netflix DCF Model Raw Data '!D28</f>
        <v>5664359</v>
      </c>
      <c r="E14" s="23">
        <f>'Netflix DCF Model Raw Data '!E28</f>
        <v>6483777</v>
      </c>
      <c r="F14" s="24">
        <v>6483777</v>
      </c>
      <c r="G14" s="24">
        <v>6483777</v>
      </c>
      <c r="H14" s="24">
        <v>6483777</v>
      </c>
      <c r="I14" s="24">
        <v>6483777</v>
      </c>
      <c r="J14" s="24">
        <v>6483777</v>
      </c>
    </row>
    <row r="15" spans="2:10" ht="15" thickBot="1" x14ac:dyDescent="0.35">
      <c r="B15" s="63" t="str">
        <f>'Netflix DCF Model Raw Data '!B29</f>
        <v>Total assets</v>
      </c>
      <c r="C15" s="64">
        <f>SUM(C12:C14,C10)</f>
        <v>48594768</v>
      </c>
      <c r="D15" s="64">
        <f t="shared" ref="D15:F15" si="1">SUM(D12:D14,D10)</f>
        <v>48731992</v>
      </c>
      <c r="E15" s="64">
        <f t="shared" si="1"/>
        <v>53630374</v>
      </c>
      <c r="F15" s="64">
        <f t="shared" ref="F15" si="2">SUM(F12:F14,F10)</f>
        <v>63272529.447197907</v>
      </c>
      <c r="G15" s="64">
        <f t="shared" ref="G15" si="3">SUM(G12:G14,G10)</f>
        <v>75134416.93907541</v>
      </c>
      <c r="H15" s="64">
        <f t="shared" ref="H15" si="4">SUM(H12:H14,H10)</f>
        <v>90914641.818364933</v>
      </c>
      <c r="I15" s="64">
        <f t="shared" ref="I15" si="5">SUM(I12:I14,I10)</f>
        <v>111609505.34073949</v>
      </c>
      <c r="J15" s="64">
        <f t="shared" ref="J15" si="6">SUM(J12:J14,J10)</f>
        <v>137077732.80741477</v>
      </c>
    </row>
    <row r="16" spans="2:10" ht="15" thickTop="1" x14ac:dyDescent="0.3">
      <c r="B16" s="18"/>
      <c r="C16" s="44"/>
      <c r="D16" s="44"/>
      <c r="E16" s="44"/>
      <c r="F16" s="44"/>
      <c r="G16" s="44"/>
      <c r="H16" s="44"/>
      <c r="I16" s="44"/>
      <c r="J16" s="44"/>
    </row>
    <row r="17" spans="2:14" x14ac:dyDescent="0.3">
      <c r="B17" s="18" t="str">
        <f>'Netflix DCF Model Raw Data '!B30</f>
        <v>Liabilities and Stockholders’ Equity</v>
      </c>
      <c r="C17" s="23"/>
      <c r="D17" s="23"/>
      <c r="E17" s="23"/>
      <c r="F17" s="23"/>
      <c r="G17" s="23"/>
      <c r="H17" s="23"/>
      <c r="I17" s="23"/>
      <c r="J17" s="23"/>
    </row>
    <row r="18" spans="2:14" x14ac:dyDescent="0.3">
      <c r="B18" s="18" t="str">
        <f>'Netflix DCF Model Raw Data '!B31</f>
        <v>Current liabilities:</v>
      </c>
      <c r="C18" s="23"/>
      <c r="D18" s="23"/>
      <c r="E18" s="23"/>
      <c r="F18" s="23"/>
      <c r="G18" s="23"/>
      <c r="H18" s="23"/>
      <c r="I18" s="23"/>
      <c r="J18" s="23"/>
    </row>
    <row r="19" spans="2:14" x14ac:dyDescent="0.3">
      <c r="B19" s="22" t="str">
        <f>'Netflix DCF Model Raw Data '!B32</f>
        <v>Current content liabilities</v>
      </c>
      <c r="C19" s="23">
        <f>'Netflix DCF Model Raw Data '!C32</f>
        <v>4480150</v>
      </c>
      <c r="D19" s="23">
        <f>'Netflix DCF Model Raw Data '!D32</f>
        <v>4466470</v>
      </c>
      <c r="E19" s="23">
        <f>'Netflix DCF Model Raw Data '!E32</f>
        <v>4393681</v>
      </c>
      <c r="F19" s="24">
        <v>4393681</v>
      </c>
      <c r="G19" s="24">
        <v>4393681</v>
      </c>
      <c r="H19" s="24">
        <v>4393681</v>
      </c>
      <c r="I19" s="24">
        <v>4393681</v>
      </c>
      <c r="J19" s="24">
        <v>4393681</v>
      </c>
    </row>
    <row r="20" spans="2:14" x14ac:dyDescent="0.3">
      <c r="B20" s="22" t="str">
        <f>'Netflix DCF Model Raw Data '!B33</f>
        <v>Accounts payable</v>
      </c>
      <c r="C20" s="23">
        <f>'Netflix DCF Model Raw Data '!C33</f>
        <v>671513</v>
      </c>
      <c r="D20" s="23">
        <f>'Netflix DCF Model Raw Data '!D33</f>
        <v>747412</v>
      </c>
      <c r="E20" s="23">
        <f>'Netflix DCF Model Raw Data '!E33</f>
        <v>899909</v>
      </c>
      <c r="F20" s="24">
        <f>'Other Items of P&amp;L'!F18</f>
        <v>953279.42710626055</v>
      </c>
      <c r="G20" s="24">
        <f>'Other Items of P&amp;L'!G18</f>
        <v>992134.2813099554</v>
      </c>
      <c r="H20" s="24">
        <f>'Other Items of P&amp;L'!H18</f>
        <v>1012951.4164370504</v>
      </c>
      <c r="I20" s="24">
        <f>'Other Items of P&amp;L'!I18</f>
        <v>1100721.4356767775</v>
      </c>
      <c r="J20" s="24">
        <f>'Other Items of P&amp;L'!J18</f>
        <v>1144752.0749436372</v>
      </c>
    </row>
    <row r="21" spans="2:14" x14ac:dyDescent="0.3">
      <c r="B21" s="22" t="str">
        <f>'Netflix DCF Model Raw Data '!B34</f>
        <v>Accrued expenses and other liabilities</v>
      </c>
      <c r="C21" s="23">
        <f>'Netflix DCF Model Raw Data '!C34</f>
        <v>1514650</v>
      </c>
      <c r="D21" s="23">
        <f>'Netflix DCF Model Raw Data '!D34</f>
        <v>1803960</v>
      </c>
      <c r="E21" s="23">
        <f>'Netflix DCF Model Raw Data '!E34</f>
        <v>2156544</v>
      </c>
      <c r="F21" s="24">
        <f>'Other Items of P&amp;L'!F21</f>
        <v>2369549.5585874058</v>
      </c>
      <c r="G21" s="24">
        <f>'Other Items of P&amp;L'!G21</f>
        <v>2651253.7069535237</v>
      </c>
      <c r="H21" s="24">
        <f>'Other Items of P&amp;L'!H21</f>
        <v>2962972.5523925265</v>
      </c>
      <c r="I21" s="24">
        <f>'Other Items of P&amp;L'!I21</f>
        <v>3333338.2278513382</v>
      </c>
      <c r="J21" s="24">
        <f>'Other Items of P&amp;L'!J21</f>
        <v>3738740.2997755259</v>
      </c>
    </row>
    <row r="22" spans="2:14" x14ac:dyDescent="0.3">
      <c r="B22" s="22" t="str">
        <f>'Netflix DCF Model Raw Data '!B35</f>
        <v>Deferred revenue</v>
      </c>
      <c r="C22" s="23">
        <f>'Netflix DCF Model Raw Data '!C35</f>
        <v>1264661</v>
      </c>
      <c r="D22" s="23">
        <f>'Netflix DCF Model Raw Data '!D35</f>
        <v>1442969</v>
      </c>
      <c r="E22" s="23">
        <f>'Netflix DCF Model Raw Data '!E35</f>
        <v>1520813</v>
      </c>
      <c r="F22" s="24">
        <f>'Other Items of P&amp;L'!F24</f>
        <v>1671026.314716504</v>
      </c>
      <c r="G22" s="24">
        <f>'Other Items of P&amp;L'!G24</f>
        <v>1869686.4538043784</v>
      </c>
      <c r="H22" s="24">
        <f>'Other Items of P&amp;L'!H24</f>
        <v>2089513.2101741191</v>
      </c>
      <c r="I22" s="24">
        <f>'Other Items of P&amp;L'!I24</f>
        <v>2350698.2052363772</v>
      </c>
      <c r="J22" s="24">
        <f>'Other Items of P&amp;L'!J24</f>
        <v>2636591.1623052983</v>
      </c>
    </row>
    <row r="23" spans="2:14" x14ac:dyDescent="0.3">
      <c r="B23" s="22" t="str">
        <f>'Netflix DCF Model Raw Data '!B36</f>
        <v>Short-term debt</v>
      </c>
      <c r="C23" s="23" t="str">
        <f>'Netflix DCF Model Raw Data '!C36</f>
        <v>-</v>
      </c>
      <c r="D23" s="23">
        <f>'Netflix DCF Model Raw Data '!D36</f>
        <v>399844</v>
      </c>
      <c r="E23" s="23">
        <f>'Netflix DCF Model Raw Data '!E36</f>
        <v>1784453</v>
      </c>
      <c r="F23" s="24">
        <v>1784453</v>
      </c>
      <c r="G23" s="24">
        <v>1784453</v>
      </c>
      <c r="H23" s="24">
        <v>1784453</v>
      </c>
      <c r="I23" s="24">
        <v>1784453</v>
      </c>
      <c r="J23" s="24">
        <v>1784453</v>
      </c>
    </row>
    <row r="24" spans="2:14" x14ac:dyDescent="0.3">
      <c r="B24" s="22"/>
      <c r="C24" s="23"/>
      <c r="D24" s="23"/>
      <c r="E24" s="23"/>
      <c r="F24" s="23"/>
      <c r="G24" s="23"/>
      <c r="H24" s="23"/>
      <c r="I24" s="23"/>
      <c r="J24" s="23"/>
    </row>
    <row r="25" spans="2:14" x14ac:dyDescent="0.3">
      <c r="B25" s="65" t="str">
        <f>'Netflix DCF Model Raw Data '!B37</f>
        <v>Total current liabilities</v>
      </c>
      <c r="C25" s="66">
        <f>SUM(C19:C23)</f>
        <v>7930974</v>
      </c>
      <c r="D25" s="66">
        <f t="shared" ref="D25:J25" si="7">SUM(D19:D23)</f>
        <v>8860655</v>
      </c>
      <c r="E25" s="66">
        <f t="shared" si="7"/>
        <v>10755400</v>
      </c>
      <c r="F25" s="66">
        <f t="shared" si="7"/>
        <v>11171989.30041017</v>
      </c>
      <c r="G25" s="66">
        <f t="shared" si="7"/>
        <v>11691208.442067858</v>
      </c>
      <c r="H25" s="66">
        <f t="shared" si="7"/>
        <v>12243571.179003697</v>
      </c>
      <c r="I25" s="66">
        <f t="shared" si="7"/>
        <v>12962891.868764494</v>
      </c>
      <c r="J25" s="66">
        <f t="shared" si="7"/>
        <v>13698217.537024461</v>
      </c>
    </row>
    <row r="26" spans="2:14" x14ac:dyDescent="0.3">
      <c r="C26" s="23"/>
      <c r="D26" s="23"/>
      <c r="E26" s="23"/>
      <c r="F26" s="23"/>
      <c r="G26" s="23"/>
      <c r="H26" s="23"/>
      <c r="I26" s="23"/>
      <c r="J26" s="23"/>
    </row>
    <row r="27" spans="2:14" x14ac:dyDescent="0.3">
      <c r="B27" t="str">
        <f>'Netflix DCF Model Raw Data '!B38</f>
        <v>Non-current content liabilities</v>
      </c>
      <c r="C27" s="23">
        <f>'Netflix DCF Model Raw Data '!C38</f>
        <v>3081277</v>
      </c>
      <c r="D27" s="23">
        <f>'Netflix DCF Model Raw Data '!D38</f>
        <v>2578173</v>
      </c>
      <c r="E27" s="23">
        <f>'Netflix DCF Model Raw Data '!E38</f>
        <v>1780806</v>
      </c>
      <c r="F27" s="24">
        <v>1780806</v>
      </c>
      <c r="G27" s="24">
        <v>1780806</v>
      </c>
      <c r="H27" s="24">
        <v>1780806</v>
      </c>
      <c r="I27" s="24">
        <v>1780806</v>
      </c>
      <c r="J27" s="24">
        <v>1780806</v>
      </c>
    </row>
    <row r="28" spans="2:14" x14ac:dyDescent="0.3">
      <c r="B28" t="str">
        <f>'Netflix DCF Model Raw Data '!B39</f>
        <v>Long-term debt</v>
      </c>
      <c r="C28" s="23">
        <f>'Netflix DCF Model Raw Data '!C39</f>
        <v>14353076</v>
      </c>
      <c r="D28" s="23">
        <f>'Netflix DCF Model Raw Data '!D39</f>
        <v>14143417</v>
      </c>
      <c r="E28" s="23">
        <f>'Netflix DCF Model Raw Data '!E39</f>
        <v>13798351</v>
      </c>
      <c r="F28" s="24">
        <f>Schedules!F27</f>
        <v>15585351</v>
      </c>
      <c r="G28" s="24">
        <f>Schedules!G27</f>
        <v>16585351</v>
      </c>
      <c r="H28" s="24">
        <f>Schedules!H27</f>
        <v>17931351</v>
      </c>
      <c r="I28" s="24">
        <f>Schedules!I27</f>
        <v>21431351</v>
      </c>
      <c r="J28" s="24">
        <f>Schedules!J27</f>
        <v>25512351</v>
      </c>
      <c r="N28" t="s">
        <v>137</v>
      </c>
    </row>
    <row r="29" spans="2:14" x14ac:dyDescent="0.3">
      <c r="B29" t="str">
        <f>'Netflix DCF Model Raw Data '!B40</f>
        <v>Other non-current liabilities</v>
      </c>
      <c r="C29" s="23">
        <f>'Netflix DCF Model Raw Data '!C40</f>
        <v>2452040</v>
      </c>
      <c r="D29" s="23">
        <f>'Netflix DCF Model Raw Data '!D40</f>
        <v>2561434</v>
      </c>
      <c r="E29" s="23">
        <f>'Netflix DCF Model Raw Data '!E40</f>
        <v>2552250</v>
      </c>
      <c r="F29" s="24">
        <v>2552250</v>
      </c>
      <c r="G29" s="24">
        <v>2552250</v>
      </c>
      <c r="H29" s="24">
        <v>2552250</v>
      </c>
      <c r="I29" s="24">
        <v>2552250</v>
      </c>
      <c r="J29" s="24">
        <v>2552250</v>
      </c>
    </row>
    <row r="30" spans="2:14" x14ac:dyDescent="0.3">
      <c r="C30" s="23"/>
      <c r="D30" s="23"/>
      <c r="E30" s="23"/>
      <c r="F30" s="23"/>
      <c r="G30" s="23"/>
      <c r="H30" s="23"/>
      <c r="I30" s="23"/>
      <c r="J30" s="23"/>
    </row>
    <row r="31" spans="2:14" x14ac:dyDescent="0.3">
      <c r="B31" s="65" t="str">
        <f>'Netflix DCF Model Raw Data '!B41</f>
        <v>Total liabilities</v>
      </c>
      <c r="C31" s="66">
        <f>SUM(C27:C29)</f>
        <v>19886393</v>
      </c>
      <c r="D31" s="66">
        <f t="shared" ref="D31:J31" si="8">SUM(D27:D29)</f>
        <v>19283024</v>
      </c>
      <c r="E31" s="66">
        <f t="shared" si="8"/>
        <v>18131407</v>
      </c>
      <c r="F31" s="66">
        <f t="shared" si="8"/>
        <v>19918407</v>
      </c>
      <c r="G31" s="66">
        <f t="shared" si="8"/>
        <v>20918407</v>
      </c>
      <c r="H31" s="66">
        <f t="shared" si="8"/>
        <v>22264407</v>
      </c>
      <c r="I31" s="66">
        <f t="shared" si="8"/>
        <v>25764407</v>
      </c>
      <c r="J31" s="66">
        <f t="shared" si="8"/>
        <v>29845407</v>
      </c>
    </row>
    <row r="32" spans="2:14" x14ac:dyDescent="0.3">
      <c r="C32" s="23"/>
      <c r="D32" s="23"/>
      <c r="E32" s="23"/>
      <c r="F32" s="23"/>
      <c r="G32" s="23"/>
      <c r="H32" s="23"/>
      <c r="I32" s="23"/>
      <c r="J32" s="23"/>
    </row>
    <row r="33" spans="2:10" x14ac:dyDescent="0.3">
      <c r="B33" t="str">
        <f>'Netflix DCF Model Raw Data '!B42</f>
        <v>Stockholders’ equity:</v>
      </c>
      <c r="C33" s="23"/>
      <c r="D33" s="23"/>
      <c r="E33" s="23"/>
      <c r="F33" s="23"/>
      <c r="G33" s="23"/>
      <c r="H33" s="23"/>
      <c r="I33" s="23"/>
      <c r="J33" s="23"/>
    </row>
    <row r="34" spans="2:10" x14ac:dyDescent="0.3">
      <c r="B34" t="str">
        <f>'Netflix DCF Model Raw Data '!B43</f>
        <v>Common stock</v>
      </c>
      <c r="C34" s="23">
        <f>'Netflix DCF Model Raw Data '!C43</f>
        <v>4637601</v>
      </c>
      <c r="D34" s="23">
        <f>'Netflix DCF Model Raw Data '!D43</f>
        <v>5145172</v>
      </c>
      <c r="E34" s="23">
        <f>'Netflix DCF Model Raw Data '!E43</f>
        <v>6252126</v>
      </c>
      <c r="F34" s="24">
        <v>6252126</v>
      </c>
      <c r="G34" s="24">
        <v>6252126</v>
      </c>
      <c r="H34" s="24">
        <v>6252126</v>
      </c>
      <c r="I34" s="24">
        <v>6252126</v>
      </c>
      <c r="J34" s="24">
        <v>6252126</v>
      </c>
    </row>
    <row r="35" spans="2:10" x14ac:dyDescent="0.3">
      <c r="B35" t="str">
        <f>'Netflix DCF Model Raw Data '!B44</f>
        <v>Treasury stock at cost</v>
      </c>
      <c r="C35" s="23">
        <f>'Netflix DCF Model Raw Data '!C44</f>
        <v>-824190</v>
      </c>
      <c r="D35" s="23">
        <f>'Netflix DCF Model Raw Data '!D44</f>
        <v>-6922200</v>
      </c>
      <c r="E35" s="23">
        <f>'Netflix DCF Model Raw Data '!E44</f>
        <v>-13171638</v>
      </c>
      <c r="F35" s="24">
        <v>-13171638</v>
      </c>
      <c r="G35" s="24">
        <v>-13171638</v>
      </c>
      <c r="H35" s="24">
        <v>-13171638</v>
      </c>
      <c r="I35" s="24">
        <v>-13171638</v>
      </c>
      <c r="J35" s="24">
        <v>-13171638</v>
      </c>
    </row>
    <row r="36" spans="2:10" x14ac:dyDescent="0.3">
      <c r="B36" t="str">
        <f>'Netflix DCF Model Raw Data '!B45</f>
        <v>Accumulated other comprehensive loss</v>
      </c>
      <c r="C36" s="23">
        <f>'Netflix DCF Model Raw Data '!C45</f>
        <v>-217306</v>
      </c>
      <c r="D36" s="23">
        <f>'Netflix DCF Model Raw Data '!D45</f>
        <v>-223945</v>
      </c>
      <c r="E36" s="23">
        <f>'Netflix DCF Model Raw Data '!E45</f>
        <v>362162</v>
      </c>
      <c r="F36" s="24">
        <v>362162</v>
      </c>
      <c r="G36" s="24">
        <v>362162</v>
      </c>
      <c r="H36" s="24">
        <v>362162</v>
      </c>
      <c r="I36" s="24">
        <v>362162</v>
      </c>
      <c r="J36" s="24">
        <v>362162</v>
      </c>
    </row>
    <row r="37" spans="2:10" x14ac:dyDescent="0.3">
      <c r="B37" t="str">
        <f>'Netflix DCF Model Raw Data '!B46</f>
        <v>Retained earnings</v>
      </c>
      <c r="C37" s="23">
        <f>'Netflix DCF Model Raw Data '!C46</f>
        <v>17181296</v>
      </c>
      <c r="D37" s="23">
        <f>'Netflix DCF Model Raw Data '!D46</f>
        <v>22589286</v>
      </c>
      <c r="E37" s="23">
        <f>'Netflix DCF Model Raw Data '!E46</f>
        <v>31300917</v>
      </c>
      <c r="F37" s="24">
        <f>E37+'P&amp;L'!F34</f>
        <v>38739483.146787733</v>
      </c>
      <c r="G37" s="24">
        <f>F37+'P&amp;L'!G34</f>
        <v>49082151.497007534</v>
      </c>
      <c r="H37" s="24">
        <f>G37+'P&amp;L'!H34</f>
        <v>62964013.639361233</v>
      </c>
      <c r="I37" s="24">
        <f>H37+'P&amp;L'!I34</f>
        <v>79439556.471974984</v>
      </c>
      <c r="J37" s="24">
        <f>I37+'P&amp;L'!J34</f>
        <v>100091458.27039029</v>
      </c>
    </row>
    <row r="38" spans="2:10" x14ac:dyDescent="0.3">
      <c r="B38" s="65" t="str">
        <f>'Netflix DCF Model Raw Data '!B47</f>
        <v>Total stockholders’ equity</v>
      </c>
      <c r="C38" s="66">
        <f>SUM(C34:C37)</f>
        <v>20777401</v>
      </c>
      <c r="D38" s="66">
        <f t="shared" ref="D38:F38" si="9">SUM(D34:D37)</f>
        <v>20588313</v>
      </c>
      <c r="E38" s="66">
        <f t="shared" si="9"/>
        <v>24743567</v>
      </c>
      <c r="F38" s="66">
        <f t="shared" si="9"/>
        <v>32182133.146787733</v>
      </c>
      <c r="G38" s="66">
        <f t="shared" ref="G38" si="10">SUM(G34:G37)</f>
        <v>42524801.497007534</v>
      </c>
      <c r="H38" s="66">
        <f t="shared" ref="H38:I38" si="11">SUM(H34:H37)</f>
        <v>56406663.639361233</v>
      </c>
      <c r="I38" s="66">
        <f t="shared" si="11"/>
        <v>72882206.471974984</v>
      </c>
      <c r="J38" s="66">
        <f t="shared" ref="J38" si="12">SUM(J34:J37)</f>
        <v>93534108.270390287</v>
      </c>
    </row>
    <row r="39" spans="2:10" x14ac:dyDescent="0.3">
      <c r="C39" s="23"/>
      <c r="D39" s="23"/>
      <c r="E39" s="23"/>
      <c r="F39" s="23"/>
      <c r="G39" s="23"/>
      <c r="H39" s="23"/>
      <c r="I39" s="23"/>
      <c r="J39" s="23"/>
    </row>
    <row r="40" spans="2:10" ht="15" thickBot="1" x14ac:dyDescent="0.35">
      <c r="B40" s="63" t="str">
        <f>'Netflix DCF Model Raw Data '!B48</f>
        <v>Total liabilities and stockholders’ equity</v>
      </c>
      <c r="C40" s="64">
        <f>SUM(C25,C31,C38)</f>
        <v>48594768</v>
      </c>
      <c r="D40" s="64">
        <f t="shared" ref="D40:J40" si="13">SUM(D25,D31,D38)</f>
        <v>48731992</v>
      </c>
      <c r="E40" s="64">
        <f t="shared" si="13"/>
        <v>53630374</v>
      </c>
      <c r="F40" s="64">
        <f t="shared" si="13"/>
        <v>63272529.447197899</v>
      </c>
      <c r="G40" s="64">
        <f t="shared" si="13"/>
        <v>75134416.939075395</v>
      </c>
      <c r="H40" s="64">
        <f t="shared" si="13"/>
        <v>90914641.818364933</v>
      </c>
      <c r="I40" s="64">
        <f t="shared" si="13"/>
        <v>111609505.34073947</v>
      </c>
      <c r="J40" s="64">
        <f t="shared" si="13"/>
        <v>137077732.80741474</v>
      </c>
    </row>
    <row r="41" spans="2:10" ht="15" thickTop="1" x14ac:dyDescent="0.3"/>
    <row r="42" spans="2:10" x14ac:dyDescent="0.3">
      <c r="B42" t="s">
        <v>140</v>
      </c>
      <c r="C42" t="b">
        <f>C15=C40</f>
        <v>1</v>
      </c>
      <c r="D42" t="b">
        <f t="shared" ref="D42:J42" si="14">D15=D40</f>
        <v>1</v>
      </c>
      <c r="E42" t="b">
        <f t="shared" si="14"/>
        <v>1</v>
      </c>
      <c r="F42" t="b">
        <f t="shared" si="14"/>
        <v>1</v>
      </c>
      <c r="G42" t="b">
        <f t="shared" si="14"/>
        <v>1</v>
      </c>
      <c r="H42" t="b">
        <f t="shared" si="14"/>
        <v>1</v>
      </c>
      <c r="I42" t="b">
        <f t="shared" si="14"/>
        <v>1</v>
      </c>
      <c r="J42" t="b">
        <f t="shared" si="14"/>
        <v>1</v>
      </c>
    </row>
  </sheetData>
  <mergeCells count="1">
    <mergeCell ref="B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3EAD-0327-401E-8B23-729DE001962F}">
  <dimension ref="B2:J35"/>
  <sheetViews>
    <sheetView zoomScale="96" zoomScaleNormal="85" workbookViewId="0">
      <pane ySplit="3" topLeftCell="A16" activePane="bottomLeft" state="frozen"/>
      <selection pane="bottomLeft" activeCell="N24" sqref="N24"/>
    </sheetView>
  </sheetViews>
  <sheetFormatPr defaultRowHeight="14.4" x14ac:dyDescent="0.3"/>
  <cols>
    <col min="1" max="1" width="1.88671875" customWidth="1"/>
    <col min="2" max="2" width="32.88671875" customWidth="1"/>
    <col min="3" max="3" width="6.44140625" customWidth="1"/>
    <col min="4" max="4" width="6" customWidth="1"/>
    <col min="5" max="5" width="6.33203125" customWidth="1"/>
    <col min="6" max="6" width="13.88671875" customWidth="1"/>
    <col min="7" max="7" width="18.21875" customWidth="1"/>
    <col min="8" max="8" width="17" customWidth="1"/>
    <col min="9" max="9" width="18.88671875" customWidth="1"/>
    <col min="10" max="10" width="18.77734375" customWidth="1"/>
  </cols>
  <sheetData>
    <row r="2" spans="2:10" x14ac:dyDescent="0.3">
      <c r="B2" s="21" t="s">
        <v>117</v>
      </c>
      <c r="C2" s="21"/>
      <c r="D2" s="21"/>
      <c r="E2" s="21"/>
      <c r="F2" s="21"/>
      <c r="G2" s="21"/>
      <c r="H2" s="21"/>
      <c r="I2" s="21"/>
      <c r="J2" s="21"/>
    </row>
    <row r="3" spans="2:10" x14ac:dyDescent="0.3">
      <c r="B3" s="14" t="s">
        <v>138</v>
      </c>
      <c r="C3" s="14">
        <v>2022</v>
      </c>
      <c r="D3" s="14">
        <v>2023</v>
      </c>
      <c r="E3" s="14">
        <v>2024</v>
      </c>
      <c r="F3" s="15" t="s">
        <v>64</v>
      </c>
      <c r="G3" s="15" t="s">
        <v>65</v>
      </c>
      <c r="H3" s="15" t="s">
        <v>66</v>
      </c>
      <c r="I3" s="15" t="s">
        <v>67</v>
      </c>
      <c r="J3" s="15" t="s">
        <v>68</v>
      </c>
    </row>
    <row r="4" spans="2:10" x14ac:dyDescent="0.3">
      <c r="B4" t="s">
        <v>108</v>
      </c>
      <c r="C4" s="34"/>
      <c r="D4" s="34"/>
      <c r="E4" s="34"/>
      <c r="F4" s="23">
        <f>'P&amp;L'!F22</f>
        <v>9362472.6847885214</v>
      </c>
      <c r="G4" s="23">
        <f>'P&amp;L'!G22</f>
        <v>12762146.977090657</v>
      </c>
      <c r="H4" s="23">
        <f>'P&amp;L'!H22</f>
        <v>16911686.772683259</v>
      </c>
      <c r="I4" s="23">
        <f>'P&amp;L'!I22</f>
        <v>20078982.746255033</v>
      </c>
      <c r="J4" s="23">
        <f>'P&amp;L'!J22</f>
        <v>25100844.240362033</v>
      </c>
    </row>
    <row r="5" spans="2:10" x14ac:dyDescent="0.3">
      <c r="B5" t="s">
        <v>118</v>
      </c>
      <c r="C5" s="34"/>
      <c r="D5" s="34"/>
      <c r="E5" s="34"/>
      <c r="F5" s="23">
        <f>F4*F6</f>
        <v>-1244768.179639074</v>
      </c>
      <c r="G5" s="23">
        <f t="shared" ref="G5:J5" si="0">G4*G6</f>
        <v>-1696764.8393537907</v>
      </c>
      <c r="H5" s="23">
        <f t="shared" si="0"/>
        <v>-2248458.3151694024</v>
      </c>
      <c r="I5" s="23">
        <f t="shared" si="0"/>
        <v>-2669559.596437403</v>
      </c>
      <c r="J5" s="23">
        <f t="shared" si="0"/>
        <v>-3337230.7983598821</v>
      </c>
    </row>
    <row r="6" spans="2:10" x14ac:dyDescent="0.3">
      <c r="B6" t="s">
        <v>120</v>
      </c>
      <c r="C6" s="34"/>
      <c r="D6" s="34"/>
      <c r="E6" s="34"/>
      <c r="F6" s="9">
        <f>'P&amp;L'!F32</f>
        <v>-0.13295293044341638</v>
      </c>
      <c r="G6" s="9">
        <f>'P&amp;L'!G32</f>
        <v>-0.13295293044341638</v>
      </c>
      <c r="H6" s="9">
        <f>'P&amp;L'!H32</f>
        <v>-0.13295293044341638</v>
      </c>
      <c r="I6" s="9">
        <f>'P&amp;L'!I32</f>
        <v>-0.13295293044341638</v>
      </c>
      <c r="J6" s="9">
        <f>'P&amp;L'!J32</f>
        <v>-0.13295293044341638</v>
      </c>
    </row>
    <row r="7" spans="2:10" x14ac:dyDescent="0.3">
      <c r="C7" s="34"/>
      <c r="D7" s="34"/>
      <c r="E7" s="34"/>
    </row>
    <row r="8" spans="2:10" x14ac:dyDescent="0.3">
      <c r="B8" s="25" t="s">
        <v>119</v>
      </c>
      <c r="C8" s="35"/>
      <c r="D8" s="35"/>
      <c r="E8" s="35"/>
      <c r="F8" s="37">
        <f>F4+F5</f>
        <v>8117704.5051494474</v>
      </c>
      <c r="G8" s="37">
        <f t="shared" ref="G8:J8" si="1">G4+G5</f>
        <v>11065382.137736866</v>
      </c>
      <c r="H8" s="37">
        <f t="shared" si="1"/>
        <v>14663228.457513858</v>
      </c>
      <c r="I8" s="37">
        <f t="shared" si="1"/>
        <v>17409423.149817631</v>
      </c>
      <c r="J8" s="37">
        <f t="shared" si="1"/>
        <v>21763613.442002151</v>
      </c>
    </row>
    <row r="9" spans="2:10" x14ac:dyDescent="0.3">
      <c r="C9" s="34"/>
      <c r="D9" s="34"/>
      <c r="E9" s="34"/>
    </row>
    <row r="10" spans="2:10" x14ac:dyDescent="0.3">
      <c r="B10" t="s">
        <v>121</v>
      </c>
      <c r="C10" s="34"/>
      <c r="D10" s="34"/>
      <c r="E10" s="34"/>
      <c r="F10" s="23">
        <f>Schedules!F7</f>
        <v>367382.18221298163</v>
      </c>
      <c r="G10" s="23">
        <f>Schedules!G7</f>
        <v>379309.12189149315</v>
      </c>
      <c r="H10" s="23">
        <f>Schedules!H7</f>
        <v>389089.96246360202</v>
      </c>
      <c r="I10" s="23">
        <f>Schedules!I7</f>
        <v>397109.26597133826</v>
      </c>
      <c r="J10" s="23">
        <f>Schedules!J7</f>
        <v>403682.97170706611</v>
      </c>
    </row>
    <row r="11" spans="2:10" x14ac:dyDescent="0.3">
      <c r="B11" t="s">
        <v>122</v>
      </c>
      <c r="C11" s="34"/>
      <c r="D11" s="34"/>
      <c r="E11" s="34"/>
      <c r="F11" s="23">
        <f>Schedules!F17</f>
        <v>15556063.682149816</v>
      </c>
      <c r="G11" s="23">
        <f>Schedules!G17</f>
        <v>15729047.519364577</v>
      </c>
      <c r="H11" s="23">
        <f>Schedules!H17</f>
        <v>15846603.197894026</v>
      </c>
      <c r="I11" s="23">
        <f>Schedules!I17</f>
        <v>15926491.225452133</v>
      </c>
      <c r="J11" s="23">
        <f>Schedules!J17</f>
        <v>15980781.218304547</v>
      </c>
    </row>
    <row r="12" spans="2:10" x14ac:dyDescent="0.3">
      <c r="C12" s="34"/>
      <c r="D12" s="34"/>
      <c r="E12" s="34"/>
    </row>
    <row r="13" spans="2:10" x14ac:dyDescent="0.3">
      <c r="B13" s="25" t="s">
        <v>123</v>
      </c>
      <c r="C13" s="35"/>
      <c r="D13" s="35"/>
      <c r="E13" s="35"/>
      <c r="F13" s="37">
        <f>F8+F10+F11</f>
        <v>24041150.369512245</v>
      </c>
      <c r="G13" s="37">
        <f t="shared" ref="G13:J13" si="2">G8+G10+G11</f>
        <v>27173738.778992936</v>
      </c>
      <c r="H13" s="37">
        <f t="shared" si="2"/>
        <v>30898921.617871486</v>
      </c>
      <c r="I13" s="37">
        <f t="shared" si="2"/>
        <v>33733023.641241103</v>
      </c>
      <c r="J13" s="37">
        <f t="shared" si="2"/>
        <v>38148077.632013761</v>
      </c>
    </row>
    <row r="14" spans="2:10" x14ac:dyDescent="0.3">
      <c r="C14" s="34"/>
      <c r="D14" s="34"/>
      <c r="E14" s="34"/>
    </row>
    <row r="15" spans="2:10" x14ac:dyDescent="0.3">
      <c r="B15" t="s">
        <v>131</v>
      </c>
      <c r="C15" s="34"/>
      <c r="D15" s="34"/>
      <c r="E15" s="34"/>
      <c r="F15" s="23">
        <f>'Other Items of P&amp;L'!F18-'Other Items of P&amp;L'!E18</f>
        <v>53370.427106260555</v>
      </c>
      <c r="G15" s="23">
        <f>'Other Items of P&amp;L'!G18-'Other Items of P&amp;L'!F18</f>
        <v>38854.854203694849</v>
      </c>
      <c r="H15" s="23">
        <f>'Other Items of P&amp;L'!H18-'Other Items of P&amp;L'!G18</f>
        <v>20817.13512709504</v>
      </c>
      <c r="I15" s="23">
        <f>'Other Items of P&amp;L'!I18-'Other Items of P&amp;L'!H18</f>
        <v>87770.019239727058</v>
      </c>
      <c r="J15" s="23">
        <f>'Other Items of P&amp;L'!J18-'Other Items of P&amp;L'!I18</f>
        <v>44030.63926685974</v>
      </c>
    </row>
    <row r="16" spans="2:10" x14ac:dyDescent="0.3">
      <c r="B16" t="s">
        <v>132</v>
      </c>
      <c r="C16" s="34"/>
      <c r="D16" s="34"/>
      <c r="E16" s="34"/>
      <c r="F16" s="23">
        <f>'Other Items of P&amp;L'!F24-'Other Items of P&amp;L'!E24</f>
        <v>150213.31471650396</v>
      </c>
      <c r="G16" s="23">
        <f>'Other Items of P&amp;L'!G24-'Other Items of P&amp;L'!F24</f>
        <v>198660.13908787444</v>
      </c>
      <c r="H16" s="23">
        <f>'Other Items of P&amp;L'!H24-'Other Items of P&amp;L'!G24</f>
        <v>219826.7563697407</v>
      </c>
      <c r="I16" s="23">
        <f>'Other Items of P&amp;L'!I24-'Other Items of P&amp;L'!H24</f>
        <v>261184.99506225809</v>
      </c>
      <c r="J16" s="23">
        <f>'Other Items of P&amp;L'!J24-'Other Items of P&amp;L'!I24</f>
        <v>285892.95706892107</v>
      </c>
    </row>
    <row r="17" spans="2:10" x14ac:dyDescent="0.3">
      <c r="B17" t="s">
        <v>133</v>
      </c>
      <c r="C17" s="34"/>
      <c r="D17" s="34"/>
      <c r="E17" s="34"/>
      <c r="F17" s="23"/>
      <c r="G17" s="23"/>
      <c r="H17" s="23"/>
      <c r="I17" s="23"/>
      <c r="J17" s="23"/>
    </row>
    <row r="18" spans="2:10" x14ac:dyDescent="0.3">
      <c r="B18" t="s">
        <v>134</v>
      </c>
      <c r="C18" s="34"/>
      <c r="D18" s="34"/>
      <c r="E18" s="34"/>
      <c r="F18" s="23">
        <f>'Other Items of P&amp;L'!F21-'Other Items of P&amp;L'!E21</f>
        <v>213005.55858740583</v>
      </c>
      <c r="G18" s="23">
        <f>'Other Items of P&amp;L'!G21-'Other Items of P&amp;L'!F21</f>
        <v>281704.14836611785</v>
      </c>
      <c r="H18" s="23">
        <f>'Other Items of P&amp;L'!H21-'Other Items of P&amp;L'!G21</f>
        <v>311718.84543900285</v>
      </c>
      <c r="I18" s="23">
        <f>'Other Items of P&amp;L'!I21-'Other Items of P&amp;L'!H21</f>
        <v>370365.67545881169</v>
      </c>
      <c r="J18" s="23">
        <f>'Other Items of P&amp;L'!J21-'Other Items of P&amp;L'!I21</f>
        <v>405402.07192418771</v>
      </c>
    </row>
    <row r="19" spans="2:10" x14ac:dyDescent="0.3">
      <c r="B19" t="s">
        <v>135</v>
      </c>
      <c r="C19" s="34"/>
      <c r="D19" s="34"/>
      <c r="E19" s="34"/>
      <c r="F19" s="23">
        <f>'Other Items of P&amp;L'!F15-'Other Items of P&amp;L'!E15</f>
        <v>398433.99293879233</v>
      </c>
      <c r="G19" s="23">
        <f>'Other Items of P&amp;L'!G15-'Other Items of P&amp;L'!F15</f>
        <v>465443.98321368825</v>
      </c>
      <c r="H19" s="23">
        <f>'Other Items of P&amp;L'!H15-'Other Items of P&amp;L'!G15</f>
        <v>515035.58575693332</v>
      </c>
      <c r="I19" s="23">
        <f>'Other Items of P&amp;L'!I15-'Other Items of P&amp;L'!H15</f>
        <v>611934.45758965984</v>
      </c>
      <c r="J19" s="23">
        <f>'Other Items of P&amp;L'!J15-'Other Items of P&amp;L'!I15</f>
        <v>669823.13272235543</v>
      </c>
    </row>
    <row r="20" spans="2:10" x14ac:dyDescent="0.3">
      <c r="C20" s="34"/>
      <c r="D20" s="34"/>
      <c r="E20" s="34"/>
    </row>
    <row r="21" spans="2:10" x14ac:dyDescent="0.3">
      <c r="B21" s="25" t="s">
        <v>124</v>
      </c>
      <c r="C21" s="35"/>
      <c r="D21" s="35"/>
      <c r="E21" s="35"/>
      <c r="F21" s="37">
        <f>(F15+F16+F17+F18)-F19</f>
        <v>18155.307471378008</v>
      </c>
      <c r="G21" s="37">
        <f t="shared" ref="G21:J21" si="3">(G15+G16+G17+G18)-G19</f>
        <v>53775.158443998895</v>
      </c>
      <c r="H21" s="37">
        <f t="shared" si="3"/>
        <v>37327.151178905275</v>
      </c>
      <c r="I21" s="37">
        <f t="shared" si="3"/>
        <v>107386.232171137</v>
      </c>
      <c r="J21" s="37">
        <f t="shared" si="3"/>
        <v>65502.53553761309</v>
      </c>
    </row>
    <row r="22" spans="2:10" x14ac:dyDescent="0.3">
      <c r="C22" s="34"/>
      <c r="D22" s="34"/>
      <c r="E22" s="34"/>
    </row>
    <row r="23" spans="2:10" x14ac:dyDescent="0.3">
      <c r="B23" t="s">
        <v>90</v>
      </c>
      <c r="C23" s="34"/>
      <c r="D23" s="34"/>
      <c r="E23" s="34"/>
      <c r="F23" s="23">
        <f>Schedules!F16</f>
        <v>16095923</v>
      </c>
      <c r="G23" s="23">
        <f>Schedules!G16</f>
        <v>16095923</v>
      </c>
      <c r="H23" s="23">
        <f>Schedules!H16</f>
        <v>16095923</v>
      </c>
      <c r="I23" s="23">
        <f>Schedules!I16</f>
        <v>16095923</v>
      </c>
      <c r="J23" s="23">
        <f>Schedules!J16</f>
        <v>16095923</v>
      </c>
    </row>
    <row r="24" spans="2:10" x14ac:dyDescent="0.3">
      <c r="B24" t="s">
        <v>136</v>
      </c>
      <c r="C24" s="34"/>
      <c r="D24" s="34"/>
      <c r="E24" s="34"/>
      <c r="F24" s="23">
        <f>Schedules!F6</f>
        <v>431226</v>
      </c>
      <c r="G24" s="23">
        <f>Schedules!G6</f>
        <v>431226</v>
      </c>
      <c r="H24" s="23">
        <f>Schedules!H6</f>
        <v>431226</v>
      </c>
      <c r="I24" s="23">
        <f>Schedules!I6</f>
        <v>431226</v>
      </c>
      <c r="J24" s="23">
        <f>Schedules!J6</f>
        <v>431226</v>
      </c>
    </row>
    <row r="25" spans="2:10" x14ac:dyDescent="0.3">
      <c r="C25" s="34"/>
      <c r="D25" s="34"/>
      <c r="E25" s="34"/>
    </row>
    <row r="26" spans="2:10" x14ac:dyDescent="0.3">
      <c r="B26" s="25" t="s">
        <v>125</v>
      </c>
      <c r="C26" s="35"/>
      <c r="D26" s="35"/>
      <c r="E26" s="35"/>
      <c r="F26" s="37">
        <f>-(F23+F24)</f>
        <v>-16527149</v>
      </c>
      <c r="G26" s="37">
        <f t="shared" ref="G26:J26" si="4">-(G23+G24)</f>
        <v>-16527149</v>
      </c>
      <c r="H26" s="37">
        <f t="shared" si="4"/>
        <v>-16527149</v>
      </c>
      <c r="I26" s="37">
        <f t="shared" si="4"/>
        <v>-16527149</v>
      </c>
      <c r="J26" s="37">
        <f t="shared" si="4"/>
        <v>-16527149</v>
      </c>
    </row>
    <row r="27" spans="2:10" x14ac:dyDescent="0.3">
      <c r="C27" s="34"/>
      <c r="D27" s="34"/>
      <c r="E27" s="34"/>
    </row>
    <row r="28" spans="2:10" x14ac:dyDescent="0.3">
      <c r="B28" s="38" t="s">
        <v>126</v>
      </c>
      <c r="C28" s="38"/>
      <c r="D28" s="38"/>
      <c r="E28" s="38"/>
      <c r="F28" s="39">
        <f>F13+F21+F26</f>
        <v>7532156.6769836247</v>
      </c>
      <c r="G28" s="39">
        <f t="shared" ref="G28:J28" si="5">G13+G21+G26</f>
        <v>10700364.937436935</v>
      </c>
      <c r="H28" s="39">
        <f t="shared" si="5"/>
        <v>14409099.76905039</v>
      </c>
      <c r="I28" s="39">
        <f t="shared" si="5"/>
        <v>17313260.873412244</v>
      </c>
      <c r="J28" s="39">
        <f t="shared" si="5"/>
        <v>21686431.167551376</v>
      </c>
    </row>
    <row r="29" spans="2:10" x14ac:dyDescent="0.3">
      <c r="C29" s="34"/>
      <c r="D29" s="34"/>
      <c r="E29" s="34"/>
    </row>
    <row r="30" spans="2:10" x14ac:dyDescent="0.3">
      <c r="B30" t="s">
        <v>127</v>
      </c>
      <c r="C30" s="34"/>
      <c r="D30" s="34"/>
      <c r="E30" s="34"/>
      <c r="F30" s="23">
        <f>'P&amp;L'!F31-'Cash Flow'!F5</f>
        <v>104139.02323307307</v>
      </c>
      <c r="G30" s="23">
        <f>'P&amp;L'!G31-'Cash Flow'!G5</f>
        <v>110820.87616234459</v>
      </c>
      <c r="H30" s="23">
        <f>'P&amp;L'!H31-'Cash Flow'!H5</f>
        <v>119814.65020514373</v>
      </c>
      <c r="I30" s="23">
        <f>'P&amp;L'!I31-'Cash Flow'!I5</f>
        <v>143201.13545759348</v>
      </c>
      <c r="J30" s="23">
        <f>'P&amp;L'!J31-'Cash Flow'!J5</f>
        <v>170469.77726195054</v>
      </c>
    </row>
    <row r="31" spans="2:10" x14ac:dyDescent="0.3">
      <c r="B31" t="s">
        <v>128</v>
      </c>
      <c r="C31" s="34"/>
      <c r="D31" s="34"/>
      <c r="E31" s="34"/>
      <c r="F31" s="23">
        <f>Schedules!F29</f>
        <v>-783277.38159478793</v>
      </c>
      <c r="G31" s="23">
        <f>Schedules!G29</f>
        <v>-833534.66367940616</v>
      </c>
      <c r="H31" s="23">
        <f>Schedules!H29</f>
        <v>-901180.9653653024</v>
      </c>
      <c r="I31" s="23">
        <f>Schedules!I29</f>
        <v>-1077081.4526614666</v>
      </c>
      <c r="J31" s="23">
        <f>Schedules!J29</f>
        <v>-1282181.4208487938</v>
      </c>
    </row>
    <row r="32" spans="2:10" x14ac:dyDescent="0.3">
      <c r="B32" t="s">
        <v>129</v>
      </c>
      <c r="C32" s="34"/>
      <c r="D32" s="34"/>
      <c r="E32" s="34"/>
      <c r="F32" s="23">
        <f>Schedules!F26</f>
        <v>-1787000</v>
      </c>
      <c r="G32" s="23">
        <f>Schedules!G26</f>
        <v>-1000000</v>
      </c>
      <c r="H32" s="23">
        <f>Schedules!H26</f>
        <v>-1346000</v>
      </c>
      <c r="I32" s="23">
        <f>Schedules!I26</f>
        <v>-3500000</v>
      </c>
      <c r="J32" s="23">
        <f>Schedules!J26</f>
        <v>-4081000</v>
      </c>
    </row>
    <row r="33" spans="2:10" x14ac:dyDescent="0.3">
      <c r="C33" s="34"/>
      <c r="D33" s="34"/>
      <c r="E33" s="34"/>
    </row>
    <row r="34" spans="2:10" ht="15" thickBot="1" x14ac:dyDescent="0.35">
      <c r="B34" s="27" t="s">
        <v>130</v>
      </c>
      <c r="C34" s="36"/>
      <c r="D34" s="36"/>
      <c r="E34" s="36"/>
      <c r="F34" s="37">
        <f>F28+F31+F30-F32</f>
        <v>8640018.3186219092</v>
      </c>
      <c r="G34" s="37">
        <f t="shared" ref="G34:J34" si="6">G28+G31+G30-G32</f>
        <v>10977651.149919873</v>
      </c>
      <c r="H34" s="37">
        <f t="shared" si="6"/>
        <v>14973733.453890231</v>
      </c>
      <c r="I34" s="37">
        <f t="shared" si="6"/>
        <v>19879380.556208372</v>
      </c>
      <c r="J34" s="37">
        <f t="shared" si="6"/>
        <v>24655719.523964532</v>
      </c>
    </row>
    <row r="35" spans="2:10" ht="15" thickTop="1" x14ac:dyDescent="0.3"/>
  </sheetData>
  <mergeCells count="1">
    <mergeCell ref="B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00A1-C4EF-40B4-BC0D-590B2CD32B82}">
  <dimension ref="B2:C17"/>
  <sheetViews>
    <sheetView showGridLines="0" tabSelected="1" workbookViewId="0">
      <selection activeCell="G7" sqref="G7"/>
    </sheetView>
  </sheetViews>
  <sheetFormatPr defaultRowHeight="14.4" x14ac:dyDescent="0.3"/>
  <cols>
    <col min="1" max="1" width="1.88671875" customWidth="1"/>
    <col min="2" max="2" width="18.77734375" customWidth="1"/>
    <col min="3" max="3" width="22" customWidth="1"/>
  </cols>
  <sheetData>
    <row r="2" spans="2:3" x14ac:dyDescent="0.3">
      <c r="B2" s="40" t="s">
        <v>145</v>
      </c>
      <c r="C2" s="40"/>
    </row>
    <row r="4" spans="2:3" x14ac:dyDescent="0.3">
      <c r="B4" t="s">
        <v>146</v>
      </c>
      <c r="C4" s="79">
        <v>4.1500000000000002E-2</v>
      </c>
    </row>
    <row r="5" spans="2:3" x14ac:dyDescent="0.3">
      <c r="B5" t="s">
        <v>147</v>
      </c>
      <c r="C5" s="79">
        <v>4.4400000000000002E-2</v>
      </c>
    </row>
    <row r="6" spans="2:3" x14ac:dyDescent="0.3">
      <c r="B6" t="s">
        <v>148</v>
      </c>
      <c r="C6" s="33">
        <v>1.38</v>
      </c>
    </row>
    <row r="8" spans="2:3" x14ac:dyDescent="0.3">
      <c r="B8" s="80" t="s">
        <v>58</v>
      </c>
      <c r="C8" s="81" t="s">
        <v>149</v>
      </c>
    </row>
    <row r="10" spans="2:3" x14ac:dyDescent="0.3">
      <c r="B10" t="s">
        <v>150</v>
      </c>
      <c r="C10" s="9">
        <f>C4+C5*C6</f>
        <v>0.102772</v>
      </c>
    </row>
    <row r="11" spans="2:3" x14ac:dyDescent="0.3">
      <c r="B11" t="s">
        <v>151</v>
      </c>
      <c r="C11" s="9">
        <v>5.3999999999999999E-2</v>
      </c>
    </row>
    <row r="12" spans="2:3" x14ac:dyDescent="0.3">
      <c r="B12" t="s">
        <v>154</v>
      </c>
      <c r="C12" s="8">
        <f>'Balance Sheet'!J38</f>
        <v>93534108.270390287</v>
      </c>
    </row>
    <row r="13" spans="2:3" x14ac:dyDescent="0.3">
      <c r="B13" t="s">
        <v>155</v>
      </c>
      <c r="C13" s="8">
        <f>'Balance Sheet'!J28</f>
        <v>25512351</v>
      </c>
    </row>
    <row r="14" spans="2:3" x14ac:dyDescent="0.3">
      <c r="B14" t="s">
        <v>152</v>
      </c>
      <c r="C14">
        <f>C12/(C12+C13)</f>
        <v>0.78569416380495805</v>
      </c>
    </row>
    <row r="15" spans="2:3" x14ac:dyDescent="0.3">
      <c r="B15" t="s">
        <v>153</v>
      </c>
      <c r="C15">
        <f>C13/(C12+C13)</f>
        <v>0.21430583619504201</v>
      </c>
    </row>
    <row r="17" spans="2:3" x14ac:dyDescent="0.3">
      <c r="B17" s="74" t="s">
        <v>156</v>
      </c>
      <c r="C17" s="75">
        <f>(C10*C14)+(C11*C15)</f>
        <v>9.2319875757095424E-2</v>
      </c>
    </row>
  </sheetData>
  <mergeCells count="1"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FD55-7757-4EAA-8709-798AFCADDBC4}">
  <dimension ref="B2:G20"/>
  <sheetViews>
    <sheetView showGridLines="0" workbookViewId="0">
      <selection activeCell="E12" sqref="E12"/>
    </sheetView>
  </sheetViews>
  <sheetFormatPr defaultRowHeight="14.4" x14ac:dyDescent="0.3"/>
  <cols>
    <col min="1" max="1" width="1.88671875" customWidth="1"/>
    <col min="2" max="2" width="32.33203125" customWidth="1"/>
    <col min="3" max="3" width="15.88671875" customWidth="1"/>
    <col min="4" max="4" width="12.77734375" customWidth="1"/>
    <col min="5" max="5" width="13.88671875" customWidth="1"/>
    <col min="6" max="6" width="15.44140625" customWidth="1"/>
    <col min="7" max="7" width="14.6640625" customWidth="1"/>
  </cols>
  <sheetData>
    <row r="2" spans="2:7" ht="25.8" x14ac:dyDescent="0.5">
      <c r="B2" s="47" t="s">
        <v>157</v>
      </c>
      <c r="C2" s="47"/>
      <c r="D2" s="47"/>
      <c r="E2" s="47"/>
      <c r="F2" s="47"/>
      <c r="G2" s="47"/>
    </row>
    <row r="3" spans="2:7" x14ac:dyDescent="0.3">
      <c r="B3" s="48" t="s">
        <v>58</v>
      </c>
      <c r="C3" s="43" t="s">
        <v>64</v>
      </c>
      <c r="D3" s="43" t="s">
        <v>65</v>
      </c>
      <c r="E3" s="43" t="s">
        <v>66</v>
      </c>
      <c r="F3" s="43" t="s">
        <v>67</v>
      </c>
      <c r="G3" s="43" t="s">
        <v>68</v>
      </c>
    </row>
    <row r="4" spans="2:7" x14ac:dyDescent="0.3">
      <c r="B4" t="s">
        <v>126</v>
      </c>
      <c r="C4" s="23">
        <f>'Cash Flow'!F28</f>
        <v>7532156.6769836247</v>
      </c>
      <c r="D4" s="23">
        <f>'Cash Flow'!G28</f>
        <v>10700364.937436935</v>
      </c>
      <c r="E4" s="23">
        <f>'Cash Flow'!H28</f>
        <v>14409099.76905039</v>
      </c>
      <c r="F4" s="23">
        <f>'Cash Flow'!I28</f>
        <v>17313260.873412244</v>
      </c>
      <c r="G4" s="23">
        <f>'Cash Flow'!J28</f>
        <v>21686431.167551376</v>
      </c>
    </row>
    <row r="5" spans="2:7" x14ac:dyDescent="0.3">
      <c r="B5" t="s">
        <v>158</v>
      </c>
      <c r="C5">
        <f>1/(1+WACC!$C$17)^DCF!C6</f>
        <v>0.91548274657814155</v>
      </c>
      <c r="D5">
        <f>1/(1+WACC!$C$17)^DCF!D6</f>
        <v>0.83810865928225775</v>
      </c>
      <c r="E5">
        <f>1/(1+WACC!$C$17)^DCF!E6</f>
        <v>0.76727401733064526</v>
      </c>
      <c r="F5">
        <f>1/(1+WACC!$C$17)^DCF!F6</f>
        <v>0.70242612476390376</v>
      </c>
      <c r="G5">
        <f>1/(1+WACC!$C$17)^DCF!G6</f>
        <v>0.64305899796709887</v>
      </c>
    </row>
    <row r="6" spans="2:7" x14ac:dyDescent="0.3">
      <c r="B6" t="s">
        <v>159</v>
      </c>
      <c r="C6">
        <v>1</v>
      </c>
      <c r="D6">
        <v>2</v>
      </c>
      <c r="E6">
        <v>3</v>
      </c>
      <c r="F6">
        <v>4</v>
      </c>
      <c r="G6">
        <v>5</v>
      </c>
    </row>
    <row r="8" spans="2:7" x14ac:dyDescent="0.3">
      <c r="B8" t="s">
        <v>160</v>
      </c>
      <c r="C8" s="23">
        <f>C4*C5</f>
        <v>6895559.4823018564</v>
      </c>
      <c r="D8" s="23">
        <f t="shared" ref="D8:G8" si="0">D4*D5</f>
        <v>8968068.5115461498</v>
      </c>
      <c r="E8" s="23">
        <f t="shared" si="0"/>
        <v>11055727.865917366</v>
      </c>
      <c r="F8" s="23">
        <f t="shared" si="0"/>
        <v>12161286.742337482</v>
      </c>
      <c r="G8" s="23">
        <f t="shared" si="0"/>
        <v>13945654.69608805</v>
      </c>
    </row>
    <row r="10" spans="2:7" x14ac:dyDescent="0.3">
      <c r="B10" t="s">
        <v>161</v>
      </c>
      <c r="C10" s="23">
        <f>SUM(C8:G8)</f>
        <v>53026297.298190907</v>
      </c>
      <c r="D10" s="23"/>
      <c r="E10" s="23"/>
      <c r="F10" s="23"/>
      <c r="G10" s="23"/>
    </row>
    <row r="12" spans="2:7" x14ac:dyDescent="0.3">
      <c r="B12" t="s">
        <v>163</v>
      </c>
      <c r="C12" s="33">
        <v>2.8</v>
      </c>
    </row>
    <row r="13" spans="2:7" x14ac:dyDescent="0.3">
      <c r="B13" t="s">
        <v>164</v>
      </c>
      <c r="C13" s="23">
        <f>G4*(1+C12)/(DCF!E22-DCF!C12)</f>
        <v>-29431585.155962579</v>
      </c>
      <c r="D13" s="23"/>
      <c r="E13" s="23"/>
      <c r="F13" s="23"/>
      <c r="G13" s="23"/>
    </row>
    <row r="15" spans="2:7" x14ac:dyDescent="0.3">
      <c r="B15" t="s">
        <v>162</v>
      </c>
      <c r="C15" s="23">
        <f>C13*G5</f>
        <v>-18926245.658976637</v>
      </c>
      <c r="D15" s="23"/>
      <c r="E15" s="23"/>
      <c r="F15" s="23"/>
      <c r="G15" s="23"/>
    </row>
    <row r="17" spans="2:7" x14ac:dyDescent="0.3">
      <c r="B17" s="53" t="s">
        <v>165</v>
      </c>
      <c r="C17" s="76">
        <f>C15+C10</f>
        <v>34100051.63921427</v>
      </c>
      <c r="D17" s="23"/>
      <c r="E17" s="23"/>
      <c r="F17" s="23"/>
      <c r="G17" s="23"/>
    </row>
    <row r="18" spans="2:7" x14ac:dyDescent="0.3">
      <c r="B18" t="s">
        <v>155</v>
      </c>
      <c r="C18" s="23">
        <f>'Balance Sheet'!J28</f>
        <v>25512351</v>
      </c>
      <c r="D18" s="23"/>
      <c r="E18" s="23"/>
      <c r="F18" s="23"/>
      <c r="G18" s="23"/>
    </row>
    <row r="19" spans="2:7" x14ac:dyDescent="0.3">
      <c r="B19" t="s">
        <v>167</v>
      </c>
      <c r="C19" s="23">
        <f>'Balance Sheet'!J6</f>
        <v>86931236.002604917</v>
      </c>
      <c r="D19" s="23"/>
      <c r="E19" s="23"/>
      <c r="F19" s="23"/>
      <c r="G19" s="23"/>
    </row>
    <row r="20" spans="2:7" x14ac:dyDescent="0.3">
      <c r="B20" s="77" t="s">
        <v>166</v>
      </c>
      <c r="C20" s="78">
        <f>C17-C18+C19</f>
        <v>95518936.641819179</v>
      </c>
      <c r="D20" s="23"/>
      <c r="E20" s="23"/>
      <c r="F20" s="23"/>
      <c r="G20" s="23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Netflix DCF Model Raw Data </vt:lpstr>
      <vt:lpstr>Revenue Modelling</vt:lpstr>
      <vt:lpstr>Other Items of P&amp;L</vt:lpstr>
      <vt:lpstr>Schedules</vt:lpstr>
      <vt:lpstr>P&amp;L</vt:lpstr>
      <vt:lpstr>Balance Sheet</vt:lpstr>
      <vt:lpstr>Cash Flow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PARMAR</dc:creator>
  <cp:lastModifiedBy>SANJEEV PARMAR</cp:lastModifiedBy>
  <dcterms:created xsi:type="dcterms:W3CDTF">2025-12-06T11:31:36Z</dcterms:created>
  <dcterms:modified xsi:type="dcterms:W3CDTF">2025-12-08T14:57:15Z</dcterms:modified>
</cp:coreProperties>
</file>