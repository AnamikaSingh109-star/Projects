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714093-B394-4FBC-AD43-28F6524F808A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Index" sheetId="22" r:id="rId1"/>
    <sheet name="Dashboard" sheetId="27" r:id="rId2"/>
    <sheet name="Overview" sheetId="24" r:id="rId3"/>
    <sheet name="Comparative" sheetId="25" r:id="rId4"/>
    <sheet name="Sheet1" sheetId="26" state="hidden" r:id="rId5"/>
    <sheet name="Ratios" sheetId="23" r:id="rId6"/>
    <sheet name="Drivers" sheetId="11" r:id="rId7"/>
    <sheet name="3 Statements &gt;" sheetId="10" r:id="rId8"/>
    <sheet name="P&amp;L" sheetId="6" r:id="rId9"/>
    <sheet name="Sheet3" sheetId="28" r:id="rId10"/>
    <sheet name="Balance Sheet" sheetId="8" r:id="rId11"/>
    <sheet name="Cash Flow" sheetId="9" r:id="rId12"/>
    <sheet name="Cash Flow (A)" sheetId="16" r:id="rId13"/>
    <sheet name="Valuation &gt;" sheetId="17" r:id="rId14"/>
    <sheet name="WACC" sheetId="20" r:id="rId15"/>
    <sheet name="DCF" sheetId="21" r:id="rId16"/>
    <sheet name="Schedules &gt;" sheetId="12" r:id="rId17"/>
    <sheet name="PPE" sheetId="14" r:id="rId18"/>
    <sheet name="WC" sheetId="15" r:id="rId19"/>
    <sheet name="Source &gt;" sheetId="4" r:id="rId20"/>
    <sheet name="(IS)" sheetId="1" r:id="rId21"/>
    <sheet name="(BS)" sheetId="2" r:id="rId22"/>
    <sheet name="(CFS)" sheetId="3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28" l="1"/>
  <c r="Q6" i="28"/>
  <c r="P6" i="28"/>
  <c r="O6" i="28"/>
  <c r="N6" i="28"/>
  <c r="M6" i="28"/>
  <c r="L6" i="28"/>
  <c r="K6" i="28"/>
  <c r="J6" i="28"/>
  <c r="I6" i="28"/>
  <c r="H5" i="6"/>
  <c r="K8" i="24"/>
  <c r="L8" i="24"/>
  <c r="I8" i="24"/>
  <c r="K7" i="24"/>
  <c r="L7" i="24"/>
  <c r="I7" i="24"/>
  <c r="J6" i="24"/>
  <c r="K6" i="24"/>
  <c r="L6" i="24"/>
  <c r="I6" i="24"/>
  <c r="D10" i="24"/>
  <c r="D7" i="24"/>
  <c r="D8" i="24" s="1"/>
  <c r="D6" i="24"/>
  <c r="Q26" i="25"/>
  <c r="Q25" i="25"/>
  <c r="Q22" i="25"/>
  <c r="Q23" i="25"/>
  <c r="O23" i="25"/>
  <c r="Q24" i="25"/>
  <c r="P25" i="25"/>
  <c r="P24" i="25"/>
  <c r="P26" i="25" s="1"/>
  <c r="P23" i="25"/>
  <c r="P22" i="25"/>
  <c r="O26" i="25"/>
  <c r="O25" i="25"/>
  <c r="O24" i="25"/>
  <c r="O22" i="25"/>
  <c r="P14" i="25"/>
  <c r="Q14" i="25"/>
  <c r="P15" i="25"/>
  <c r="Q15" i="25"/>
  <c r="P16" i="25"/>
  <c r="Q16" i="25"/>
  <c r="P17" i="25"/>
  <c r="Q17" i="25"/>
  <c r="P18" i="25"/>
  <c r="Q18" i="25"/>
  <c r="P19" i="25"/>
  <c r="Q19" i="25"/>
  <c r="O19" i="25"/>
  <c r="O18" i="25"/>
  <c r="O17" i="25"/>
  <c r="O16" i="25"/>
  <c r="O15" i="25"/>
  <c r="O14" i="25"/>
  <c r="Q7" i="25"/>
  <c r="Q8" i="25"/>
  <c r="Q9" i="25"/>
  <c r="Q10" i="25"/>
  <c r="Q11" i="25"/>
  <c r="Q12" i="25"/>
  <c r="O6" i="25"/>
  <c r="Q6" i="25"/>
  <c r="P7" i="25"/>
  <c r="P8" i="25"/>
  <c r="P9" i="25"/>
  <c r="P10" i="25"/>
  <c r="P11" i="25"/>
  <c r="P12" i="25"/>
  <c r="P6" i="25"/>
  <c r="O7" i="25"/>
  <c r="O8" i="25"/>
  <c r="O9" i="25"/>
  <c r="O10" i="25"/>
  <c r="O11" i="25"/>
  <c r="O12" i="25"/>
  <c r="I7" i="25"/>
  <c r="I8" i="25"/>
  <c r="I9" i="25"/>
  <c r="I10" i="25"/>
  <c r="I11" i="25"/>
  <c r="I12" i="25"/>
  <c r="H7" i="25"/>
  <c r="H8" i="25"/>
  <c r="H9" i="25"/>
  <c r="H10" i="25"/>
  <c r="H11" i="25"/>
  <c r="H12" i="25"/>
  <c r="I6" i="25"/>
  <c r="H6" i="25"/>
  <c r="E7" i="25"/>
  <c r="E8" i="25"/>
  <c r="E9" i="25"/>
  <c r="E10" i="25"/>
  <c r="E11" i="25"/>
  <c r="E12" i="25"/>
  <c r="E6" i="25"/>
  <c r="E29" i="23"/>
  <c r="F29" i="23"/>
  <c r="G29" i="23"/>
  <c r="H29" i="23"/>
  <c r="I29" i="23"/>
  <c r="J29" i="23"/>
  <c r="K29" i="23"/>
  <c r="L29" i="23"/>
  <c r="D29" i="23"/>
  <c r="O29" i="23" s="1"/>
  <c r="E32" i="23"/>
  <c r="F32" i="23"/>
  <c r="G32" i="23"/>
  <c r="K32" i="23"/>
  <c r="E33" i="23"/>
  <c r="F33" i="23"/>
  <c r="G33" i="23"/>
  <c r="G35" i="23" s="1"/>
  <c r="K33" i="23"/>
  <c r="E34" i="23"/>
  <c r="F34" i="23"/>
  <c r="G34" i="23"/>
  <c r="K34" i="23"/>
  <c r="E35" i="23"/>
  <c r="F35" i="23"/>
  <c r="K35" i="23"/>
  <c r="D32" i="23"/>
  <c r="E26" i="23"/>
  <c r="F26" i="23"/>
  <c r="G26" i="23"/>
  <c r="J26" i="23"/>
  <c r="J32" i="23" s="1"/>
  <c r="J35" i="23" s="1"/>
  <c r="K26" i="23"/>
  <c r="L26" i="23"/>
  <c r="L32" i="23" s="1"/>
  <c r="E27" i="23"/>
  <c r="F27" i="23"/>
  <c r="G27" i="23"/>
  <c r="H27" i="23"/>
  <c r="H33" i="23" s="1"/>
  <c r="I27" i="23"/>
  <c r="I33" i="23" s="1"/>
  <c r="J27" i="23"/>
  <c r="J33" i="23" s="1"/>
  <c r="K27" i="23"/>
  <c r="L27" i="23"/>
  <c r="L33" i="23" s="1"/>
  <c r="E28" i="23"/>
  <c r="F28" i="23"/>
  <c r="G28" i="23"/>
  <c r="H28" i="23"/>
  <c r="H34" i="23" s="1"/>
  <c r="I28" i="23"/>
  <c r="I34" i="23" s="1"/>
  <c r="J28" i="23"/>
  <c r="J34" i="23" s="1"/>
  <c r="K28" i="23"/>
  <c r="L28" i="23"/>
  <c r="L34" i="23" s="1"/>
  <c r="E30" i="23"/>
  <c r="F30" i="23"/>
  <c r="G30" i="23"/>
  <c r="C30" i="23"/>
  <c r="D30" i="23"/>
  <c r="D28" i="23"/>
  <c r="O28" i="23" s="1"/>
  <c r="D27" i="23"/>
  <c r="O27" i="23" s="1"/>
  <c r="D26" i="23"/>
  <c r="D17" i="23"/>
  <c r="E17" i="23"/>
  <c r="F17" i="23"/>
  <c r="G17" i="23"/>
  <c r="D19" i="23"/>
  <c r="E19" i="23"/>
  <c r="F19" i="23"/>
  <c r="G19" i="23"/>
  <c r="C19" i="23"/>
  <c r="C17" i="23"/>
  <c r="D24" i="23"/>
  <c r="E24" i="23"/>
  <c r="F24" i="23"/>
  <c r="G24" i="23"/>
  <c r="C24" i="23"/>
  <c r="D23" i="23"/>
  <c r="E23" i="23"/>
  <c r="F23" i="23"/>
  <c r="G23" i="23"/>
  <c r="C23" i="23"/>
  <c r="D22" i="23"/>
  <c r="E22" i="23"/>
  <c r="F22" i="23"/>
  <c r="G22" i="23"/>
  <c r="C22" i="23"/>
  <c r="D20" i="23"/>
  <c r="E20" i="23"/>
  <c r="F20" i="23"/>
  <c r="G20" i="23"/>
  <c r="I20" i="23"/>
  <c r="J20" i="23"/>
  <c r="K20" i="23"/>
  <c r="L20" i="23"/>
  <c r="C20" i="23"/>
  <c r="D16" i="23"/>
  <c r="E16" i="23"/>
  <c r="F16" i="23"/>
  <c r="G16" i="23"/>
  <c r="C16" i="23"/>
  <c r="D15" i="23"/>
  <c r="E15" i="23"/>
  <c r="F15" i="23"/>
  <c r="G15" i="23"/>
  <c r="C15" i="23"/>
  <c r="D13" i="23"/>
  <c r="E13" i="23"/>
  <c r="F13" i="23"/>
  <c r="G13" i="23"/>
  <c r="I13" i="23"/>
  <c r="J13" i="23"/>
  <c r="K13" i="23"/>
  <c r="L13" i="23"/>
  <c r="C13" i="23"/>
  <c r="D12" i="23"/>
  <c r="E12" i="23"/>
  <c r="F12" i="23"/>
  <c r="G12" i="23"/>
  <c r="I12" i="23"/>
  <c r="J12" i="23"/>
  <c r="K12" i="23"/>
  <c r="L12" i="23"/>
  <c r="C12" i="23"/>
  <c r="D11" i="23"/>
  <c r="E11" i="23"/>
  <c r="F11" i="23"/>
  <c r="G11" i="23"/>
  <c r="I11" i="23"/>
  <c r="J11" i="23"/>
  <c r="K11" i="23"/>
  <c r="L11" i="23"/>
  <c r="C11" i="23"/>
  <c r="D10" i="23"/>
  <c r="E10" i="23"/>
  <c r="F10" i="23"/>
  <c r="G10" i="23"/>
  <c r="I10" i="23"/>
  <c r="J10" i="23"/>
  <c r="K10" i="23"/>
  <c r="L10" i="23"/>
  <c r="C10" i="23"/>
  <c r="D9" i="23"/>
  <c r="E9" i="23"/>
  <c r="F9" i="23"/>
  <c r="G9" i="23"/>
  <c r="I9" i="23"/>
  <c r="J9" i="23"/>
  <c r="K9" i="23"/>
  <c r="L9" i="23"/>
  <c r="C9" i="23"/>
  <c r="E7" i="23"/>
  <c r="F7" i="23"/>
  <c r="G7" i="23"/>
  <c r="J7" i="23"/>
  <c r="K7" i="23"/>
  <c r="L7" i="23"/>
  <c r="D7" i="23"/>
  <c r="E6" i="23"/>
  <c r="F6" i="23"/>
  <c r="G6" i="23"/>
  <c r="J6" i="23"/>
  <c r="K6" i="23"/>
  <c r="L6" i="23"/>
  <c r="D6" i="23"/>
  <c r="E5" i="23"/>
  <c r="F5" i="23"/>
  <c r="G5" i="23"/>
  <c r="J5" i="23"/>
  <c r="K5" i="23"/>
  <c r="L5" i="23"/>
  <c r="D5" i="23"/>
  <c r="E4" i="23"/>
  <c r="F4" i="23"/>
  <c r="G4" i="23"/>
  <c r="H4" i="23"/>
  <c r="I4" i="23"/>
  <c r="J4" i="23"/>
  <c r="K4" i="23"/>
  <c r="L4" i="23"/>
  <c r="D4" i="23"/>
  <c r="O4" i="23" s="1"/>
  <c r="L35" i="23" l="1"/>
  <c r="D33" i="23"/>
  <c r="D34" i="23"/>
  <c r="D35" i="23" s="1"/>
  <c r="N29" i="23"/>
  <c r="N28" i="23"/>
  <c r="N4" i="23"/>
  <c r="N27" i="23"/>
  <c r="L15" i="21"/>
  <c r="K15" i="21"/>
  <c r="H15" i="21"/>
  <c r="I15" i="21"/>
  <c r="G19" i="21"/>
  <c r="G20" i="21" s="1"/>
  <c r="G17" i="21"/>
  <c r="G16" i="21" s="1"/>
  <c r="C21" i="21"/>
  <c r="C20" i="21"/>
  <c r="C19" i="21"/>
  <c r="C16" i="21"/>
  <c r="C17" i="21" s="1"/>
  <c r="J8" i="21"/>
  <c r="K8" i="21"/>
  <c r="L8" i="21"/>
  <c r="C15" i="21"/>
  <c r="I7" i="21"/>
  <c r="J7" i="21"/>
  <c r="K7" i="21"/>
  <c r="L7" i="21" s="1"/>
  <c r="H7" i="21"/>
  <c r="D5" i="21"/>
  <c r="E5" i="21"/>
  <c r="F5" i="21"/>
  <c r="G5" i="21"/>
  <c r="J5" i="21"/>
  <c r="K5" i="21"/>
  <c r="L5" i="21"/>
  <c r="C5" i="21"/>
  <c r="C20" i="20"/>
  <c r="C18" i="20"/>
  <c r="C17" i="20"/>
  <c r="C15" i="20"/>
  <c r="C11" i="20"/>
  <c r="C10" i="20"/>
  <c r="C9" i="20"/>
  <c r="C8" i="20"/>
  <c r="C6" i="20"/>
  <c r="C5" i="20"/>
  <c r="G40" i="16"/>
  <c r="H39" i="16"/>
  <c r="L35" i="16"/>
  <c r="K35" i="16"/>
  <c r="J35" i="16"/>
  <c r="I35" i="16"/>
  <c r="H35" i="16"/>
  <c r="L34" i="16"/>
  <c r="K34" i="16"/>
  <c r="J34" i="16"/>
  <c r="I34" i="16"/>
  <c r="H34" i="16"/>
  <c r="L33" i="16"/>
  <c r="K33" i="16"/>
  <c r="J33" i="16"/>
  <c r="I33" i="16"/>
  <c r="H33" i="16"/>
  <c r="L32" i="16"/>
  <c r="K32" i="16"/>
  <c r="J32" i="16"/>
  <c r="I32" i="16"/>
  <c r="H32" i="16"/>
  <c r="L31" i="16"/>
  <c r="K31" i="16"/>
  <c r="J31" i="16"/>
  <c r="I31" i="16"/>
  <c r="H31" i="16"/>
  <c r="L30" i="16"/>
  <c r="K30" i="16"/>
  <c r="J30" i="16"/>
  <c r="I30" i="16"/>
  <c r="H30" i="16"/>
  <c r="L29" i="16"/>
  <c r="K29" i="16"/>
  <c r="J29" i="16"/>
  <c r="I29" i="16"/>
  <c r="H29" i="16"/>
  <c r="L28" i="16"/>
  <c r="L36" i="16" s="1"/>
  <c r="K28" i="16"/>
  <c r="J28" i="16"/>
  <c r="L27" i="16"/>
  <c r="K27" i="16"/>
  <c r="K36" i="16" s="1"/>
  <c r="J27" i="16"/>
  <c r="J36" i="16" s="1"/>
  <c r="I27" i="16"/>
  <c r="I24" i="16"/>
  <c r="L23" i="16"/>
  <c r="K23" i="16"/>
  <c r="J23" i="16"/>
  <c r="I23" i="16"/>
  <c r="H23" i="16"/>
  <c r="L22" i="16"/>
  <c r="K22" i="16"/>
  <c r="J22" i="16"/>
  <c r="I22" i="16"/>
  <c r="H22" i="16"/>
  <c r="L21" i="16"/>
  <c r="K21" i="16"/>
  <c r="J21" i="16"/>
  <c r="I21" i="16"/>
  <c r="H21" i="16"/>
  <c r="L20" i="16"/>
  <c r="K20" i="16"/>
  <c r="J20" i="16"/>
  <c r="I20" i="16"/>
  <c r="H20" i="16"/>
  <c r="H24" i="16" s="1"/>
  <c r="L19" i="16"/>
  <c r="K19" i="16"/>
  <c r="J19" i="16"/>
  <c r="I19" i="16"/>
  <c r="H19" i="16"/>
  <c r="L18" i="16"/>
  <c r="L24" i="16" s="1"/>
  <c r="K18" i="16"/>
  <c r="K24" i="16" s="1"/>
  <c r="J18" i="16"/>
  <c r="J24" i="16" s="1"/>
  <c r="I18" i="16"/>
  <c r="H18" i="16"/>
  <c r="L14" i="16"/>
  <c r="K14" i="16"/>
  <c r="J14" i="16"/>
  <c r="I14" i="16"/>
  <c r="H14" i="16"/>
  <c r="L13" i="16"/>
  <c r="K13" i="16"/>
  <c r="J13" i="16"/>
  <c r="L12" i="16"/>
  <c r="K12" i="16"/>
  <c r="J12" i="16"/>
  <c r="I12" i="16"/>
  <c r="H12" i="16"/>
  <c r="L11" i="16"/>
  <c r="K11" i="16"/>
  <c r="J11" i="16"/>
  <c r="I11" i="16"/>
  <c r="H11" i="16"/>
  <c r="L10" i="16"/>
  <c r="K10" i="16"/>
  <c r="J10" i="16"/>
  <c r="L9" i="16"/>
  <c r="K9" i="16"/>
  <c r="J9" i="16"/>
  <c r="I9" i="16"/>
  <c r="H9" i="16"/>
  <c r="L7" i="16"/>
  <c r="K7" i="16"/>
  <c r="J7" i="16"/>
  <c r="I7" i="16"/>
  <c r="H7" i="16"/>
  <c r="L6" i="16"/>
  <c r="L15" i="16" s="1"/>
  <c r="K6" i="16"/>
  <c r="K15" i="16" s="1"/>
  <c r="J6" i="16"/>
  <c r="J15" i="16" s="1"/>
  <c r="J38" i="16" s="1"/>
  <c r="I6" i="16"/>
  <c r="E40" i="16"/>
  <c r="E39" i="16"/>
  <c r="F39" i="16"/>
  <c r="F40" i="16" s="1"/>
  <c r="G39" i="16" s="1"/>
  <c r="E27" i="16"/>
  <c r="F27" i="16"/>
  <c r="G27" i="16"/>
  <c r="E28" i="16"/>
  <c r="F28" i="16"/>
  <c r="G28" i="16"/>
  <c r="G36" i="16" s="1"/>
  <c r="E29" i="16"/>
  <c r="E36" i="16" s="1"/>
  <c r="F29" i="16"/>
  <c r="F36" i="16" s="1"/>
  <c r="G29" i="16"/>
  <c r="E30" i="16"/>
  <c r="F30" i="16"/>
  <c r="G30" i="16"/>
  <c r="E31" i="16"/>
  <c r="F31" i="16"/>
  <c r="G31" i="16"/>
  <c r="E32" i="16"/>
  <c r="F32" i="16"/>
  <c r="G32" i="16"/>
  <c r="E33" i="16"/>
  <c r="F33" i="16"/>
  <c r="G33" i="16"/>
  <c r="E34" i="16"/>
  <c r="F34" i="16"/>
  <c r="G34" i="16"/>
  <c r="E35" i="16"/>
  <c r="F35" i="16"/>
  <c r="G35" i="16"/>
  <c r="E18" i="16"/>
  <c r="F18" i="16"/>
  <c r="G18" i="16"/>
  <c r="E19" i="16"/>
  <c r="F19" i="16"/>
  <c r="G19" i="16"/>
  <c r="E20" i="16"/>
  <c r="E24" i="16" s="1"/>
  <c r="F20" i="16"/>
  <c r="F24" i="16" s="1"/>
  <c r="G20" i="16"/>
  <c r="E21" i="16"/>
  <c r="F21" i="16"/>
  <c r="G21" i="16"/>
  <c r="E22" i="16"/>
  <c r="F22" i="16"/>
  <c r="G22" i="16"/>
  <c r="E23" i="16"/>
  <c r="F23" i="16"/>
  <c r="G23" i="16"/>
  <c r="E9" i="16"/>
  <c r="F9" i="16"/>
  <c r="G9" i="16"/>
  <c r="E10" i="16"/>
  <c r="F10" i="16"/>
  <c r="F15" i="16" s="1"/>
  <c r="G10" i="16"/>
  <c r="G15" i="16" s="1"/>
  <c r="E11" i="16"/>
  <c r="F11" i="16"/>
  <c r="G11" i="16"/>
  <c r="E12" i="16"/>
  <c r="F12" i="16"/>
  <c r="G12" i="16"/>
  <c r="E13" i="16"/>
  <c r="F13" i="16"/>
  <c r="G13" i="16"/>
  <c r="E14" i="16"/>
  <c r="F14" i="16"/>
  <c r="G14" i="16"/>
  <c r="E6" i="16"/>
  <c r="F6" i="16"/>
  <c r="G6" i="16"/>
  <c r="E7" i="16"/>
  <c r="F7" i="16"/>
  <c r="G7" i="16"/>
  <c r="D23" i="16"/>
  <c r="D20" i="16"/>
  <c r="C40" i="16"/>
  <c r="D39" i="16" s="1"/>
  <c r="D35" i="16"/>
  <c r="E58" i="11"/>
  <c r="F58" i="11"/>
  <c r="G58" i="11"/>
  <c r="D58" i="11"/>
  <c r="E57" i="11"/>
  <c r="F57" i="11"/>
  <c r="G57" i="11"/>
  <c r="D57" i="11"/>
  <c r="E56" i="11"/>
  <c r="F56" i="11"/>
  <c r="G56" i="11"/>
  <c r="D56" i="11"/>
  <c r="D59" i="11"/>
  <c r="E59" i="11"/>
  <c r="F59" i="11"/>
  <c r="G59" i="11"/>
  <c r="C59" i="11"/>
  <c r="D34" i="16"/>
  <c r="D33" i="16"/>
  <c r="D32" i="16"/>
  <c r="D31" i="16"/>
  <c r="D30" i="16"/>
  <c r="D29" i="16"/>
  <c r="D28" i="16"/>
  <c r="D36" i="16" s="1"/>
  <c r="D27" i="16"/>
  <c r="D22" i="16"/>
  <c r="D21" i="16"/>
  <c r="D19" i="16"/>
  <c r="D18" i="16"/>
  <c r="D13" i="16"/>
  <c r="D14" i="16"/>
  <c r="D12" i="16"/>
  <c r="D11" i="16"/>
  <c r="D10" i="16"/>
  <c r="D9" i="16"/>
  <c r="D7" i="16"/>
  <c r="D6" i="16"/>
  <c r="D15" i="16" s="1"/>
  <c r="C36" i="16"/>
  <c r="C24" i="16"/>
  <c r="C15" i="16"/>
  <c r="J30" i="9"/>
  <c r="K30" i="9"/>
  <c r="L30" i="9"/>
  <c r="I28" i="9"/>
  <c r="J28" i="9"/>
  <c r="K28" i="9"/>
  <c r="L28" i="9"/>
  <c r="I27" i="9"/>
  <c r="J27" i="9"/>
  <c r="K27" i="9" s="1"/>
  <c r="L27" i="9" s="1"/>
  <c r="H27" i="9"/>
  <c r="I26" i="9"/>
  <c r="J26" i="9"/>
  <c r="K26" i="9"/>
  <c r="L26" i="9"/>
  <c r="I25" i="9"/>
  <c r="J25" i="9"/>
  <c r="K25" i="9"/>
  <c r="L25" i="9"/>
  <c r="H25" i="9"/>
  <c r="I23" i="9"/>
  <c r="J23" i="9"/>
  <c r="K23" i="9"/>
  <c r="L23" i="9"/>
  <c r="I24" i="9"/>
  <c r="J24" i="9"/>
  <c r="K24" i="9"/>
  <c r="L24" i="9"/>
  <c r="H24" i="9"/>
  <c r="H23" i="9"/>
  <c r="I20" i="9"/>
  <c r="J20" i="9"/>
  <c r="K20" i="9"/>
  <c r="L20" i="9"/>
  <c r="H20" i="9"/>
  <c r="G20" i="9"/>
  <c r="I16" i="9"/>
  <c r="J16" i="9" s="1"/>
  <c r="K16" i="9" s="1"/>
  <c r="L16" i="9" s="1"/>
  <c r="I17" i="9"/>
  <c r="J17" i="9" s="1"/>
  <c r="K17" i="9" s="1"/>
  <c r="L17" i="9" s="1"/>
  <c r="I18" i="9"/>
  <c r="J18" i="9"/>
  <c r="K18" i="9"/>
  <c r="L18" i="9" s="1"/>
  <c r="I19" i="9"/>
  <c r="J19" i="9"/>
  <c r="K19" i="9"/>
  <c r="L19" i="9" s="1"/>
  <c r="H19" i="9"/>
  <c r="H18" i="9"/>
  <c r="H17" i="9"/>
  <c r="H16" i="9"/>
  <c r="I15" i="9"/>
  <c r="J15" i="9"/>
  <c r="K15" i="9"/>
  <c r="L15" i="9"/>
  <c r="H15" i="9"/>
  <c r="J12" i="9"/>
  <c r="K12" i="9"/>
  <c r="L12" i="9"/>
  <c r="G12" i="9"/>
  <c r="I11" i="9"/>
  <c r="J11" i="9"/>
  <c r="K11" i="9"/>
  <c r="L11" i="9"/>
  <c r="J10" i="9"/>
  <c r="K10" i="9"/>
  <c r="L10" i="9"/>
  <c r="J22" i="15"/>
  <c r="K22" i="15"/>
  <c r="L22" i="15"/>
  <c r="J18" i="15"/>
  <c r="K18" i="15"/>
  <c r="L18" i="15"/>
  <c r="I19" i="15"/>
  <c r="J19" i="15"/>
  <c r="K19" i="15"/>
  <c r="L19" i="15"/>
  <c r="J20" i="15"/>
  <c r="K20" i="15"/>
  <c r="L20" i="15"/>
  <c r="I21" i="15"/>
  <c r="J21" i="15"/>
  <c r="K21" i="15"/>
  <c r="L21" i="15"/>
  <c r="H21" i="15"/>
  <c r="H19" i="15"/>
  <c r="I9" i="9"/>
  <c r="J9" i="9"/>
  <c r="K9" i="9"/>
  <c r="L9" i="9"/>
  <c r="H9" i="9"/>
  <c r="I8" i="9"/>
  <c r="J8" i="9"/>
  <c r="K8" i="9"/>
  <c r="L8" i="9"/>
  <c r="H8" i="9"/>
  <c r="J7" i="9"/>
  <c r="K7" i="9"/>
  <c r="L7" i="9"/>
  <c r="I6" i="9"/>
  <c r="J6" i="9"/>
  <c r="K6" i="9"/>
  <c r="L6" i="9"/>
  <c r="I35" i="8"/>
  <c r="J35" i="8"/>
  <c r="K35" i="8"/>
  <c r="L35" i="8"/>
  <c r="H35" i="8"/>
  <c r="I33" i="8"/>
  <c r="J33" i="8"/>
  <c r="K33" i="8" s="1"/>
  <c r="L33" i="8" s="1"/>
  <c r="H33" i="8"/>
  <c r="I30" i="8"/>
  <c r="J30" i="8"/>
  <c r="K30" i="8"/>
  <c r="L30" i="8"/>
  <c r="I31" i="8"/>
  <c r="J31" i="8"/>
  <c r="K31" i="8"/>
  <c r="L31" i="8"/>
  <c r="I28" i="8"/>
  <c r="J28" i="8" s="1"/>
  <c r="K28" i="8" s="1"/>
  <c r="L28" i="8" s="1"/>
  <c r="I29" i="8"/>
  <c r="J29" i="8"/>
  <c r="K29" i="8"/>
  <c r="L29" i="8"/>
  <c r="H30" i="8"/>
  <c r="H29" i="8"/>
  <c r="H28" i="8"/>
  <c r="I27" i="8"/>
  <c r="J27" i="8"/>
  <c r="K27" i="8"/>
  <c r="L27" i="8"/>
  <c r="H27" i="8"/>
  <c r="I16" i="8"/>
  <c r="J16" i="8" s="1"/>
  <c r="K16" i="8" s="1"/>
  <c r="L16" i="8" s="1"/>
  <c r="I15" i="8"/>
  <c r="J15" i="8"/>
  <c r="K15" i="8" s="1"/>
  <c r="L15" i="8" s="1"/>
  <c r="I13" i="8"/>
  <c r="I18" i="8" s="1"/>
  <c r="J13" i="8"/>
  <c r="K13" i="8"/>
  <c r="L13" i="8" s="1"/>
  <c r="H18" i="8"/>
  <c r="H16" i="8"/>
  <c r="H15" i="8"/>
  <c r="I12" i="8"/>
  <c r="I14" i="8"/>
  <c r="J14" i="8"/>
  <c r="K14" i="8"/>
  <c r="L14" i="8"/>
  <c r="H14" i="8"/>
  <c r="H13" i="8"/>
  <c r="J12" i="8"/>
  <c r="K12" i="8" s="1"/>
  <c r="L12" i="8" s="1"/>
  <c r="H12" i="8"/>
  <c r="I17" i="8"/>
  <c r="J17" i="8"/>
  <c r="K17" i="8" s="1"/>
  <c r="L17" i="8" s="1"/>
  <c r="H17" i="8"/>
  <c r="I24" i="8"/>
  <c r="J24" i="8"/>
  <c r="K24" i="8"/>
  <c r="L24" i="8"/>
  <c r="L25" i="8" s="1"/>
  <c r="H24" i="8"/>
  <c r="I25" i="8"/>
  <c r="J25" i="8"/>
  <c r="K25" i="8"/>
  <c r="H22" i="8"/>
  <c r="I13" i="16" s="1"/>
  <c r="I22" i="8"/>
  <c r="J22" i="8"/>
  <c r="K22" i="8"/>
  <c r="L22" i="8"/>
  <c r="H23" i="8"/>
  <c r="I23" i="8"/>
  <c r="J23" i="8"/>
  <c r="K23" i="8"/>
  <c r="L23" i="8"/>
  <c r="I21" i="8"/>
  <c r="J21" i="8"/>
  <c r="K21" i="8"/>
  <c r="L21" i="8"/>
  <c r="H21" i="8"/>
  <c r="H9" i="8"/>
  <c r="I9" i="8"/>
  <c r="J9" i="8"/>
  <c r="K9" i="8"/>
  <c r="L9" i="8"/>
  <c r="I8" i="8"/>
  <c r="J8" i="8"/>
  <c r="K8" i="8"/>
  <c r="L8" i="8"/>
  <c r="I6" i="8"/>
  <c r="J6" i="8"/>
  <c r="K6" i="8"/>
  <c r="L6" i="8"/>
  <c r="I5" i="8"/>
  <c r="J5" i="8"/>
  <c r="K5" i="8"/>
  <c r="L5" i="8"/>
  <c r="H5" i="8"/>
  <c r="I12" i="15"/>
  <c r="J12" i="15"/>
  <c r="K12" i="15"/>
  <c r="L12" i="15"/>
  <c r="H12" i="15"/>
  <c r="H20" i="15" s="1"/>
  <c r="I11" i="15"/>
  <c r="J11" i="15"/>
  <c r="K11" i="15"/>
  <c r="L11" i="15"/>
  <c r="H11" i="15"/>
  <c r="I7" i="15"/>
  <c r="J7" i="15"/>
  <c r="K7" i="15"/>
  <c r="L7" i="15"/>
  <c r="I6" i="15"/>
  <c r="J6" i="15"/>
  <c r="K6" i="15"/>
  <c r="L6" i="15"/>
  <c r="I5" i="15"/>
  <c r="I9" i="15" s="1"/>
  <c r="J5" i="15"/>
  <c r="K5" i="15"/>
  <c r="L5" i="15"/>
  <c r="H5" i="15"/>
  <c r="C12" i="15"/>
  <c r="C14" i="15" s="1"/>
  <c r="D12" i="15"/>
  <c r="E12" i="15"/>
  <c r="F12" i="15"/>
  <c r="G12" i="15"/>
  <c r="C13" i="15"/>
  <c r="D13" i="15"/>
  <c r="E13" i="15"/>
  <c r="E14" i="15" s="1"/>
  <c r="F13" i="15"/>
  <c r="F14" i="15" s="1"/>
  <c r="G13" i="15"/>
  <c r="H13" i="15" s="1"/>
  <c r="I13" i="15" s="1"/>
  <c r="J13" i="15" s="1"/>
  <c r="D11" i="15"/>
  <c r="D14" i="15" s="1"/>
  <c r="E11" i="15"/>
  <c r="F11" i="15"/>
  <c r="G11" i="15"/>
  <c r="C11" i="15"/>
  <c r="C8" i="15"/>
  <c r="D8" i="15"/>
  <c r="E8" i="15"/>
  <c r="F8" i="15"/>
  <c r="H8" i="15" s="1"/>
  <c r="I8" i="15" s="1"/>
  <c r="J8" i="15" s="1"/>
  <c r="J9" i="15" s="1"/>
  <c r="G8" i="15"/>
  <c r="D7" i="15"/>
  <c r="E7" i="15"/>
  <c r="F7" i="15"/>
  <c r="G7" i="15"/>
  <c r="C7" i="15"/>
  <c r="C6" i="15"/>
  <c r="D6" i="15"/>
  <c r="D9" i="15" s="1"/>
  <c r="D16" i="15" s="1"/>
  <c r="E6" i="15"/>
  <c r="E9" i="15" s="1"/>
  <c r="E16" i="15" s="1"/>
  <c r="F6" i="15"/>
  <c r="F9" i="15" s="1"/>
  <c r="F16" i="15" s="1"/>
  <c r="G6" i="15"/>
  <c r="D5" i="15"/>
  <c r="E5" i="15"/>
  <c r="F5" i="15"/>
  <c r="G5" i="15"/>
  <c r="G9" i="15" s="1"/>
  <c r="C5" i="15"/>
  <c r="C9" i="15" s="1"/>
  <c r="C16" i="15" s="1"/>
  <c r="O40" i="15"/>
  <c r="P37" i="15" s="1"/>
  <c r="N40" i="15"/>
  <c r="O37" i="15" s="1"/>
  <c r="O38" i="15" s="1"/>
  <c r="M40" i="15"/>
  <c r="O39" i="15"/>
  <c r="N39" i="15"/>
  <c r="M39" i="15"/>
  <c r="M37" i="15"/>
  <c r="J46" i="11"/>
  <c r="K46" i="11" s="1"/>
  <c r="L46" i="11" s="1"/>
  <c r="J47" i="11"/>
  <c r="K47" i="11"/>
  <c r="L47" i="11"/>
  <c r="J48" i="11"/>
  <c r="K48" i="11" s="1"/>
  <c r="L48" i="11" s="1"/>
  <c r="J49" i="11"/>
  <c r="K49" i="11"/>
  <c r="L49" i="11"/>
  <c r="J50" i="11"/>
  <c r="K50" i="11"/>
  <c r="L50" i="11" s="1"/>
  <c r="I47" i="11"/>
  <c r="I48" i="11"/>
  <c r="I49" i="11"/>
  <c r="I50" i="11"/>
  <c r="I46" i="11"/>
  <c r="H47" i="11"/>
  <c r="H48" i="11"/>
  <c r="H49" i="11"/>
  <c r="H50" i="11"/>
  <c r="H46" i="11"/>
  <c r="D50" i="11"/>
  <c r="E50" i="11"/>
  <c r="F50" i="11"/>
  <c r="G50" i="11"/>
  <c r="C50" i="11"/>
  <c r="D49" i="11"/>
  <c r="E49" i="11"/>
  <c r="F49" i="11"/>
  <c r="G49" i="11"/>
  <c r="C49" i="11"/>
  <c r="D48" i="11"/>
  <c r="E48" i="11"/>
  <c r="F48" i="11"/>
  <c r="G48" i="11"/>
  <c r="C48" i="11"/>
  <c r="D47" i="11"/>
  <c r="E47" i="11"/>
  <c r="F47" i="11"/>
  <c r="G47" i="11"/>
  <c r="C47" i="11"/>
  <c r="D46" i="11"/>
  <c r="E46" i="11"/>
  <c r="F46" i="11"/>
  <c r="G46" i="11"/>
  <c r="C46" i="11"/>
  <c r="C53" i="11"/>
  <c r="D53" i="11"/>
  <c r="E53" i="11"/>
  <c r="F53" i="11"/>
  <c r="G53" i="11"/>
  <c r="H53" i="11"/>
  <c r="I53" i="11"/>
  <c r="J53" i="11"/>
  <c r="K53" i="11"/>
  <c r="L53" i="11"/>
  <c r="D52" i="11"/>
  <c r="E52" i="11"/>
  <c r="F52" i="11"/>
  <c r="G52" i="11"/>
  <c r="H52" i="11"/>
  <c r="H6" i="15" s="1"/>
  <c r="H6" i="8" s="1"/>
  <c r="I52" i="11"/>
  <c r="J52" i="11"/>
  <c r="K52" i="11"/>
  <c r="L52" i="11"/>
  <c r="C52" i="11"/>
  <c r="C21" i="6"/>
  <c r="D40" i="11"/>
  <c r="E40" i="11"/>
  <c r="F40" i="11"/>
  <c r="G40" i="11"/>
  <c r="C40" i="11"/>
  <c r="D39" i="11"/>
  <c r="E39" i="11"/>
  <c r="F39" i="11"/>
  <c r="G39" i="11"/>
  <c r="C39" i="11"/>
  <c r="D34" i="11"/>
  <c r="E34" i="11"/>
  <c r="F34" i="11"/>
  <c r="G34" i="11"/>
  <c r="C34" i="11"/>
  <c r="D33" i="11"/>
  <c r="E33" i="11"/>
  <c r="F33" i="11"/>
  <c r="G33" i="11"/>
  <c r="C33" i="11"/>
  <c r="D32" i="11"/>
  <c r="E32" i="11"/>
  <c r="F32" i="11"/>
  <c r="G32" i="11"/>
  <c r="C32" i="11"/>
  <c r="E25" i="14"/>
  <c r="F25" i="14"/>
  <c r="G25" i="14"/>
  <c r="D25" i="14"/>
  <c r="G23" i="14"/>
  <c r="G24" i="14" s="1"/>
  <c r="G28" i="14" s="1"/>
  <c r="D26" i="14"/>
  <c r="D24" i="14" s="1"/>
  <c r="D28" i="14" s="1"/>
  <c r="E26" i="14"/>
  <c r="F26" i="14"/>
  <c r="G26" i="14"/>
  <c r="H23" i="14" s="1"/>
  <c r="C26" i="14"/>
  <c r="D23" i="14" s="1"/>
  <c r="O43" i="14"/>
  <c r="N43" i="14"/>
  <c r="M43" i="14"/>
  <c r="O42" i="14"/>
  <c r="N42" i="14"/>
  <c r="M42" i="14"/>
  <c r="D8" i="14"/>
  <c r="E5" i="14" s="1"/>
  <c r="E8" i="14"/>
  <c r="F5" i="14" s="1"/>
  <c r="F8" i="14"/>
  <c r="G5" i="14" s="1"/>
  <c r="G8" i="14"/>
  <c r="H5" i="14" s="1"/>
  <c r="D16" i="14"/>
  <c r="D18" i="14" s="1"/>
  <c r="E16" i="14"/>
  <c r="E18" i="14" s="1"/>
  <c r="F16" i="14"/>
  <c r="F18" i="14" s="1"/>
  <c r="G16" i="14"/>
  <c r="G18" i="14" s="1"/>
  <c r="C16" i="14"/>
  <c r="C18" i="14" s="1"/>
  <c r="C8" i="14"/>
  <c r="D5" i="14" s="1"/>
  <c r="I12" i="6"/>
  <c r="J12" i="6"/>
  <c r="K12" i="6"/>
  <c r="L12" i="6"/>
  <c r="H12" i="6"/>
  <c r="H26" i="11"/>
  <c r="H10" i="11"/>
  <c r="H8" i="11" s="1"/>
  <c r="I28" i="11"/>
  <c r="I26" i="11" s="1"/>
  <c r="H29" i="11"/>
  <c r="I29" i="11" s="1"/>
  <c r="J29" i="11" s="1"/>
  <c r="K29" i="11" s="1"/>
  <c r="L29" i="11" s="1"/>
  <c r="H27" i="11"/>
  <c r="I27" i="11" s="1"/>
  <c r="J27" i="11" s="1"/>
  <c r="K27" i="11" s="1"/>
  <c r="L27" i="11" s="1"/>
  <c r="D25" i="11"/>
  <c r="D26" i="11" s="1"/>
  <c r="E25" i="11"/>
  <c r="E26" i="11" s="1"/>
  <c r="F25" i="11"/>
  <c r="F26" i="11" s="1"/>
  <c r="G25" i="11"/>
  <c r="G26" i="11" s="1"/>
  <c r="C25" i="11"/>
  <c r="C26" i="11" s="1"/>
  <c r="E22" i="11"/>
  <c r="F22" i="11"/>
  <c r="G22" i="11"/>
  <c r="D22" i="11"/>
  <c r="E21" i="11"/>
  <c r="F21" i="11"/>
  <c r="G21" i="11"/>
  <c r="D21" i="11"/>
  <c r="E20" i="11"/>
  <c r="F20" i="11"/>
  <c r="G20" i="11"/>
  <c r="D20" i="11"/>
  <c r="D19" i="11"/>
  <c r="E19" i="11"/>
  <c r="F19" i="11"/>
  <c r="G19" i="11"/>
  <c r="C19" i="11"/>
  <c r="D13" i="11"/>
  <c r="E13" i="11"/>
  <c r="F13" i="11"/>
  <c r="G13" i="11"/>
  <c r="C13" i="11"/>
  <c r="D7" i="11"/>
  <c r="E7" i="11"/>
  <c r="F7" i="11"/>
  <c r="G7" i="11"/>
  <c r="C7" i="11"/>
  <c r="E35" i="1"/>
  <c r="D35" i="1"/>
  <c r="D36" i="1"/>
  <c r="D34" i="1"/>
  <c r="B32" i="1"/>
  <c r="B31" i="1"/>
  <c r="B23" i="1"/>
  <c r="B24" i="1" s="1"/>
  <c r="B25" i="1" s="1"/>
  <c r="B26" i="1" s="1"/>
  <c r="B27" i="1" s="1"/>
  <c r="B28" i="1" s="1"/>
  <c r="B29" i="1" s="1"/>
  <c r="B30" i="1" s="1"/>
  <c r="B22" i="1"/>
  <c r="E23" i="1"/>
  <c r="E24" i="1"/>
  <c r="E25" i="1"/>
  <c r="E26" i="1"/>
  <c r="E27" i="1"/>
  <c r="E28" i="1"/>
  <c r="E29" i="1"/>
  <c r="E30" i="1"/>
  <c r="E22" i="1"/>
  <c r="D30" i="9"/>
  <c r="E30" i="9"/>
  <c r="F30" i="9"/>
  <c r="G30" i="9"/>
  <c r="D28" i="9"/>
  <c r="E28" i="9"/>
  <c r="F28" i="9"/>
  <c r="G28" i="9"/>
  <c r="D23" i="9"/>
  <c r="E23" i="9"/>
  <c r="F23" i="9"/>
  <c r="G23" i="9"/>
  <c r="D24" i="9"/>
  <c r="E24" i="9"/>
  <c r="F24" i="9"/>
  <c r="G24" i="9"/>
  <c r="D25" i="9"/>
  <c r="E25" i="9"/>
  <c r="F25" i="9"/>
  <c r="G25" i="9"/>
  <c r="D26" i="9"/>
  <c r="E26" i="9"/>
  <c r="F26" i="9"/>
  <c r="G26" i="9"/>
  <c r="D27" i="9"/>
  <c r="E27" i="9"/>
  <c r="F27" i="9"/>
  <c r="G27" i="9"/>
  <c r="D20" i="9"/>
  <c r="E20" i="9"/>
  <c r="F20" i="9"/>
  <c r="D15" i="9"/>
  <c r="E15" i="9"/>
  <c r="F15" i="9"/>
  <c r="G15" i="9"/>
  <c r="D16" i="9"/>
  <c r="E16" i="9"/>
  <c r="F16" i="9"/>
  <c r="G16" i="9"/>
  <c r="D17" i="9"/>
  <c r="E17" i="9"/>
  <c r="F17" i="9"/>
  <c r="G17" i="9"/>
  <c r="D18" i="9"/>
  <c r="E18" i="9"/>
  <c r="F18" i="9"/>
  <c r="G18" i="9"/>
  <c r="D19" i="9"/>
  <c r="E19" i="9"/>
  <c r="F19" i="9"/>
  <c r="G19" i="9"/>
  <c r="D12" i="9"/>
  <c r="E12" i="9"/>
  <c r="F12" i="9"/>
  <c r="C12" i="9"/>
  <c r="C30" i="9" s="1"/>
  <c r="D6" i="9"/>
  <c r="E6" i="9"/>
  <c r="F6" i="9"/>
  <c r="G6" i="9"/>
  <c r="D7" i="9"/>
  <c r="E7" i="9"/>
  <c r="F7" i="9"/>
  <c r="G7" i="9"/>
  <c r="D8" i="9"/>
  <c r="E8" i="9"/>
  <c r="F8" i="9"/>
  <c r="G8" i="9"/>
  <c r="D9" i="9"/>
  <c r="E9" i="9"/>
  <c r="F9" i="9"/>
  <c r="G9" i="9"/>
  <c r="D10" i="9"/>
  <c r="E10" i="9"/>
  <c r="F10" i="9"/>
  <c r="G10" i="9"/>
  <c r="D11" i="9"/>
  <c r="E11" i="9"/>
  <c r="F11" i="9"/>
  <c r="G11" i="9"/>
  <c r="C28" i="9"/>
  <c r="C27" i="9"/>
  <c r="C26" i="9"/>
  <c r="C25" i="9"/>
  <c r="C24" i="9"/>
  <c r="C23" i="9"/>
  <c r="C19" i="9"/>
  <c r="C16" i="9"/>
  <c r="C17" i="9"/>
  <c r="C18" i="9"/>
  <c r="C15" i="9"/>
  <c r="C20" i="9" s="1"/>
  <c r="C11" i="9"/>
  <c r="C10" i="9"/>
  <c r="C7" i="9"/>
  <c r="C8" i="9"/>
  <c r="C9" i="9"/>
  <c r="C6" i="9"/>
  <c r="F36" i="8"/>
  <c r="G35" i="8"/>
  <c r="F35" i="8"/>
  <c r="E35" i="8"/>
  <c r="D35" i="8"/>
  <c r="G34" i="8"/>
  <c r="F34" i="8"/>
  <c r="E34" i="8"/>
  <c r="E36" i="8" s="1"/>
  <c r="D34" i="8"/>
  <c r="D36" i="8" s="1"/>
  <c r="G33" i="8"/>
  <c r="G36" i="8" s="1"/>
  <c r="F33" i="8"/>
  <c r="E33" i="8"/>
  <c r="D33" i="8"/>
  <c r="G29" i="8"/>
  <c r="F29" i="8"/>
  <c r="E29" i="8"/>
  <c r="D29" i="8"/>
  <c r="G28" i="8"/>
  <c r="G30" i="8" s="1"/>
  <c r="F28" i="8"/>
  <c r="E28" i="8"/>
  <c r="D28" i="8"/>
  <c r="G27" i="8"/>
  <c r="F27" i="8"/>
  <c r="F30" i="8" s="1"/>
  <c r="E27" i="8"/>
  <c r="E30" i="8" s="1"/>
  <c r="E31" i="8" s="1"/>
  <c r="D27" i="8"/>
  <c r="D30" i="8" s="1"/>
  <c r="G24" i="8"/>
  <c r="F24" i="8"/>
  <c r="E24" i="8"/>
  <c r="D24" i="8"/>
  <c r="G23" i="8"/>
  <c r="F23" i="8"/>
  <c r="E23" i="8"/>
  <c r="D23" i="8"/>
  <c r="G22" i="8"/>
  <c r="F22" i="8"/>
  <c r="E22" i="8"/>
  <c r="D22" i="8"/>
  <c r="G21" i="8"/>
  <c r="G25" i="8" s="1"/>
  <c r="F21" i="8"/>
  <c r="F25" i="8" s="1"/>
  <c r="E21" i="8"/>
  <c r="E25" i="8" s="1"/>
  <c r="D21" i="8"/>
  <c r="D25" i="8" s="1"/>
  <c r="G17" i="8"/>
  <c r="F17" i="8"/>
  <c r="F18" i="8" s="1"/>
  <c r="E17" i="8"/>
  <c r="E18" i="8" s="1"/>
  <c r="D17" i="8"/>
  <c r="D18" i="8" s="1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G18" i="8" s="1"/>
  <c r="F12" i="8"/>
  <c r="E12" i="8"/>
  <c r="D12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F10" i="8" s="1"/>
  <c r="F19" i="8" s="1"/>
  <c r="E6" i="8"/>
  <c r="E10" i="8" s="1"/>
  <c r="E19" i="8" s="1"/>
  <c r="D6" i="8"/>
  <c r="D10" i="8" s="1"/>
  <c r="G5" i="8"/>
  <c r="G10" i="8" s="1"/>
  <c r="F5" i="8"/>
  <c r="E5" i="8"/>
  <c r="D5" i="8"/>
  <c r="C39" i="8"/>
  <c r="C37" i="8"/>
  <c r="C36" i="8"/>
  <c r="C35" i="8"/>
  <c r="C34" i="8"/>
  <c r="C33" i="8"/>
  <c r="C29" i="8"/>
  <c r="C28" i="8"/>
  <c r="C27" i="8"/>
  <c r="C30" i="8" s="1"/>
  <c r="C31" i="8" s="1"/>
  <c r="C24" i="8"/>
  <c r="C22" i="8"/>
  <c r="C23" i="8"/>
  <c r="C21" i="8"/>
  <c r="C25" i="8" s="1"/>
  <c r="C17" i="8"/>
  <c r="C16" i="8"/>
  <c r="C18" i="8" s="1"/>
  <c r="C15" i="8"/>
  <c r="C14" i="8"/>
  <c r="C13" i="8"/>
  <c r="C12" i="8"/>
  <c r="C6" i="8"/>
  <c r="C7" i="8"/>
  <c r="C8" i="8"/>
  <c r="C9" i="8"/>
  <c r="C5" i="8"/>
  <c r="H26" i="23" l="1"/>
  <c r="I26" i="23"/>
  <c r="I32" i="23" s="1"/>
  <c r="I35" i="23" s="1"/>
  <c r="H7" i="9"/>
  <c r="I10" i="16"/>
  <c r="H10" i="16"/>
  <c r="I7" i="9"/>
  <c r="H25" i="8"/>
  <c r="H31" i="8" s="1"/>
  <c r="I20" i="15"/>
  <c r="H13" i="16"/>
  <c r="H7" i="15"/>
  <c r="I15" i="16"/>
  <c r="N33" i="23"/>
  <c r="O33" i="23"/>
  <c r="N34" i="23"/>
  <c r="O34" i="23"/>
  <c r="K38" i="16"/>
  <c r="L38" i="16"/>
  <c r="E15" i="16"/>
  <c r="D24" i="16"/>
  <c r="D38" i="16" s="1"/>
  <c r="D40" i="16" s="1"/>
  <c r="F38" i="16"/>
  <c r="E38" i="16"/>
  <c r="G24" i="16"/>
  <c r="G38" i="16" s="1"/>
  <c r="J18" i="8"/>
  <c r="L18" i="8"/>
  <c r="K18" i="8"/>
  <c r="K9" i="15"/>
  <c r="H14" i="15"/>
  <c r="L9" i="15"/>
  <c r="G14" i="15"/>
  <c r="G16" i="15" s="1"/>
  <c r="M38" i="15"/>
  <c r="K13" i="15"/>
  <c r="L13" i="15" s="1"/>
  <c r="J14" i="15"/>
  <c r="J16" i="15" s="1"/>
  <c r="I14" i="15"/>
  <c r="I16" i="15" s="1"/>
  <c r="K8" i="15"/>
  <c r="L8" i="15" s="1"/>
  <c r="P39" i="15"/>
  <c r="P38" i="15"/>
  <c r="P40" i="15" s="1"/>
  <c r="Q37" i="15" s="1"/>
  <c r="N37" i="15"/>
  <c r="N38" i="15" s="1"/>
  <c r="C41" i="11"/>
  <c r="G41" i="11"/>
  <c r="F8" i="11"/>
  <c r="E36" i="11"/>
  <c r="H7" i="11"/>
  <c r="F36" i="11"/>
  <c r="E41" i="11"/>
  <c r="D36" i="11"/>
  <c r="D41" i="11"/>
  <c r="C36" i="11"/>
  <c r="E14" i="11"/>
  <c r="H33" i="11"/>
  <c r="I33" i="11" s="1"/>
  <c r="J33" i="11" s="1"/>
  <c r="H19" i="11"/>
  <c r="I19" i="11" s="1"/>
  <c r="J19" i="11" s="1"/>
  <c r="K19" i="11" s="1"/>
  <c r="L19" i="11" s="1"/>
  <c r="H20" i="11"/>
  <c r="H9" i="6" s="1"/>
  <c r="H22" i="11"/>
  <c r="I22" i="11" s="1"/>
  <c r="J22" i="11" s="1"/>
  <c r="K22" i="11" s="1"/>
  <c r="L22" i="11" s="1"/>
  <c r="H32" i="11"/>
  <c r="I32" i="11" s="1"/>
  <c r="F41" i="11"/>
  <c r="G36" i="11"/>
  <c r="H21" i="11"/>
  <c r="H10" i="6" s="1"/>
  <c r="J28" i="11"/>
  <c r="I10" i="11"/>
  <c r="H11" i="11"/>
  <c r="E23" i="14"/>
  <c r="E24" i="14"/>
  <c r="E28" i="14" s="1"/>
  <c r="F23" i="14"/>
  <c r="F24" i="14" s="1"/>
  <c r="F28" i="14" s="1"/>
  <c r="H28" i="14" s="1"/>
  <c r="E14" i="14"/>
  <c r="E7" i="14" s="1"/>
  <c r="E10" i="14" s="1"/>
  <c r="D14" i="14"/>
  <c r="D7" i="14" s="1"/>
  <c r="D10" i="14" s="1"/>
  <c r="F14" i="14"/>
  <c r="F7" i="14" s="1"/>
  <c r="F6" i="14" s="1"/>
  <c r="F11" i="14" s="1"/>
  <c r="H18" i="14"/>
  <c r="C14" i="14"/>
  <c r="G14" i="14"/>
  <c r="G7" i="14" s="1"/>
  <c r="G10" i="14" s="1"/>
  <c r="M40" i="14"/>
  <c r="M41" i="14" s="1"/>
  <c r="N40" i="14"/>
  <c r="N41" i="14" s="1"/>
  <c r="O40" i="14"/>
  <c r="O41" i="14" s="1"/>
  <c r="P40" i="14"/>
  <c r="G8" i="11"/>
  <c r="C14" i="11"/>
  <c r="G14" i="11"/>
  <c r="E8" i="11"/>
  <c r="F14" i="11"/>
  <c r="H9" i="11"/>
  <c r="D14" i="11"/>
  <c r="D8" i="11"/>
  <c r="E37" i="8"/>
  <c r="E39" i="8" s="1"/>
  <c r="F31" i="8"/>
  <c r="F39" i="8"/>
  <c r="G19" i="8"/>
  <c r="G31" i="8"/>
  <c r="G37" i="8" s="1"/>
  <c r="D19" i="8"/>
  <c r="D39" i="8" s="1"/>
  <c r="D31" i="8"/>
  <c r="D37" i="8"/>
  <c r="F37" i="8"/>
  <c r="C10" i="8"/>
  <c r="C19" i="8" s="1"/>
  <c r="G20" i="6"/>
  <c r="F20" i="6"/>
  <c r="E20" i="6"/>
  <c r="D20" i="6"/>
  <c r="G18" i="6"/>
  <c r="F18" i="6"/>
  <c r="E18" i="6"/>
  <c r="D18" i="6"/>
  <c r="G16" i="6"/>
  <c r="F16" i="6"/>
  <c r="E16" i="6"/>
  <c r="D16" i="6"/>
  <c r="G14" i="6"/>
  <c r="F14" i="6"/>
  <c r="E14" i="6"/>
  <c r="D14" i="6"/>
  <c r="G12" i="6"/>
  <c r="F12" i="6"/>
  <c r="E12" i="6"/>
  <c r="D12" i="6"/>
  <c r="G11" i="6"/>
  <c r="F11" i="6"/>
  <c r="E11" i="6"/>
  <c r="D11" i="6"/>
  <c r="G10" i="6"/>
  <c r="F10" i="6"/>
  <c r="E10" i="6"/>
  <c r="D10" i="6"/>
  <c r="G9" i="6"/>
  <c r="F9" i="6"/>
  <c r="E9" i="6"/>
  <c r="D9" i="6"/>
  <c r="G8" i="6"/>
  <c r="F8" i="6"/>
  <c r="E8" i="6"/>
  <c r="D8" i="6"/>
  <c r="G6" i="6"/>
  <c r="F6" i="6"/>
  <c r="E6" i="6"/>
  <c r="D6" i="6"/>
  <c r="G5" i="6"/>
  <c r="F5" i="6"/>
  <c r="E5" i="6"/>
  <c r="E7" i="6" s="1"/>
  <c r="E13" i="6" s="1"/>
  <c r="E15" i="6" s="1"/>
  <c r="E17" i="6" s="1"/>
  <c r="E19" i="6" s="1"/>
  <c r="E21" i="6" s="1"/>
  <c r="D5" i="6"/>
  <c r="D7" i="6" s="1"/>
  <c r="D13" i="6" s="1"/>
  <c r="D15" i="6" s="1"/>
  <c r="D17" i="6" s="1"/>
  <c r="D19" i="6" s="1"/>
  <c r="D21" i="6" s="1"/>
  <c r="C20" i="6"/>
  <c r="C18" i="6"/>
  <c r="C16" i="6"/>
  <c r="C14" i="6"/>
  <c r="C12" i="6"/>
  <c r="C10" i="6"/>
  <c r="C11" i="6"/>
  <c r="C13" i="6" s="1"/>
  <c r="C15" i="6" s="1"/>
  <c r="C17" i="6" s="1"/>
  <c r="C19" i="6" s="1"/>
  <c r="C9" i="6"/>
  <c r="C8" i="6"/>
  <c r="C6" i="6"/>
  <c r="C5" i="6"/>
  <c r="C7" i="6" s="1"/>
  <c r="G10" i="3"/>
  <c r="K10" i="3"/>
  <c r="J10" i="3"/>
  <c r="I10" i="3"/>
  <c r="H10" i="3"/>
  <c r="H18" i="15" l="1"/>
  <c r="H22" i="15" s="1"/>
  <c r="H10" i="9" s="1"/>
  <c r="H8" i="8"/>
  <c r="I18" i="15"/>
  <c r="I22" i="15" s="1"/>
  <c r="I10" i="9" s="1"/>
  <c r="I12" i="9" s="1"/>
  <c r="H9" i="15"/>
  <c r="H16" i="15" s="1"/>
  <c r="H32" i="23"/>
  <c r="N26" i="23"/>
  <c r="O26" i="23"/>
  <c r="L14" i="15"/>
  <c r="L16" i="15" s="1"/>
  <c r="K14" i="15"/>
  <c r="K16" i="15" s="1"/>
  <c r="Q39" i="15"/>
  <c r="Q38" i="15"/>
  <c r="Q40" i="15" s="1"/>
  <c r="R37" i="15" s="1"/>
  <c r="I20" i="11"/>
  <c r="J20" i="11" s="1"/>
  <c r="K20" i="11" s="1"/>
  <c r="L20" i="11" s="1"/>
  <c r="H36" i="11"/>
  <c r="I36" i="11" s="1"/>
  <c r="J36" i="11" s="1"/>
  <c r="H11" i="6"/>
  <c r="H41" i="11"/>
  <c r="K33" i="11"/>
  <c r="L33" i="11" s="1"/>
  <c r="I41" i="11"/>
  <c r="I21" i="11"/>
  <c r="J21" i="11" s="1"/>
  <c r="K21" i="11" s="1"/>
  <c r="L21" i="11" s="1"/>
  <c r="I11" i="6"/>
  <c r="J11" i="6" s="1"/>
  <c r="K11" i="6" s="1"/>
  <c r="L11" i="6" s="1"/>
  <c r="H16" i="11"/>
  <c r="H14" i="11" s="1"/>
  <c r="H13" i="11" s="1"/>
  <c r="H6" i="6" s="1"/>
  <c r="H7" i="6" s="1"/>
  <c r="H9" i="23" s="1"/>
  <c r="H34" i="11"/>
  <c r="H16" i="6" s="1"/>
  <c r="I8" i="11"/>
  <c r="I7" i="11" s="1"/>
  <c r="J10" i="11"/>
  <c r="J8" i="11" s="1"/>
  <c r="K28" i="11"/>
  <c r="J26" i="11"/>
  <c r="H8" i="6"/>
  <c r="J32" i="11"/>
  <c r="J34" i="11" s="1"/>
  <c r="J16" i="6" s="1"/>
  <c r="I34" i="11"/>
  <c r="I16" i="6" s="1"/>
  <c r="K36" i="11"/>
  <c r="L36" i="11" s="1"/>
  <c r="I9" i="6"/>
  <c r="J9" i="6" s="1"/>
  <c r="K9" i="6" s="1"/>
  <c r="L9" i="6" s="1"/>
  <c r="I11" i="11"/>
  <c r="H24" i="14"/>
  <c r="I28" i="14"/>
  <c r="J28" i="14" s="1"/>
  <c r="K28" i="14"/>
  <c r="L28" i="14" s="1"/>
  <c r="E6" i="14"/>
  <c r="E11" i="14" s="1"/>
  <c r="F10" i="14"/>
  <c r="H10" i="14" s="1"/>
  <c r="D6" i="14"/>
  <c r="D11" i="14" s="1"/>
  <c r="H19" i="14"/>
  <c r="I18" i="14"/>
  <c r="G6" i="14"/>
  <c r="G11" i="14" s="1"/>
  <c r="P42" i="14"/>
  <c r="P41" i="14"/>
  <c r="I9" i="11"/>
  <c r="F7" i="6"/>
  <c r="F13" i="6" s="1"/>
  <c r="F15" i="6" s="1"/>
  <c r="F17" i="6" s="1"/>
  <c r="F19" i="6" s="1"/>
  <c r="F21" i="6" s="1"/>
  <c r="G7" i="6"/>
  <c r="G13" i="6" s="1"/>
  <c r="G15" i="6" s="1"/>
  <c r="G17" i="6" s="1"/>
  <c r="G19" i="6" s="1"/>
  <c r="G21" i="6" s="1"/>
  <c r="G39" i="8"/>
  <c r="I30" i="9" l="1"/>
  <c r="I5" i="21"/>
  <c r="I8" i="21" s="1"/>
  <c r="I28" i="16"/>
  <c r="I36" i="16" s="1"/>
  <c r="I38" i="16" s="1"/>
  <c r="H28" i="16"/>
  <c r="O32" i="23"/>
  <c r="H35" i="23"/>
  <c r="N32" i="23"/>
  <c r="N9" i="23"/>
  <c r="O9" i="23"/>
  <c r="R39" i="15"/>
  <c r="R38" i="15"/>
  <c r="R40" i="15" s="1"/>
  <c r="S37" i="15" s="1"/>
  <c r="J11" i="11"/>
  <c r="K10" i="11"/>
  <c r="K8" i="11" s="1"/>
  <c r="I10" i="6"/>
  <c r="J10" i="6" s="1"/>
  <c r="K10" i="6" s="1"/>
  <c r="L10" i="6" s="1"/>
  <c r="J41" i="11"/>
  <c r="H17" i="11"/>
  <c r="H15" i="11"/>
  <c r="I16" i="11"/>
  <c r="I14" i="11" s="1"/>
  <c r="I13" i="11" s="1"/>
  <c r="I6" i="6" s="1"/>
  <c r="K41" i="11"/>
  <c r="K32" i="11"/>
  <c r="L32" i="11" s="1"/>
  <c r="L34" i="11" s="1"/>
  <c r="L16" i="6" s="1"/>
  <c r="J9" i="11"/>
  <c r="I5" i="6"/>
  <c r="J7" i="11"/>
  <c r="H13" i="6"/>
  <c r="L28" i="11"/>
  <c r="L26" i="11" s="1"/>
  <c r="K26" i="11"/>
  <c r="H7" i="14"/>
  <c r="H14" i="14" s="1"/>
  <c r="H15" i="14" s="1"/>
  <c r="H25" i="14" s="1"/>
  <c r="H26" i="14" s="1"/>
  <c r="I23" i="14" s="1"/>
  <c r="I10" i="14"/>
  <c r="J10" i="14" s="1"/>
  <c r="K10" i="14" s="1"/>
  <c r="L10" i="14" s="1"/>
  <c r="P43" i="14"/>
  <c r="Q40" i="14" s="1"/>
  <c r="Q42" i="14" s="1"/>
  <c r="H11" i="14"/>
  <c r="J18" i="14"/>
  <c r="K18" i="14" s="1"/>
  <c r="I19" i="14"/>
  <c r="K9" i="11"/>
  <c r="K11" i="11"/>
  <c r="L10" i="11"/>
  <c r="L8" i="11" s="1"/>
  <c r="N35" i="23" l="1"/>
  <c r="O35" i="23"/>
  <c r="I5" i="23"/>
  <c r="H10" i="23"/>
  <c r="H5" i="23"/>
  <c r="J7" i="24"/>
  <c r="H6" i="9"/>
  <c r="S39" i="15"/>
  <c r="S38" i="15"/>
  <c r="S40" i="15" s="1"/>
  <c r="T37" i="15" s="1"/>
  <c r="I15" i="11"/>
  <c r="J16" i="11"/>
  <c r="J14" i="11" s="1"/>
  <c r="I17" i="11"/>
  <c r="K34" i="11"/>
  <c r="K16" i="6" s="1"/>
  <c r="L41" i="11"/>
  <c r="J13" i="11"/>
  <c r="J6" i="6" s="1"/>
  <c r="J5" i="6"/>
  <c r="K7" i="11"/>
  <c r="I7" i="6"/>
  <c r="I8" i="6"/>
  <c r="I24" i="14"/>
  <c r="Q41" i="14"/>
  <c r="Q43" i="14" s="1"/>
  <c r="R40" i="14" s="1"/>
  <c r="R42" i="14" s="1"/>
  <c r="L18" i="14"/>
  <c r="K19" i="14"/>
  <c r="H6" i="14"/>
  <c r="H8" i="14" s="1"/>
  <c r="I5" i="14" s="1"/>
  <c r="I11" i="14"/>
  <c r="J19" i="14"/>
  <c r="K16" i="11"/>
  <c r="K14" i="11" s="1"/>
  <c r="J15" i="11"/>
  <c r="J17" i="11"/>
  <c r="L11" i="11"/>
  <c r="L9" i="11"/>
  <c r="O10" i="23" l="1"/>
  <c r="N10" i="23"/>
  <c r="N5" i="23"/>
  <c r="O5" i="23"/>
  <c r="T39" i="15"/>
  <c r="T38" i="15"/>
  <c r="T40" i="15" s="1"/>
  <c r="I13" i="6"/>
  <c r="L7" i="11"/>
  <c r="K13" i="11"/>
  <c r="K6" i="6" s="1"/>
  <c r="K5" i="6"/>
  <c r="J7" i="6"/>
  <c r="J8" i="6"/>
  <c r="R41" i="14"/>
  <c r="R43" i="14"/>
  <c r="S40" i="14" s="1"/>
  <c r="S41" i="14" s="1"/>
  <c r="I6" i="14"/>
  <c r="J11" i="14"/>
  <c r="I7" i="14"/>
  <c r="I14" i="14" s="1"/>
  <c r="I15" i="14" s="1"/>
  <c r="I25" i="14" s="1"/>
  <c r="I26" i="14" s="1"/>
  <c r="J23" i="14" s="1"/>
  <c r="L19" i="14"/>
  <c r="S42" i="14"/>
  <c r="K17" i="11"/>
  <c r="L16" i="11"/>
  <c r="L14" i="11" s="1"/>
  <c r="K15" i="11"/>
  <c r="L13" i="11" l="1"/>
  <c r="L6" i="6" s="1"/>
  <c r="L5" i="6"/>
  <c r="J13" i="6"/>
  <c r="K7" i="6"/>
  <c r="K8" i="6"/>
  <c r="J24" i="14"/>
  <c r="S43" i="14"/>
  <c r="T40" i="14" s="1"/>
  <c r="K11" i="14"/>
  <c r="L11" i="14" s="1"/>
  <c r="I8" i="14"/>
  <c r="J5" i="14" s="1"/>
  <c r="T42" i="14"/>
  <c r="T41" i="14"/>
  <c r="L17" i="11"/>
  <c r="L15" i="11"/>
  <c r="K13" i="6" l="1"/>
  <c r="L7" i="6"/>
  <c r="L8" i="6"/>
  <c r="T43" i="14"/>
  <c r="J6" i="14"/>
  <c r="J7" i="14"/>
  <c r="L13" i="6" l="1"/>
  <c r="J8" i="14"/>
  <c r="K5" i="14" s="1"/>
  <c r="J14" i="14"/>
  <c r="H16" i="14"/>
  <c r="H14" i="6" s="1"/>
  <c r="H15" i="6" s="1"/>
  <c r="I16" i="14"/>
  <c r="I14" i="6" s="1"/>
  <c r="I15" i="6" s="1"/>
  <c r="I17" i="6" s="1"/>
  <c r="H17" i="6" l="1"/>
  <c r="H12" i="23" s="1"/>
  <c r="H11" i="23"/>
  <c r="H20" i="23"/>
  <c r="H6" i="23"/>
  <c r="I6" i="23"/>
  <c r="I18" i="6"/>
  <c r="I19" i="6" s="1"/>
  <c r="H18" i="6"/>
  <c r="J15" i="14"/>
  <c r="K7" i="14"/>
  <c r="K6" i="14"/>
  <c r="H19" i="6" l="1"/>
  <c r="H11" i="9"/>
  <c r="H12" i="9" s="1"/>
  <c r="O11" i="23"/>
  <c r="N11" i="23"/>
  <c r="O6" i="23"/>
  <c r="N6" i="23"/>
  <c r="O20" i="23"/>
  <c r="N20" i="23"/>
  <c r="N12" i="23"/>
  <c r="O12" i="23"/>
  <c r="H39" i="11"/>
  <c r="H40" i="11" s="1"/>
  <c r="H20" i="6" s="1"/>
  <c r="I39" i="11"/>
  <c r="I40" i="11" s="1"/>
  <c r="I20" i="6" s="1"/>
  <c r="I21" i="6" s="1"/>
  <c r="J16" i="14"/>
  <c r="J14" i="6" s="1"/>
  <c r="J15" i="6" s="1"/>
  <c r="J17" i="6" s="1"/>
  <c r="J25" i="14"/>
  <c r="J26" i="14" s="1"/>
  <c r="K23" i="14" s="1"/>
  <c r="K24" i="14" s="1"/>
  <c r="K8" i="14"/>
  <c r="L5" i="14" s="1"/>
  <c r="K14" i="14"/>
  <c r="H21" i="6" l="1"/>
  <c r="H34" i="8" s="1"/>
  <c r="H27" i="16"/>
  <c r="H36" i="16" s="1"/>
  <c r="H26" i="9"/>
  <c r="H28" i="9" s="1"/>
  <c r="H5" i="21"/>
  <c r="H8" i="21" s="1"/>
  <c r="C13" i="21" s="1"/>
  <c r="C18" i="21" s="1"/>
  <c r="C22" i="21" s="1"/>
  <c r="C24" i="21" s="1"/>
  <c r="G15" i="21" s="1"/>
  <c r="H30" i="9"/>
  <c r="H7" i="8" s="1"/>
  <c r="J8" i="24"/>
  <c r="I7" i="23"/>
  <c r="H13" i="23"/>
  <c r="H7" i="23"/>
  <c r="O7" i="23" s="1"/>
  <c r="H6" i="16"/>
  <c r="H15" i="16" s="1"/>
  <c r="J18" i="6"/>
  <c r="J19" i="6" s="1"/>
  <c r="K15" i="14"/>
  <c r="L7" i="14"/>
  <c r="L14" i="14" s="1"/>
  <c r="L15" i="14" s="1"/>
  <c r="L6" i="14"/>
  <c r="H38" i="16" l="1"/>
  <c r="H40" i="16" s="1"/>
  <c r="I39" i="16" s="1"/>
  <c r="I40" i="16" s="1"/>
  <c r="J39" i="16" s="1"/>
  <c r="J40" i="16" s="1"/>
  <c r="K39" i="16" s="1"/>
  <c r="K40" i="16" s="1"/>
  <c r="L39" i="16" s="1"/>
  <c r="L40" i="16" s="1"/>
  <c r="N13" i="23"/>
  <c r="O13" i="23"/>
  <c r="H24" i="23"/>
  <c r="I7" i="8"/>
  <c r="H10" i="8"/>
  <c r="N7" i="23"/>
  <c r="H36" i="8"/>
  <c r="I34" i="8"/>
  <c r="J39" i="11"/>
  <c r="J40" i="11" s="1"/>
  <c r="J20" i="6" s="1"/>
  <c r="J21" i="6" s="1"/>
  <c r="L16" i="14"/>
  <c r="L14" i="6" s="1"/>
  <c r="L15" i="6" s="1"/>
  <c r="L17" i="6" s="1"/>
  <c r="L25" i="14"/>
  <c r="K16" i="14"/>
  <c r="K14" i="6" s="1"/>
  <c r="K15" i="6" s="1"/>
  <c r="K17" i="6" s="1"/>
  <c r="K25" i="14"/>
  <c r="K26" i="14" s="1"/>
  <c r="L23" i="14" s="1"/>
  <c r="L24" i="14" s="1"/>
  <c r="L26" i="14" s="1"/>
  <c r="L8" i="14"/>
  <c r="H23" i="23" l="1"/>
  <c r="H22" i="23"/>
  <c r="H19" i="8"/>
  <c r="I24" i="23"/>
  <c r="J7" i="8"/>
  <c r="I10" i="8"/>
  <c r="J34" i="8"/>
  <c r="I36" i="8"/>
  <c r="H30" i="23"/>
  <c r="H19" i="23"/>
  <c r="H37" i="8"/>
  <c r="H17" i="23"/>
  <c r="H16" i="23"/>
  <c r="L18" i="6"/>
  <c r="L19" i="6"/>
  <c r="K18" i="6"/>
  <c r="K19" i="6" s="1"/>
  <c r="I23" i="23" l="1"/>
  <c r="I22" i="23"/>
  <c r="I19" i="8"/>
  <c r="K7" i="8"/>
  <c r="J24" i="23"/>
  <c r="J10" i="8"/>
  <c r="H39" i="8"/>
  <c r="H15" i="23"/>
  <c r="I19" i="23"/>
  <c r="I30" i="23"/>
  <c r="I16" i="23"/>
  <c r="I17" i="23"/>
  <c r="I37" i="8"/>
  <c r="K34" i="8"/>
  <c r="J36" i="8"/>
  <c r="K39" i="11"/>
  <c r="K40" i="11" s="1"/>
  <c r="K20" i="6" s="1"/>
  <c r="K21" i="6" s="1"/>
  <c r="L39" i="11"/>
  <c r="L40" i="11" s="1"/>
  <c r="L20" i="6" s="1"/>
  <c r="L21" i="6" s="1"/>
  <c r="J22" i="23" l="1"/>
  <c r="J23" i="23"/>
  <c r="J19" i="8"/>
  <c r="L34" i="8"/>
  <c r="L36" i="8" s="1"/>
  <c r="K36" i="8"/>
  <c r="K24" i="23"/>
  <c r="L7" i="8"/>
  <c r="K10" i="8"/>
  <c r="I15" i="23"/>
  <c r="I39" i="8"/>
  <c r="J17" i="23"/>
  <c r="J30" i="23"/>
  <c r="J16" i="23"/>
  <c r="J19" i="23"/>
  <c r="J37" i="8"/>
  <c r="L17" i="23" l="1"/>
  <c r="L19" i="23"/>
  <c r="L30" i="23"/>
  <c r="L16" i="23"/>
  <c r="L37" i="8"/>
  <c r="N30" i="23"/>
  <c r="J39" i="8"/>
  <c r="J15" i="23"/>
  <c r="K22" i="23"/>
  <c r="K23" i="23"/>
  <c r="K19" i="8"/>
  <c r="O19" i="23"/>
  <c r="N19" i="23"/>
  <c r="L10" i="8"/>
  <c r="L24" i="23"/>
  <c r="K19" i="23"/>
  <c r="K30" i="23"/>
  <c r="O30" i="23" s="1"/>
  <c r="K16" i="23"/>
  <c r="O16" i="23" s="1"/>
  <c r="K17" i="23"/>
  <c r="O17" i="23" s="1"/>
  <c r="K37" i="8"/>
  <c r="L22" i="23" l="1"/>
  <c r="L23" i="23"/>
  <c r="O23" i="23" s="1"/>
  <c r="L19" i="8"/>
  <c r="K39" i="8"/>
  <c r="K15" i="23"/>
  <c r="N17" i="23"/>
  <c r="N16" i="23"/>
  <c r="O24" i="23"/>
  <c r="N24" i="23"/>
  <c r="N22" i="23" l="1"/>
  <c r="O22" i="23"/>
  <c r="L39" i="8"/>
  <c r="L15" i="23"/>
  <c r="N15" i="23" s="1"/>
  <c r="N23" i="23"/>
  <c r="O15" i="23" l="1"/>
</calcChain>
</file>

<file path=xl/sharedStrings.xml><?xml version="1.0" encoding="utf-8"?>
<sst xmlns="http://schemas.openxmlformats.org/spreadsheetml/2006/main" count="545" uniqueCount="353">
  <si>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</si>
  <si>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</si>
  <si>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</si>
  <si>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</si>
  <si>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</si>
  <si>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</si>
  <si>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</si>
  <si>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</si>
  <si>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</si>
  <si>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</si>
  <si>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</si>
  <si>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</si>
  <si>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</si>
  <si>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</si>
  <si>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</si>
  <si>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Balance Sheet</t>
  </si>
  <si>
    <t>Equity Capital</t>
  </si>
  <si>
    <t>Reserves</t>
  </si>
  <si>
    <t>Borrowings -</t>
  </si>
  <si>
    <t>Long term Borrowings</t>
  </si>
  <si>
    <t>Short term Borrowings</t>
  </si>
  <si>
    <t>Lease Liabilities</t>
  </si>
  <si>
    <t>Other Borrowings</t>
  </si>
  <si>
    <t>Other Liabilities -</t>
  </si>
  <si>
    <t>Non controlling int</t>
  </si>
  <si>
    <t>Trade Payables</t>
  </si>
  <si>
    <t>Advance from Customers</t>
  </si>
  <si>
    <t>Other liability items</t>
  </si>
  <si>
    <t>Fixed Assets -</t>
  </si>
  <si>
    <t>Land</t>
  </si>
  <si>
    <t>Building</t>
  </si>
  <si>
    <t>Plant Machinery</t>
  </si>
  <si>
    <t>Ships Vessels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</si>
  <si>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</si>
  <si>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</si>
  <si>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</si>
  <si>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</si>
  <si>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</si>
  <si>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</si>
  <si>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</si>
  <si>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</si>
  <si>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</si>
  <si>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</si>
  <si>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 -</t>
  </si>
  <si>
    <t>Inventories</t>
  </si>
  <si>
    <t>Trade receivables</t>
  </si>
  <si>
    <t>Cash Equivalents</t>
  </si>
  <si>
    <t>Loans n Advances</t>
  </si>
  <si>
    <t>Other asset items</t>
  </si>
  <si>
    <t>Total Assets</t>
  </si>
  <si>
    <t>Cash Flows</t>
  </si>
  <si>
    <t>Cash from Operating Activity -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</si>
  <si>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</si>
  <si>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</si>
  <si>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</si>
  <si>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</si>
  <si>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</si>
  <si>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</si>
  <si>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</si>
  <si>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</si>
  <si>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</si>
  <si>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</si>
  <si>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</si>
  <si>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</si>
  <si>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</si>
  <si>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</si>
  <si>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</si>
  <si>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</si>
  <si>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</si>
  <si>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</si>
  <si>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</si>
  <si>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</si>
  <si>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</si>
  <si>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Cash from Financing Activity 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</si>
  <si>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</si>
  <si>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</si>
  <si>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</si>
  <si>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</si>
  <si>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</si>
  <si>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</si>
  <si>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</si>
  <si>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</si>
  <si>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Total Equity &amp; Liabilities</t>
  </si>
  <si>
    <t>Profit &amp; Loss</t>
  </si>
  <si>
    <t>Income Statement</t>
  </si>
  <si>
    <t>All figures in Rs. Crore</t>
  </si>
  <si>
    <t>Financial Year</t>
  </si>
  <si>
    <t>Total Revenue</t>
  </si>
  <si>
    <t>COGS</t>
  </si>
  <si>
    <t>Gross Profit</t>
  </si>
  <si>
    <t>EBITDA</t>
  </si>
  <si>
    <t>Depreciation &amp; Amortization</t>
  </si>
  <si>
    <t xml:space="preserve">EBIT </t>
  </si>
  <si>
    <t>EBT</t>
  </si>
  <si>
    <t>Taxes</t>
  </si>
  <si>
    <t>EAT/ Net Profit</t>
  </si>
  <si>
    <t>Divident Paid</t>
  </si>
  <si>
    <t>Transfer to Reserve</t>
  </si>
  <si>
    <t>Total Current Assets</t>
  </si>
  <si>
    <t>Property, Plant &amp; Equipments</t>
  </si>
  <si>
    <t>Capital Work in Progress</t>
  </si>
  <si>
    <t>Long Term Investment</t>
  </si>
  <si>
    <t>Other Fixed Assets</t>
  </si>
  <si>
    <t>Total Non-Current Assets</t>
  </si>
  <si>
    <t>Total Current Liabilities</t>
  </si>
  <si>
    <t>Total Non-Current Liabilities</t>
  </si>
  <si>
    <t>Total Liabilities</t>
  </si>
  <si>
    <t>Total Equity</t>
  </si>
  <si>
    <t>Balance Check</t>
  </si>
  <si>
    <t>Cash Flow Statement</t>
  </si>
  <si>
    <t>Cash Flow from Operating Activities</t>
  </si>
  <si>
    <t>Net cash inflow(outflow) from Operating Activities</t>
  </si>
  <si>
    <t>Cash Flow from Investing Activities</t>
  </si>
  <si>
    <t>Net cash inflow(outflow) from Investing Activities</t>
  </si>
  <si>
    <t>Cash Flow from Financing Activities</t>
  </si>
  <si>
    <t>Debt proceeds/repayments</t>
  </si>
  <si>
    <t>Other Financing items</t>
  </si>
  <si>
    <t>Net cash inflow(outflow) from Financial Activities</t>
  </si>
  <si>
    <t>Net Cash Flow for the year</t>
  </si>
  <si>
    <t>Drivers</t>
  </si>
  <si>
    <t>All figures in Rs. Crore (unless specified)</t>
  </si>
  <si>
    <t>Growth</t>
  </si>
  <si>
    <t>Weightage</t>
  </si>
  <si>
    <t>Year</t>
  </si>
  <si>
    <t>-</t>
  </si>
  <si>
    <t>Arithmetic Mean</t>
  </si>
  <si>
    <t>Geometric Mean</t>
  </si>
  <si>
    <t>Regression</t>
  </si>
  <si>
    <t>Income Statement Drivers</t>
  </si>
  <si>
    <t>Revenue</t>
  </si>
  <si>
    <t>Revenue growth y-o-y</t>
  </si>
  <si>
    <t>Scenario 1</t>
  </si>
  <si>
    <t>Scenario 2</t>
  </si>
  <si>
    <t>Scenario 3</t>
  </si>
  <si>
    <t>Cost of Good Sold</t>
  </si>
  <si>
    <t>% of Revenue</t>
  </si>
  <si>
    <t>Power and Fuel (% of revenue)</t>
  </si>
  <si>
    <t>Employee Cost (Growth y-o-y)</t>
  </si>
  <si>
    <t>Selling and admin (Growth y-o-y)</t>
  </si>
  <si>
    <t>Other Expenses (Growth y-o-y)</t>
  </si>
  <si>
    <t>Tax Expenses</t>
  </si>
  <si>
    <t>% of PBT</t>
  </si>
  <si>
    <t>Scenario</t>
  </si>
  <si>
    <t>Beginning PPE</t>
  </si>
  <si>
    <t>Capex</t>
  </si>
  <si>
    <t>Ending PPE</t>
  </si>
  <si>
    <t>Amortization</t>
  </si>
  <si>
    <t>Total D&amp;A</t>
  </si>
  <si>
    <t>Depreciation (% of Beginning PPE)</t>
  </si>
  <si>
    <t>Capex (% of Beginning PPE)</t>
  </si>
  <si>
    <t>Amortization (% of Total D&amp;A)</t>
  </si>
  <si>
    <t>Opening Balance</t>
  </si>
  <si>
    <t>Addition</t>
  </si>
  <si>
    <t>Closing Balance</t>
  </si>
  <si>
    <t>Addition (% of Opening Balance)</t>
  </si>
  <si>
    <t>Interest Expenses</t>
  </si>
  <si>
    <t>Interest Rate</t>
  </si>
  <si>
    <t>Net Income</t>
  </si>
  <si>
    <t>Divident Payout Ratio (%)</t>
  </si>
  <si>
    <t>Balance Sheet Drivers</t>
  </si>
  <si>
    <t>Working Capital</t>
  </si>
  <si>
    <t>Inventories (% of COGS)</t>
  </si>
  <si>
    <t>Trade receivables (% of revenue)</t>
  </si>
  <si>
    <t>Loan n Advances (% of revenue)</t>
  </si>
  <si>
    <t>Trade Payables (% of COGS)</t>
  </si>
  <si>
    <t>Advance from Customers (% of revenue)</t>
  </si>
  <si>
    <t>Current Assets</t>
  </si>
  <si>
    <t>Current Liabilities</t>
  </si>
  <si>
    <t>Working Capital (CA-CL)</t>
  </si>
  <si>
    <t>Profit from operations (EBITDA)</t>
  </si>
  <si>
    <t>Minority Interest</t>
  </si>
  <si>
    <t>Adjustment</t>
  </si>
  <si>
    <t>Net Profit</t>
  </si>
  <si>
    <t>Change in Working Capital:</t>
  </si>
  <si>
    <t>Reserves &amp; Surplus</t>
  </si>
  <si>
    <t>Closing Balance of R&amp;S</t>
  </si>
  <si>
    <t>Opening Balance of R&amp;S</t>
  </si>
  <si>
    <t>Weighted Average Cost of Capital</t>
  </si>
  <si>
    <t>Weighted Average Cost of Capital (WACC)</t>
  </si>
  <si>
    <t>Equity (Cr)</t>
  </si>
  <si>
    <t>Debt (Cr)</t>
  </si>
  <si>
    <t>Cost of Debt</t>
  </si>
  <si>
    <t>Tax Rate</t>
  </si>
  <si>
    <t>D/(D+E)</t>
  </si>
  <si>
    <t>After tax Cost of Debt</t>
  </si>
  <si>
    <t>Risk free rate (10 yr of bond)</t>
  </si>
  <si>
    <t>Expected Market Return</t>
  </si>
  <si>
    <t>Market Risk Premium</t>
  </si>
  <si>
    <t>Beta</t>
  </si>
  <si>
    <t>E/(D+E)</t>
  </si>
  <si>
    <t>Cost of Equity</t>
  </si>
  <si>
    <t>WACC</t>
  </si>
  <si>
    <t>Discounted Cash Flow Model</t>
  </si>
  <si>
    <t>Unlevered Free Cash Flow</t>
  </si>
  <si>
    <t>Projection Year</t>
  </si>
  <si>
    <t>Present Value of Free Cash Flow</t>
  </si>
  <si>
    <t>Implied Share Price Calculation</t>
  </si>
  <si>
    <t>Sum of PV of FCF</t>
  </si>
  <si>
    <t>Growth Rate</t>
  </si>
  <si>
    <t>Terminal Value</t>
  </si>
  <si>
    <t>PV of Terminal value</t>
  </si>
  <si>
    <t>Enterprice Value</t>
  </si>
  <si>
    <t>(+) Cash</t>
  </si>
  <si>
    <t>(-) Debt</t>
  </si>
  <si>
    <t xml:space="preserve">(-) Minority Interest </t>
  </si>
  <si>
    <t>Equity Value</t>
  </si>
  <si>
    <t>Diluted Share Outstanding (Cr)</t>
  </si>
  <si>
    <t>Implied Share Price</t>
  </si>
  <si>
    <t>Sensitivity Table</t>
  </si>
  <si>
    <t>Diluted Share Outstanding (Cr) is equity share of the company</t>
  </si>
  <si>
    <t>Valuation Model of UltraTech Cement Ltd.</t>
  </si>
  <si>
    <t>Company Name</t>
  </si>
  <si>
    <t>Parent Organization</t>
  </si>
  <si>
    <t>Headquarter</t>
  </si>
  <si>
    <t>Founder</t>
  </si>
  <si>
    <t>Kumar Mangalam Birla</t>
  </si>
  <si>
    <t>Mumbai</t>
  </si>
  <si>
    <t>Aditya Birla Group</t>
  </si>
  <si>
    <t>UltraTech Cement Ltd.</t>
  </si>
  <si>
    <t>Blue</t>
  </si>
  <si>
    <t>Black</t>
  </si>
  <si>
    <t>Green</t>
  </si>
  <si>
    <t>Red</t>
  </si>
  <si>
    <t>External File Links</t>
  </si>
  <si>
    <t>Link to other worksheets</t>
  </si>
  <si>
    <t>Formulas</t>
  </si>
  <si>
    <t>Hard Coded Numbers</t>
  </si>
  <si>
    <t>Sheet No.</t>
  </si>
  <si>
    <t>Sheet Name</t>
  </si>
  <si>
    <t>Link to the Sheet</t>
  </si>
  <si>
    <t>Index (this sheet)</t>
  </si>
  <si>
    <t>Overview</t>
  </si>
  <si>
    <t>Comparative Company Analysis</t>
  </si>
  <si>
    <t>Ratios</t>
  </si>
  <si>
    <t>Drivers of the Model</t>
  </si>
  <si>
    <t>Income Statement (Source)</t>
  </si>
  <si>
    <t>Balance Sheet (Source)</t>
  </si>
  <si>
    <t>Cash Flow Statement (Source)</t>
  </si>
  <si>
    <t>Index</t>
  </si>
  <si>
    <t>Comparative</t>
  </si>
  <si>
    <t>P&amp;L</t>
  </si>
  <si>
    <t>Cash Flow</t>
  </si>
  <si>
    <t>PPE</t>
  </si>
  <si>
    <t>WC</t>
  </si>
  <si>
    <t>DCF</t>
  </si>
  <si>
    <t>(IS)</t>
  </si>
  <si>
    <t>(CFS)</t>
  </si>
  <si>
    <t>Sales Growth (%)</t>
  </si>
  <si>
    <t>EBITDA Growth (%)</t>
  </si>
  <si>
    <t>EBIT Growth (%)</t>
  </si>
  <si>
    <t>PAT Growth (%)</t>
  </si>
  <si>
    <t>Gross Margin (%)</t>
  </si>
  <si>
    <t>EBITDA Margin (%)</t>
  </si>
  <si>
    <t>EBIT Margin (%)</t>
  </si>
  <si>
    <t>EBT Margin (%)</t>
  </si>
  <si>
    <t>Net Profit Margin (%)</t>
  </si>
  <si>
    <t>ROA (%)</t>
  </si>
  <si>
    <t>ROE (%)</t>
  </si>
  <si>
    <t>ROCE (%)</t>
  </si>
  <si>
    <t>Debt Equity Ratio (x)</t>
  </si>
  <si>
    <t>Interest Coverage Ratio (x)</t>
  </si>
  <si>
    <t>Current Ratio (x)</t>
  </si>
  <si>
    <t>Quick Ratio (x)</t>
  </si>
  <si>
    <t>Cash Ratio (x)</t>
  </si>
  <si>
    <t>Debtor Turnover Ratio (x)</t>
  </si>
  <si>
    <t>Creditor Turnover Ratio (x)</t>
  </si>
  <si>
    <t>Inventory Turnover (x)</t>
  </si>
  <si>
    <t>Fixed Asset Turnover (x)</t>
  </si>
  <si>
    <t>Capital Turnover Ratio (x)</t>
  </si>
  <si>
    <t>Debtor Days</t>
  </si>
  <si>
    <t>Payable Days</t>
  </si>
  <si>
    <t>Inventory Days</t>
  </si>
  <si>
    <t>Cash Conversion Cycle (in days)</t>
  </si>
  <si>
    <t>Trend</t>
  </si>
  <si>
    <t>Mean</t>
  </si>
  <si>
    <t>Median</t>
  </si>
  <si>
    <t>Comparable Companies Analysis</t>
  </si>
  <si>
    <t>All figures in Rs. Crore (Unless Specified)</t>
  </si>
  <si>
    <t>Company</t>
  </si>
  <si>
    <t>Share Price (Rs./Share)</t>
  </si>
  <si>
    <t>Equity Value (Market Cap)</t>
  </si>
  <si>
    <t>No of Share Outstanding</t>
  </si>
  <si>
    <t>Debt</t>
  </si>
  <si>
    <t>Cash Equi</t>
  </si>
  <si>
    <t>Net Debt</t>
  </si>
  <si>
    <t>Enterprise Value</t>
  </si>
  <si>
    <t>Market Data</t>
  </si>
  <si>
    <t>Financials</t>
  </si>
  <si>
    <t>EV/Revenue</t>
  </si>
  <si>
    <t>EV/EBITDA</t>
  </si>
  <si>
    <t>P/E</t>
  </si>
  <si>
    <t>Valuation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</si>
  <si>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</si>
  <si>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</si>
  <si>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</si>
  <si>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r>
      <t>Debt </t>
    </r>
    <r>
      <rPr>
        <sz val="11"/>
        <color rgb="FF737373"/>
        <rFont val="Arial"/>
        <family val="2"/>
      </rPr>
      <t>Rs.Cr.</t>
    </r>
  </si>
  <si>
    <r>
      <t>Cash End </t>
    </r>
    <r>
      <rPr>
        <sz val="11"/>
        <color rgb="FF737373"/>
        <rFont val="Arial"/>
        <family val="2"/>
      </rPr>
      <t>Rs.Cr.</t>
    </r>
  </si>
  <si>
    <r>
      <t>Sales Ann </t>
    </r>
    <r>
      <rPr>
        <sz val="11"/>
        <color rgb="FF737373"/>
        <rFont val="Arial"/>
        <family val="2"/>
      </rPr>
      <t>Rs.Cr.</t>
    </r>
  </si>
  <si>
    <r>
      <t>EBIDT Ann </t>
    </r>
    <r>
      <rPr>
        <sz val="11"/>
        <color rgb="FF737373"/>
        <rFont val="Arial"/>
        <family val="2"/>
      </rPr>
      <t>Rs.Cr.</t>
    </r>
  </si>
  <si>
    <r>
      <t>Mar Cap </t>
    </r>
    <r>
      <rPr>
        <sz val="11"/>
        <color rgb="FF737373"/>
        <rFont val="Arial"/>
        <family val="2"/>
      </rPr>
      <t>Rs.Cr.</t>
    </r>
  </si>
  <si>
    <r>
      <t>NP Ann </t>
    </r>
    <r>
      <rPr>
        <sz val="11"/>
        <color rgb="FF737373"/>
        <rFont val="Arial"/>
        <family val="2"/>
      </rPr>
      <t>Rs.Cr.</t>
    </r>
  </si>
  <si>
    <t>UltraTech Cem.</t>
  </si>
  <si>
    <t>Grasim Inds</t>
  </si>
  <si>
    <t>Ambuja Cements</t>
  </si>
  <si>
    <t>Shree Cement</t>
  </si>
  <si>
    <t>J K Cements</t>
  </si>
  <si>
    <t>Dalmia BharatLtd</t>
  </si>
  <si>
    <t>ACC</t>
  </si>
  <si>
    <t>High</t>
  </si>
  <si>
    <t>75th Percentile</t>
  </si>
  <si>
    <t>Average</t>
  </si>
  <si>
    <t>25th Percentile</t>
  </si>
  <si>
    <t>Low</t>
  </si>
  <si>
    <t xml:space="preserve">Enjoy Lemon Valuation </t>
  </si>
  <si>
    <t>Implied Enterprise Value</t>
  </si>
  <si>
    <t>Implied Market Value</t>
  </si>
  <si>
    <t>Shares Outstanding</t>
  </si>
  <si>
    <t>Implied Value Per Share</t>
  </si>
  <si>
    <t>(BS)</t>
  </si>
  <si>
    <t>Company Data</t>
  </si>
  <si>
    <t>Market Cap (Rs. Cr)</t>
  </si>
  <si>
    <t>Outstanding Shares (Cr)</t>
  </si>
  <si>
    <t>Current Market Price</t>
  </si>
  <si>
    <t>52 Week High - Low (Rs)</t>
  </si>
  <si>
    <t>Enterprise Value (Rs. Cr)</t>
  </si>
  <si>
    <t>Book Valua (Rs. Cr)</t>
  </si>
  <si>
    <t>Face Value (Rs)</t>
  </si>
  <si>
    <t>13,110 / 10,325</t>
  </si>
  <si>
    <t>Financial Snapshot (Rs. Cr)</t>
  </si>
  <si>
    <t>PAT</t>
  </si>
  <si>
    <t>EPS</t>
  </si>
  <si>
    <t>Product Segments</t>
  </si>
  <si>
    <t>Segment</t>
  </si>
  <si>
    <t>Share</t>
  </si>
  <si>
    <t>Grey Cement - Domestic</t>
  </si>
  <si>
    <t>Ready-Mix Concrete</t>
  </si>
  <si>
    <t>Overseas Business</t>
  </si>
  <si>
    <t>White Cement</t>
  </si>
  <si>
    <t>Other</t>
  </si>
  <si>
    <t>EBITDAM (%)</t>
  </si>
  <si>
    <t>NPM (%)</t>
  </si>
  <si>
    <t>Debt:Equity (x)</t>
  </si>
  <si>
    <t>RoE (%)</t>
  </si>
  <si>
    <t>RoCE (%)</t>
  </si>
  <si>
    <t>P/E (x)</t>
  </si>
  <si>
    <t>P/BV (x)</t>
  </si>
  <si>
    <t>EV/EBITDA (x)</t>
  </si>
  <si>
    <t>Promoters</t>
  </si>
  <si>
    <t>Flls</t>
  </si>
  <si>
    <t>Dlls</t>
  </si>
  <si>
    <t>Public</t>
  </si>
  <si>
    <t>Shareholders Pattern</t>
  </si>
  <si>
    <t>Share Price Movement (Nifty Vs UltaTech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</si>
</sst>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"/>
    <numFmt numFmtId="165" formatCode="#,##0;\(#,##0\)"/>
    <numFmt numFmtId="166" formatCode="_ * #,##0.0_ ;_ * \-#,##0.0_ ;_ * &quot;-&quot;??_ ;_ @_ "/>
    <numFmt numFmtId="167" formatCode="#,##0.00;\(#,##0.00\)"/>
    <numFmt numFmtId="168" formatCode="0.0&quot;x&quot;"/>
    <numFmt numFmtId="169" formatCode="0.00&quot;x&quot;"/>
    <numFmt numFmtId="170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9933"/>
      <name val="Calibri"/>
      <family val="2"/>
      <scheme val="minor"/>
    </font>
    <font>
      <sz val="11"/>
      <color rgb="FF006AB9"/>
      <name val="Calibri"/>
      <family val="2"/>
      <scheme val="minor"/>
    </font>
    <font>
      <sz val="11"/>
      <color rgb="FF227800"/>
      <name val="Calibri"/>
      <family val="2"/>
      <scheme val="minor"/>
    </font>
    <font>
      <b/>
      <sz val="11"/>
      <color rgb="FF227800"/>
      <name val="Calibri"/>
      <family val="2"/>
      <scheme val="minor"/>
    </font>
    <font>
      <sz val="11"/>
      <color rgb="FF004077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BA8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4F88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0"/>
      <color rgb="FF000000"/>
      <name val="Calibri"/>
    </font>
    <font>
      <b/>
      <sz val="11"/>
      <color theme="0"/>
      <name val="Calibri"/>
    </font>
    <font>
      <b/>
      <sz val="20"/>
      <color rgb="FF000066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007BB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0066"/>
        <bgColor rgb="FF000000"/>
      </patternFill>
    </fill>
    <fill>
      <patternFill patternType="solid">
        <fgColor rgb="FF339933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002465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336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9">
    <xf numFmtId="0" fontId="0" fillId="0" borderId="0" xfId="0"/>
    <xf numFmtId="43" fontId="0" fillId="0" borderId="0" xfId="1" applyFont="1" applyBorder="1"/>
    <xf numFmtId="43" fontId="1" fillId="0" borderId="0" xfId="1" applyFont="1" applyBorder="1"/>
    <xf numFmtId="0" fontId="4" fillId="0" borderId="0" xfId="0" applyFont="1" applyAlignment="1">
      <alignment vertical="center" wrapText="1"/>
    </xf>
    <xf numFmtId="0" fontId="5" fillId="0" borderId="0" xfId="0" applyFont="1"/>
    <xf numFmtId="0" fontId="3" fillId="0" borderId="0" xfId="3" applyFill="1" applyBorder="1" applyAlignment="1">
      <alignment horizontal="righ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4" fontId="5" fillId="0" borderId="0" xfId="0" applyNumberFormat="1" applyFont="1"/>
    <xf numFmtId="0" fontId="4" fillId="0" borderId="0" xfId="0" applyFont="1" applyAlignment="1">
      <alignment vertical="center"/>
    </xf>
    <xf numFmtId="17" fontId="7" fillId="0" borderId="0" xfId="0" applyNumberFormat="1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 wrapText="1"/>
    </xf>
    <xf numFmtId="3" fontId="5" fillId="0" borderId="0" xfId="0" applyNumberFormat="1" applyFont="1"/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right" vertical="center" wrapText="1"/>
    </xf>
    <xf numFmtId="10" fontId="0" fillId="0" borderId="0" xfId="2" applyNumberFormat="1" applyFont="1"/>
    <xf numFmtId="1" fontId="0" fillId="0" borderId="0" xfId="0" applyNumberFormat="1"/>
    <xf numFmtId="9" fontId="0" fillId="0" borderId="0" xfId="0" applyNumberFormat="1"/>
    <xf numFmtId="164" fontId="0" fillId="0" borderId="0" xfId="2" applyNumberFormat="1" applyFont="1"/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1" fillId="3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1" fillId="3" borderId="4" xfId="0" applyFont="1" applyFill="1" applyBorder="1" applyAlignment="1">
      <alignment horizontal="right"/>
    </xf>
    <xf numFmtId="0" fontId="0" fillId="5" borderId="0" xfId="0" applyFill="1"/>
    <xf numFmtId="0" fontId="0" fillId="5" borderId="4" xfId="0" applyFill="1" applyBorder="1"/>
    <xf numFmtId="0" fontId="2" fillId="5" borderId="2" xfId="0" applyFont="1" applyFill="1" applyBorder="1"/>
    <xf numFmtId="0" fontId="2" fillId="5" borderId="5" xfId="0" applyFont="1" applyFill="1" applyBorder="1"/>
    <xf numFmtId="0" fontId="2" fillId="5" borderId="3" xfId="0" applyFont="1" applyFill="1" applyBorder="1"/>
    <xf numFmtId="0" fontId="2" fillId="5" borderId="6" xfId="0" applyFont="1" applyFill="1" applyBorder="1"/>
    <xf numFmtId="0" fontId="0" fillId="6" borderId="0" xfId="0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3" fontId="0" fillId="5" borderId="0" xfId="0" applyNumberFormat="1" applyFill="1"/>
    <xf numFmtId="43" fontId="2" fillId="0" borderId="3" xfId="1" applyFont="1" applyBorder="1"/>
    <xf numFmtId="3" fontId="2" fillId="5" borderId="3" xfId="0" applyNumberFormat="1" applyFont="1" applyFill="1" applyBorder="1"/>
    <xf numFmtId="0" fontId="5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3" fontId="2" fillId="5" borderId="2" xfId="0" applyNumberFormat="1" applyFont="1" applyFill="1" applyBorder="1"/>
    <xf numFmtId="0" fontId="5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vertical="center"/>
    </xf>
    <xf numFmtId="165" fontId="0" fillId="5" borderId="0" xfId="0" applyNumberFormat="1" applyFill="1"/>
    <xf numFmtId="165" fontId="0" fillId="6" borderId="0" xfId="0" applyNumberFormat="1" applyFill="1"/>
    <xf numFmtId="165" fontId="2" fillId="6" borderId="0" xfId="0" applyNumberFormat="1" applyFont="1" applyFill="1"/>
    <xf numFmtId="165" fontId="2" fillId="5" borderId="3" xfId="0" applyNumberFormat="1" applyFont="1" applyFill="1" applyBorder="1"/>
    <xf numFmtId="165" fontId="2" fillId="5" borderId="0" xfId="0" applyNumberFormat="1" applyFont="1" applyFill="1"/>
    <xf numFmtId="165" fontId="2" fillId="5" borderId="2" xfId="0" applyNumberFormat="1" applyFont="1" applyFill="1" applyBorder="1"/>
    <xf numFmtId="0" fontId="0" fillId="7" borderId="0" xfId="0" applyFill="1"/>
    <xf numFmtId="164" fontId="0" fillId="7" borderId="0" xfId="2" applyNumberFormat="1" applyFont="1" applyFill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2" fillId="5" borderId="0" xfId="0" applyFont="1" applyFill="1" applyAlignment="1">
      <alignment horizontal="right"/>
    </xf>
    <xf numFmtId="0" fontId="2" fillId="5" borderId="1" xfId="0" applyFont="1" applyFill="1" applyBorder="1"/>
    <xf numFmtId="0" fontId="2" fillId="6" borderId="1" xfId="0" applyFont="1" applyFill="1" applyBorder="1"/>
    <xf numFmtId="0" fontId="14" fillId="5" borderId="0" xfId="0" applyFont="1" applyFill="1"/>
    <xf numFmtId="43" fontId="10" fillId="0" borderId="0" xfId="1" applyFont="1" applyBorder="1"/>
    <xf numFmtId="0" fontId="10" fillId="5" borderId="0" xfId="0" applyFont="1" applyFill="1"/>
    <xf numFmtId="164" fontId="10" fillId="5" borderId="0" xfId="2" applyNumberFormat="1" applyFont="1" applyFill="1" applyBorder="1"/>
    <xf numFmtId="164" fontId="0" fillId="6" borderId="0" xfId="2" applyNumberFormat="1" applyFont="1" applyFill="1" applyBorder="1"/>
    <xf numFmtId="164" fontId="0" fillId="6" borderId="0" xfId="0" applyNumberFormat="1" applyFill="1"/>
    <xf numFmtId="43" fontId="10" fillId="0" borderId="0" xfId="1" applyFont="1" applyFill="1" applyBorder="1"/>
    <xf numFmtId="164" fontId="10" fillId="5" borderId="0" xfId="2" applyNumberFormat="1" applyFont="1" applyFill="1"/>
    <xf numFmtId="164" fontId="1" fillId="5" borderId="0" xfId="2" applyNumberFormat="1" applyFont="1" applyFill="1"/>
    <xf numFmtId="10" fontId="1" fillId="5" borderId="0" xfId="2" applyNumberFormat="1" applyFont="1" applyFill="1"/>
    <xf numFmtId="9" fontId="15" fillId="6" borderId="0" xfId="0" applyNumberFormat="1" applyFont="1" applyFill="1"/>
    <xf numFmtId="9" fontId="0" fillId="6" borderId="0" xfId="0" applyNumberFormat="1" applyFill="1"/>
    <xf numFmtId="10" fontId="0" fillId="0" borderId="0" xfId="0" applyNumberFormat="1"/>
    <xf numFmtId="164" fontId="10" fillId="6" borderId="0" xfId="2" applyNumberFormat="1" applyFont="1" applyFill="1"/>
    <xf numFmtId="0" fontId="9" fillId="0" borderId="0" xfId="0" applyFont="1" applyAlignment="1">
      <alignment horizontal="center"/>
    </xf>
    <xf numFmtId="2" fontId="2" fillId="6" borderId="0" xfId="0" applyNumberFormat="1" applyFont="1" applyFill="1"/>
    <xf numFmtId="2" fontId="0" fillId="6" borderId="0" xfId="0" applyNumberFormat="1" applyFill="1"/>
    <xf numFmtId="2" fontId="2" fillId="6" borderId="2" xfId="0" applyNumberFormat="1" applyFont="1" applyFill="1" applyBorder="1"/>
    <xf numFmtId="0" fontId="2" fillId="5" borderId="4" xfId="0" applyFont="1" applyFill="1" applyBorder="1"/>
    <xf numFmtId="2" fontId="2" fillId="6" borderId="7" xfId="0" applyNumberFormat="1" applyFont="1" applyFill="1" applyBorder="1"/>
    <xf numFmtId="43" fontId="2" fillId="6" borderId="7" xfId="0" applyNumberFormat="1" applyFont="1" applyFill="1" applyBorder="1"/>
    <xf numFmtId="166" fontId="2" fillId="0" borderId="7" xfId="1" applyNumberFormat="1" applyFont="1" applyBorder="1"/>
    <xf numFmtId="166" fontId="17" fillId="5" borderId="7" xfId="0" applyNumberFormat="1" applyFont="1" applyFill="1" applyBorder="1"/>
    <xf numFmtId="0" fontId="0" fillId="5" borderId="0" xfId="0" applyFill="1" applyAlignment="1">
      <alignment horizontal="center"/>
    </xf>
    <xf numFmtId="166" fontId="0" fillId="5" borderId="0" xfId="0" applyNumberFormat="1" applyFill="1"/>
    <xf numFmtId="0" fontId="2" fillId="0" borderId="7" xfId="0" applyFont="1" applyBorder="1"/>
    <xf numFmtId="43" fontId="0" fillId="5" borderId="0" xfId="0" applyNumberFormat="1" applyFill="1"/>
    <xf numFmtId="0" fontId="17" fillId="5" borderId="7" xfId="0" applyFont="1" applyFill="1" applyBorder="1"/>
    <xf numFmtId="0" fontId="18" fillId="5" borderId="0" xfId="0" applyFont="1" applyFill="1"/>
    <xf numFmtId="10" fontId="2" fillId="6" borderId="0" xfId="0" applyNumberFormat="1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8" borderId="0" xfId="0" applyFont="1" applyFill="1"/>
    <xf numFmtId="0" fontId="22" fillId="8" borderId="0" xfId="0" applyFont="1" applyFill="1" applyAlignment="1">
      <alignment horizontal="right"/>
    </xf>
    <xf numFmtId="0" fontId="22" fillId="8" borderId="4" xfId="0" applyFont="1" applyFill="1" applyBorder="1" applyAlignment="1">
      <alignment horizontal="right"/>
    </xf>
    <xf numFmtId="0" fontId="22" fillId="9" borderId="0" xfId="0" applyFont="1" applyFill="1" applyAlignment="1">
      <alignment horizontal="right"/>
    </xf>
    <xf numFmtId="0" fontId="20" fillId="10" borderId="0" xfId="0" applyFont="1" applyFill="1" applyAlignment="1">
      <alignment horizontal="center"/>
    </xf>
    <xf numFmtId="4" fontId="0" fillId="0" borderId="0" xfId="0" applyNumberFormat="1"/>
    <xf numFmtId="166" fontId="20" fillId="10" borderId="0" xfId="0" applyNumberFormat="1" applyFont="1" applyFill="1"/>
    <xf numFmtId="43" fontId="20" fillId="10" borderId="0" xfId="0" applyNumberFormat="1" applyFont="1" applyFill="1"/>
    <xf numFmtId="0" fontId="20" fillId="10" borderId="0" xfId="0" applyFont="1" applyFill="1"/>
    <xf numFmtId="166" fontId="23" fillId="0" borderId="7" xfId="0" applyNumberFormat="1" applyFont="1" applyBorder="1"/>
    <xf numFmtId="166" fontId="17" fillId="10" borderId="7" xfId="0" applyNumberFormat="1" applyFont="1" applyFill="1" applyBorder="1"/>
    <xf numFmtId="43" fontId="23" fillId="11" borderId="7" xfId="0" applyNumberFormat="1" applyFont="1" applyFill="1" applyBorder="1"/>
    <xf numFmtId="166" fontId="20" fillId="12" borderId="0" xfId="0" applyNumberFormat="1" applyFont="1" applyFill="1"/>
    <xf numFmtId="2" fontId="20" fillId="12" borderId="0" xfId="0" applyNumberFormat="1" applyFont="1" applyFill="1"/>
    <xf numFmtId="166" fontId="0" fillId="6" borderId="0" xfId="0" applyNumberFormat="1" applyFill="1"/>
    <xf numFmtId="166" fontId="0" fillId="5" borderId="4" xfId="0" applyNumberFormat="1" applyFill="1" applyBorder="1"/>
    <xf numFmtId="43" fontId="0" fillId="5" borderId="4" xfId="0" applyNumberFormat="1" applyFill="1" applyBorder="1"/>
    <xf numFmtId="166" fontId="17" fillId="5" borderId="8" xfId="0" applyNumberFormat="1" applyFont="1" applyFill="1" applyBorder="1"/>
    <xf numFmtId="0" fontId="18" fillId="5" borderId="4" xfId="0" applyFont="1" applyFill="1" applyBorder="1"/>
    <xf numFmtId="0" fontId="17" fillId="5" borderId="8" xfId="0" applyFont="1" applyFill="1" applyBorder="1"/>
    <xf numFmtId="166" fontId="20" fillId="10" borderId="4" xfId="0" applyNumberFormat="1" applyFont="1" applyFill="1" applyBorder="1"/>
    <xf numFmtId="43" fontId="20" fillId="10" borderId="4" xfId="0" applyNumberFormat="1" applyFont="1" applyFill="1" applyBorder="1"/>
    <xf numFmtId="2" fontId="20" fillId="10" borderId="4" xfId="0" applyNumberFormat="1" applyFont="1" applyFill="1" applyBorder="1"/>
    <xf numFmtId="166" fontId="17" fillId="10" borderId="8" xfId="0" applyNumberFormat="1" applyFont="1" applyFill="1" applyBorder="1"/>
    <xf numFmtId="0" fontId="10" fillId="5" borderId="0" xfId="0" applyFont="1" applyFill="1" applyAlignment="1">
      <alignment horizontal="center"/>
    </xf>
    <xf numFmtId="164" fontId="10" fillId="5" borderId="4" xfId="2" applyNumberFormat="1" applyFont="1" applyFill="1" applyBorder="1"/>
    <xf numFmtId="164" fontId="10" fillId="6" borderId="0" xfId="2" applyNumberFormat="1" applyFont="1" applyFill="1" applyBorder="1"/>
    <xf numFmtId="10" fontId="10" fillId="6" borderId="0" xfId="0" applyNumberFormat="1" applyFont="1" applyFill="1"/>
    <xf numFmtId="0" fontId="10" fillId="5" borderId="4" xfId="0" applyFont="1" applyFill="1" applyBorder="1"/>
    <xf numFmtId="10" fontId="10" fillId="6" borderId="0" xfId="2" applyNumberFormat="1" applyFont="1" applyFill="1" applyBorder="1"/>
    <xf numFmtId="164" fontId="0" fillId="5" borderId="0" xfId="2" applyNumberFormat="1" applyFont="1" applyFill="1"/>
    <xf numFmtId="4" fontId="0" fillId="6" borderId="0" xfId="0" applyNumberFormat="1" applyFill="1"/>
    <xf numFmtId="4" fontId="16" fillId="5" borderId="0" xfId="0" applyNumberFormat="1" applyFont="1" applyFill="1"/>
    <xf numFmtId="0" fontId="16" fillId="5" borderId="0" xfId="0" applyFont="1" applyFill="1"/>
    <xf numFmtId="2" fontId="2" fillId="6" borderId="3" xfId="0" applyNumberFormat="1" applyFont="1" applyFill="1" applyBorder="1"/>
    <xf numFmtId="0" fontId="24" fillId="0" borderId="1" xfId="0" applyFont="1" applyBorder="1"/>
    <xf numFmtId="0" fontId="0" fillId="5" borderId="1" xfId="0" applyFill="1" applyBorder="1"/>
    <xf numFmtId="0" fontId="0" fillId="6" borderId="1" xfId="0" applyFill="1" applyBorder="1"/>
    <xf numFmtId="2" fontId="25" fillId="5" borderId="0" xfId="0" applyNumberFormat="1" applyFont="1" applyFill="1"/>
    <xf numFmtId="2" fontId="25" fillId="6" borderId="0" xfId="0" applyNumberFormat="1" applyFont="1" applyFill="1"/>
    <xf numFmtId="3" fontId="25" fillId="5" borderId="0" xfId="0" applyNumberFormat="1" applyFont="1" applyFill="1" applyAlignment="1">
      <alignment horizontal="right"/>
    </xf>
    <xf numFmtId="3" fontId="2" fillId="5" borderId="3" xfId="0" applyNumberFormat="1" applyFont="1" applyFill="1" applyBorder="1" applyAlignment="1">
      <alignment horizontal="right"/>
    </xf>
    <xf numFmtId="4" fontId="0" fillId="6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43" fontId="0" fillId="6" borderId="0" xfId="0" applyNumberFormat="1" applyFill="1"/>
    <xf numFmtId="2" fontId="1" fillId="6" borderId="0" xfId="2" applyNumberFormat="1" applyFont="1" applyFill="1" applyBorder="1"/>
    <xf numFmtId="4" fontId="2" fillId="6" borderId="3" xfId="0" applyNumberFormat="1" applyFont="1" applyFill="1" applyBorder="1"/>
    <xf numFmtId="4" fontId="2" fillId="6" borderId="2" xfId="0" applyNumberFormat="1" applyFont="1" applyFill="1" applyBorder="1"/>
    <xf numFmtId="0" fontId="5" fillId="0" borderId="0" xfId="0" applyFont="1" applyAlignment="1">
      <alignment vertical="center"/>
    </xf>
    <xf numFmtId="43" fontId="0" fillId="0" borderId="0" xfId="0" applyNumberFormat="1"/>
    <xf numFmtId="167" fontId="0" fillId="6" borderId="0" xfId="0" applyNumberFormat="1" applyFill="1"/>
    <xf numFmtId="167" fontId="2" fillId="6" borderId="3" xfId="0" applyNumberFormat="1" applyFont="1" applyFill="1" applyBorder="1"/>
    <xf numFmtId="167" fontId="2" fillId="6" borderId="2" xfId="0" applyNumberFormat="1" applyFont="1" applyFill="1" applyBorder="1"/>
    <xf numFmtId="167" fontId="2" fillId="6" borderId="0" xfId="0" applyNumberFormat="1" applyFont="1" applyFill="1"/>
    <xf numFmtId="0" fontId="0" fillId="0" borderId="0" xfId="0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5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3" fillId="2" borderId="9" xfId="0" applyFont="1" applyFill="1" applyBorder="1" applyAlignment="1">
      <alignment horizontal="left" vertical="center"/>
    </xf>
    <xf numFmtId="10" fontId="2" fillId="0" borderId="3" xfId="0" applyNumberFormat="1" applyFont="1" applyBorder="1"/>
    <xf numFmtId="10" fontId="26" fillId="0" borderId="0" xfId="0" applyNumberFormat="1" applyFont="1"/>
    <xf numFmtId="164" fontId="0" fillId="0" borderId="0" xfId="0" applyNumberFormat="1"/>
    <xf numFmtId="164" fontId="2" fillId="0" borderId="3" xfId="0" applyNumberFormat="1" applyFont="1" applyBorder="1"/>
    <xf numFmtId="10" fontId="2" fillId="0" borderId="9" xfId="0" applyNumberFormat="1" applyFont="1" applyBorder="1"/>
    <xf numFmtId="165" fontId="0" fillId="5" borderId="4" xfId="0" applyNumberFormat="1" applyFill="1" applyBorder="1"/>
    <xf numFmtId="0" fontId="20" fillId="0" borderId="0" xfId="0" applyFont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/>
    </xf>
    <xf numFmtId="165" fontId="2" fillId="5" borderId="6" xfId="0" applyNumberFormat="1" applyFont="1" applyFill="1" applyBorder="1"/>
    <xf numFmtId="165" fontId="2" fillId="6" borderId="3" xfId="0" applyNumberFormat="1" applyFont="1" applyFill="1" applyBorder="1"/>
    <xf numFmtId="1" fontId="0" fillId="5" borderId="0" xfId="0" applyNumberFormat="1" applyFill="1"/>
    <xf numFmtId="165" fontId="28" fillId="5" borderId="4" xfId="0" applyNumberFormat="1" applyFont="1" applyFill="1" applyBorder="1"/>
    <xf numFmtId="10" fontId="28" fillId="0" borderId="0" xfId="0" applyNumberFormat="1" applyFont="1"/>
    <xf numFmtId="165" fontId="0" fillId="0" borderId="0" xfId="0" applyNumberFormat="1"/>
    <xf numFmtId="3" fontId="0" fillId="0" borderId="0" xfId="0" applyNumberFormat="1"/>
    <xf numFmtId="1" fontId="0" fillId="0" borderId="3" xfId="0" applyNumberFormat="1" applyBorder="1"/>
    <xf numFmtId="0" fontId="29" fillId="14" borderId="0" xfId="0" applyFont="1" applyFill="1" applyAlignment="1">
      <alignment horizontal="left" vertical="center"/>
    </xf>
    <xf numFmtId="0" fontId="0" fillId="14" borderId="0" xfId="0" applyFill="1"/>
    <xf numFmtId="10" fontId="0" fillId="5" borderId="0" xfId="0" applyNumberFormat="1" applyFill="1"/>
    <xf numFmtId="2" fontId="0" fillId="5" borderId="0" xfId="0" applyNumberFormat="1" applyFill="1"/>
    <xf numFmtId="2" fontId="27" fillId="3" borderId="0" xfId="0" applyNumberFormat="1" applyFont="1" applyFill="1"/>
    <xf numFmtId="2" fontId="30" fillId="0" borderId="0" xfId="0" applyNumberFormat="1" applyFont="1"/>
    <xf numFmtId="0" fontId="2" fillId="0" borderId="0" xfId="0" applyFont="1" applyAlignment="1">
      <alignment horizontal="right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10" xfId="0" applyFont="1" applyBorder="1" applyAlignment="1">
      <alignment horizontal="left"/>
    </xf>
    <xf numFmtId="0" fontId="35" fillId="0" borderId="0" xfId="0" applyFont="1" applyAlignment="1">
      <alignment horizontal="left"/>
    </xf>
    <xf numFmtId="17" fontId="36" fillId="15" borderId="0" xfId="0" applyNumberFormat="1" applyFont="1" applyFill="1" applyAlignment="1">
      <alignment horizontal="center"/>
    </xf>
    <xf numFmtId="0" fontId="35" fillId="0" borderId="3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0" fillId="5" borderId="3" xfId="0" applyFill="1" applyBorder="1"/>
    <xf numFmtId="0" fontId="0" fillId="6" borderId="3" xfId="0" applyFill="1" applyBorder="1"/>
    <xf numFmtId="10" fontId="0" fillId="5" borderId="0" xfId="2" applyNumberFormat="1" applyFont="1" applyFill="1"/>
    <xf numFmtId="168" fontId="0" fillId="5" borderId="0" xfId="0" applyNumberFormat="1" applyFill="1"/>
    <xf numFmtId="168" fontId="0" fillId="5" borderId="3" xfId="0" applyNumberFormat="1" applyFill="1" applyBorder="1"/>
    <xf numFmtId="168" fontId="0" fillId="6" borderId="3" xfId="0" applyNumberFormat="1" applyFill="1" applyBorder="1"/>
    <xf numFmtId="169" fontId="0" fillId="5" borderId="0" xfId="0" applyNumberFormat="1" applyFill="1"/>
    <xf numFmtId="10" fontId="0" fillId="6" borderId="12" xfId="2" applyNumberFormat="1" applyFont="1" applyFill="1" applyBorder="1"/>
    <xf numFmtId="10" fontId="0" fillId="6" borderId="0" xfId="2" applyNumberFormat="1" applyFont="1" applyFill="1" applyBorder="1"/>
    <xf numFmtId="0" fontId="0" fillId="6" borderId="13" xfId="0" applyFill="1" applyBorder="1"/>
    <xf numFmtId="168" fontId="0" fillId="6" borderId="12" xfId="0" applyNumberFormat="1" applyFill="1" applyBorder="1"/>
    <xf numFmtId="168" fontId="0" fillId="6" borderId="0" xfId="0" applyNumberFormat="1" applyFill="1"/>
    <xf numFmtId="168" fontId="0" fillId="6" borderId="13" xfId="0" applyNumberFormat="1" applyFill="1" applyBorder="1"/>
    <xf numFmtId="169" fontId="0" fillId="6" borderId="12" xfId="0" applyNumberFormat="1" applyFill="1" applyBorder="1"/>
    <xf numFmtId="169" fontId="0" fillId="6" borderId="0" xfId="0" applyNumberFormat="1" applyFill="1"/>
    <xf numFmtId="1" fontId="0" fillId="6" borderId="12" xfId="0" applyNumberFormat="1" applyFill="1" applyBorder="1"/>
    <xf numFmtId="1" fontId="0" fillId="6" borderId="0" xfId="0" applyNumberFormat="1" applyFill="1"/>
    <xf numFmtId="1" fontId="0" fillId="5" borderId="1" xfId="0" applyNumberFormat="1" applyFill="1" applyBorder="1"/>
    <xf numFmtId="1" fontId="0" fillId="6" borderId="11" xfId="0" applyNumberFormat="1" applyFill="1" applyBorder="1"/>
    <xf numFmtId="1" fontId="0" fillId="6" borderId="1" xfId="0" applyNumberFormat="1" applyFill="1" applyBorder="1"/>
    <xf numFmtId="10" fontId="0" fillId="0" borderId="0" xfId="2" applyNumberFormat="1" applyFont="1" applyAlignment="1">
      <alignment horizontal="center"/>
    </xf>
    <xf numFmtId="168" fontId="0" fillId="16" borderId="0" xfId="0" applyNumberFormat="1" applyFill="1" applyAlignment="1">
      <alignment horizontal="center"/>
    </xf>
    <xf numFmtId="1" fontId="0" fillId="0" borderId="0" xfId="2" applyNumberFormat="1" applyFont="1" applyAlignment="1">
      <alignment horizontal="center"/>
    </xf>
    <xf numFmtId="0" fontId="37" fillId="0" borderId="0" xfId="0" applyFont="1"/>
    <xf numFmtId="0" fontId="11" fillId="17" borderId="0" xfId="0" applyFont="1" applyFill="1"/>
    <xf numFmtId="0" fontId="11" fillId="17" borderId="0" xfId="0" applyFont="1" applyFill="1" applyAlignment="1">
      <alignment wrapText="1"/>
    </xf>
    <xf numFmtId="0" fontId="11" fillId="17" borderId="0" xfId="0" applyFont="1" applyFill="1" applyAlignment="1">
      <alignment horizontal="center" vertical="center" wrapText="1"/>
    </xf>
    <xf numFmtId="0" fontId="38" fillId="2" borderId="15" xfId="0" applyFont="1" applyFill="1" applyBorder="1" applyAlignment="1">
      <alignment horizontal="left" vertical="center" indent="2"/>
    </xf>
    <xf numFmtId="0" fontId="38" fillId="2" borderId="15" xfId="0" applyFont="1" applyFill="1" applyBorder="1" applyAlignment="1">
      <alignment horizontal="left" vertical="center"/>
    </xf>
    <xf numFmtId="0" fontId="38" fillId="2" borderId="15" xfId="0" applyFont="1" applyFill="1" applyBorder="1" applyAlignment="1">
      <alignment horizontal="right" vertical="center" wrapText="1"/>
    </xf>
    <xf numFmtId="0" fontId="40" fillId="18" borderId="0" xfId="0" applyFont="1" applyFill="1" applyAlignment="1">
      <alignment horizontal="left" vertical="center" indent="2"/>
    </xf>
    <xf numFmtId="0" fontId="3" fillId="18" borderId="0" xfId="3" applyFill="1" applyAlignment="1">
      <alignment horizontal="left" vertical="center"/>
    </xf>
    <xf numFmtId="0" fontId="40" fillId="18" borderId="0" xfId="0" applyFont="1" applyFill="1" applyAlignment="1">
      <alignment horizontal="right" vertical="center" wrapText="1"/>
    </xf>
    <xf numFmtId="0" fontId="41" fillId="2" borderId="0" xfId="0" applyFont="1" applyFill="1" applyAlignment="1">
      <alignment horizontal="left" vertical="center" indent="2"/>
    </xf>
    <xf numFmtId="0" fontId="3" fillId="2" borderId="0" xfId="3" applyFill="1" applyAlignment="1">
      <alignment horizontal="left" vertical="center"/>
    </xf>
    <xf numFmtId="0" fontId="41" fillId="2" borderId="0" xfId="0" applyFont="1" applyFill="1" applyAlignment="1">
      <alignment horizontal="right" vertical="center" wrapText="1"/>
    </xf>
    <xf numFmtId="0" fontId="41" fillId="18" borderId="0" xfId="0" applyFont="1" applyFill="1" applyAlignment="1">
      <alignment horizontal="left" vertical="center" indent="2"/>
    </xf>
    <xf numFmtId="0" fontId="41" fillId="18" borderId="0" xfId="0" applyFont="1" applyFill="1" applyAlignment="1">
      <alignment horizontal="right" vertical="center" wrapText="1"/>
    </xf>
    <xf numFmtId="0" fontId="41" fillId="18" borderId="16" xfId="0" applyFont="1" applyFill="1" applyBorder="1" applyAlignment="1">
      <alignment horizontal="left" vertical="center" indent="2"/>
    </xf>
    <xf numFmtId="0" fontId="3" fillId="18" borderId="16" xfId="3" applyFill="1" applyBorder="1" applyAlignment="1">
      <alignment horizontal="left" vertical="center"/>
    </xf>
    <xf numFmtId="0" fontId="41" fillId="18" borderId="16" xfId="0" applyFont="1" applyFill="1" applyBorder="1" applyAlignment="1">
      <alignment horizontal="right" vertical="center" wrapText="1"/>
    </xf>
    <xf numFmtId="170" fontId="0" fillId="0" borderId="0" xfId="0" applyNumberFormat="1"/>
    <xf numFmtId="3" fontId="42" fillId="0" borderId="0" xfId="0" applyNumberFormat="1" applyFont="1"/>
    <xf numFmtId="0" fontId="0" fillId="19" borderId="0" xfId="0" applyFill="1"/>
    <xf numFmtId="168" fontId="0" fillId="0" borderId="0" xfId="0" applyNumberFormat="1"/>
    <xf numFmtId="168" fontId="0" fillId="19" borderId="0" xfId="0" applyNumberFormat="1" applyFill="1"/>
    <xf numFmtId="0" fontId="2" fillId="19" borderId="0" xfId="0" applyFont="1" applyFill="1"/>
    <xf numFmtId="168" fontId="2" fillId="19" borderId="0" xfId="0" applyNumberFormat="1" applyFont="1" applyFill="1"/>
    <xf numFmtId="3" fontId="42" fillId="19" borderId="0" xfId="0" applyNumberFormat="1" applyFont="1" applyFill="1"/>
    <xf numFmtId="170" fontId="0" fillId="19" borderId="0" xfId="0" applyNumberFormat="1" applyFill="1"/>
    <xf numFmtId="3" fontId="0" fillId="19" borderId="0" xfId="0" applyNumberFormat="1" applyFill="1"/>
    <xf numFmtId="0" fontId="11" fillId="17" borderId="0" xfId="0" applyFont="1" applyFill="1" applyAlignment="1">
      <alignment horizontal="center" wrapText="1"/>
    </xf>
    <xf numFmtId="0" fontId="0" fillId="20" borderId="0" xfId="0" applyFill="1"/>
    <xf numFmtId="0" fontId="2" fillId="19" borderId="3" xfId="0" applyFont="1" applyFill="1" applyBorder="1"/>
    <xf numFmtId="1" fontId="2" fillId="19" borderId="3" xfId="0" applyNumberFormat="1" applyFont="1" applyFill="1" applyBorder="1"/>
    <xf numFmtId="0" fontId="3" fillId="0" borderId="0" xfId="3"/>
    <xf numFmtId="0" fontId="31" fillId="0" borderId="0" xfId="0" applyFont="1"/>
    <xf numFmtId="0" fontId="0" fillId="0" borderId="0" xfId="0" applyAlignment="1">
      <alignment horizontal="right"/>
    </xf>
    <xf numFmtId="0" fontId="11" fillId="20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7" fillId="0" borderId="0" xfId="0" applyFont="1"/>
    <xf numFmtId="10" fontId="27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1" fillId="0" borderId="0" xfId="0" applyFont="1" applyAlignment="1">
      <alignment horizontal="left" vertical="center" wrapText="1"/>
    </xf>
    <xf numFmtId="0" fontId="11" fillId="17" borderId="14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 textRotation="90"/>
    </xf>
    <xf numFmtId="3" fontId="2" fillId="13" borderId="2" xfId="0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366"/>
      <color rgb="FF000066"/>
      <color rgb="FF008000"/>
      <color rgb="FFFFFFFF"/>
      <color rgb="FF009900"/>
      <color rgb="FF339933"/>
      <color rgb="FF33CC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F4-4790-A6FB-7D034962943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F4-4790-A6FB-7D034962943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F4-4790-A6FB-7D0349629435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F4-4790-A6FB-7D0349629435}"/>
              </c:ext>
            </c:extLst>
          </c:dPt>
          <c:cat>
            <c:strRef>
              <c:f>Overview!$P$30:$P$33</c:f>
              <c:strCache>
                <c:ptCount val="4"/>
                <c:pt idx="0">
                  <c:v>Promoters</c:v>
                </c:pt>
                <c:pt idx="1">
                  <c:v>Flls</c:v>
                </c:pt>
                <c:pt idx="2">
                  <c:v>Dlls</c:v>
                </c:pt>
                <c:pt idx="3">
                  <c:v>Public</c:v>
                </c:pt>
              </c:strCache>
            </c:strRef>
          </c:cat>
          <c:val>
            <c:numRef>
              <c:f>Overview!$Q$30:$Q$33</c:f>
              <c:numCache>
                <c:formatCode>0.00%</c:formatCode>
                <c:ptCount val="4"/>
                <c:pt idx="0">
                  <c:v>0.59989999999999999</c:v>
                </c:pt>
                <c:pt idx="1">
                  <c:v>0.17949999999999999</c:v>
                </c:pt>
                <c:pt idx="2">
                  <c:v>0.14080000000000001</c:v>
                </c:pt>
                <c:pt idx="3">
                  <c:v>7.9799999999999996E-2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4-4790-A6FB-7D034962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1217727"/>
        <c:axId val="1451218207"/>
      </c:barChart>
      <c:catAx>
        <c:axId val="145121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18207"/>
        <c:crosses val="autoZero"/>
        <c:auto val="1"/>
        <c:lblAlgn val="ctr"/>
        <c:lblOffset val="100"/>
        <c:noMultiLvlLbl val="0"/>
      </c:catAx>
      <c:valAx>
        <c:axId val="145121820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45121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1</xdr:row>
      <xdr:rowOff>1</xdr:rowOff>
    </xdr:from>
    <xdr:to>
      <xdr:col>5</xdr:col>
      <xdr:colOff>1409700</xdr:colOff>
      <xdr:row>8</xdr:row>
      <xdr:rowOff>141062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34FD8-8467-9790-33CD-B65809D9A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5380" y="182881"/>
          <a:ext cx="1493520" cy="1451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0</xdr:colOff>
      <xdr:row>27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738C4A-BD23-0345-57F6-EBD9D4FA3B24}"/>
            </a:ext>
          </a:extLst>
        </xdr:cNvPr>
        <xdr:cNvSpPr/>
      </xdr:nvSpPr>
      <xdr:spPr>
        <a:xfrm>
          <a:off x="0" y="0"/>
          <a:ext cx="14020800" cy="494538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62126</xdr:colOff>
      <xdr:row>0</xdr:row>
      <xdr:rowOff>83820</xdr:rowOff>
    </xdr:from>
    <xdr:to>
      <xdr:col>13</xdr:col>
      <xdr:colOff>565046</xdr:colOff>
      <xdr:row>2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FF392E-1073-AE0A-483B-899CC2025B35}"/>
            </a:ext>
          </a:extLst>
        </xdr:cNvPr>
        <xdr:cNvSpPr/>
      </xdr:nvSpPr>
      <xdr:spPr>
        <a:xfrm>
          <a:off x="62126" y="83820"/>
          <a:ext cx="8456643" cy="4585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62126</xdr:colOff>
      <xdr:row>3</xdr:row>
      <xdr:rowOff>91440</xdr:rowOff>
    </xdr:from>
    <xdr:to>
      <xdr:col>2</xdr:col>
      <xdr:colOff>222481</xdr:colOff>
      <xdr:row>6</xdr:row>
      <xdr:rowOff>55620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9B163DA-F40B-7FE5-8EDD-B9E25E5A5143}"/>
            </a:ext>
          </a:extLst>
        </xdr:cNvPr>
        <xdr:cNvGrpSpPr/>
      </xdr:nvGrpSpPr>
      <xdr:grpSpPr>
        <a:xfrm>
          <a:off x="62126" y="642674"/>
          <a:ext cx="1381717" cy="515414"/>
          <a:chOff x="62126" y="642926"/>
          <a:chExt cx="1121326" cy="588636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83E75E9-6B34-44EB-AA1C-017329AC0899}"/>
              </a:ext>
            </a:extLst>
          </xdr:cNvPr>
          <xdr:cNvSpPr/>
        </xdr:nvSpPr>
        <xdr:spPr>
          <a:xfrm>
            <a:off x="62126" y="642926"/>
            <a:ext cx="1121326" cy="20619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Sales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1AB0F75-AEEE-4E7C-9899-DF1FB4C663AC}"/>
              </a:ext>
            </a:extLst>
          </xdr:cNvPr>
          <xdr:cNvSpPr/>
        </xdr:nvSpPr>
        <xdr:spPr>
          <a:xfrm>
            <a:off x="62126" y="848664"/>
            <a:ext cx="1121326" cy="38289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/>
              <a:t>Sales</a:t>
            </a:r>
          </a:p>
        </xdr:txBody>
      </xdr:sp>
    </xdr:grpSp>
    <xdr:clientData/>
  </xdr:twoCellAnchor>
  <xdr:twoCellAnchor>
    <xdr:from>
      <xdr:col>2</xdr:col>
      <xdr:colOff>609473</xdr:colOff>
      <xdr:row>3</xdr:row>
      <xdr:rowOff>105679</xdr:rowOff>
    </xdr:from>
    <xdr:to>
      <xdr:col>5</xdr:col>
      <xdr:colOff>158004</xdr:colOff>
      <xdr:row>6</xdr:row>
      <xdr:rowOff>69859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7DCD3A0-03FC-4EFF-85C9-2C77313F5670}"/>
            </a:ext>
          </a:extLst>
        </xdr:cNvPr>
        <xdr:cNvGrpSpPr/>
      </xdr:nvGrpSpPr>
      <xdr:grpSpPr>
        <a:xfrm>
          <a:off x="1830835" y="656913"/>
          <a:ext cx="1380573" cy="515414"/>
          <a:chOff x="62126" y="642926"/>
          <a:chExt cx="1121326" cy="588636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9622EF1-FA3D-D376-D70B-8801236AFE68}"/>
              </a:ext>
            </a:extLst>
          </xdr:cNvPr>
          <xdr:cNvSpPr/>
        </xdr:nvSpPr>
        <xdr:spPr>
          <a:xfrm>
            <a:off x="62126" y="642926"/>
            <a:ext cx="1121326" cy="20619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Profit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55530770-1C43-D720-2ADF-D98772B453A0}"/>
              </a:ext>
            </a:extLst>
          </xdr:cNvPr>
          <xdr:cNvSpPr/>
        </xdr:nvSpPr>
        <xdr:spPr>
          <a:xfrm>
            <a:off x="62126" y="848664"/>
            <a:ext cx="1121326" cy="38289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/>
              <a:t>Sales</a:t>
            </a:r>
          </a:p>
        </xdr:txBody>
      </xdr:sp>
    </xdr:grpSp>
    <xdr:clientData/>
  </xdr:twoCellAnchor>
  <xdr:twoCellAnchor>
    <xdr:from>
      <xdr:col>5</xdr:col>
      <xdr:colOff>544996</xdr:colOff>
      <xdr:row>3</xdr:row>
      <xdr:rowOff>122366</xdr:rowOff>
    </xdr:from>
    <xdr:to>
      <xdr:col>8</xdr:col>
      <xdr:colOff>93526</xdr:colOff>
      <xdr:row>6</xdr:row>
      <xdr:rowOff>86546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184AC94-33D1-4D8C-812A-31B06CE9ACF1}"/>
            </a:ext>
          </a:extLst>
        </xdr:cNvPr>
        <xdr:cNvGrpSpPr/>
      </xdr:nvGrpSpPr>
      <xdr:grpSpPr>
        <a:xfrm>
          <a:off x="3598400" y="673600"/>
          <a:ext cx="1380573" cy="515414"/>
          <a:chOff x="62126" y="642926"/>
          <a:chExt cx="1121326" cy="588636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E7FC7DF-7E7E-939F-EA03-980CC50C62CF}"/>
              </a:ext>
            </a:extLst>
          </xdr:cNvPr>
          <xdr:cNvSpPr/>
        </xdr:nvSpPr>
        <xdr:spPr>
          <a:xfrm>
            <a:off x="62126" y="642926"/>
            <a:ext cx="1121326" cy="20619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Enterprise</a:t>
            </a:r>
            <a:r>
              <a:rPr lang="en-IN" sz="1100" baseline="0"/>
              <a:t> Value</a:t>
            </a:r>
          </a:p>
        </xdr:txBody>
      </xdr:sp>
      <xdr:sp macro="" textlink="DCF!C18">
        <xdr:nvSpPr>
          <xdr:cNvPr id="24" name="Rectangle 23">
            <a:extLst>
              <a:ext uri="{FF2B5EF4-FFF2-40B4-BE49-F238E27FC236}">
                <a16:creationId xmlns:a16="http://schemas.microsoft.com/office/drawing/2014/main" id="{0BCC4D39-6CEF-353E-2EF0-BFADBA30ED06}"/>
              </a:ext>
            </a:extLst>
          </xdr:cNvPr>
          <xdr:cNvSpPr/>
        </xdr:nvSpPr>
        <xdr:spPr>
          <a:xfrm>
            <a:off x="62126" y="848664"/>
            <a:ext cx="1121326" cy="38289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D84D6E68-2095-4109-9CC4-E71966B87518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3,25,577</a:t>
            </a:fld>
            <a:endParaRPr lang="en-IN" sz="2000" b="1"/>
          </a:p>
        </xdr:txBody>
      </xdr:sp>
    </xdr:grpSp>
    <xdr:clientData/>
  </xdr:twoCellAnchor>
  <xdr:twoCellAnchor>
    <xdr:from>
      <xdr:col>8</xdr:col>
      <xdr:colOff>480518</xdr:colOff>
      <xdr:row>3</xdr:row>
      <xdr:rowOff>124590</xdr:rowOff>
    </xdr:from>
    <xdr:to>
      <xdr:col>11</xdr:col>
      <xdr:colOff>29049</xdr:colOff>
      <xdr:row>6</xdr:row>
      <xdr:rowOff>88770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39774D0-2586-4438-B886-6CDA4D4EF60C}"/>
            </a:ext>
          </a:extLst>
        </xdr:cNvPr>
        <xdr:cNvGrpSpPr/>
      </xdr:nvGrpSpPr>
      <xdr:grpSpPr>
        <a:xfrm>
          <a:off x="5365965" y="675824"/>
          <a:ext cx="1380573" cy="515414"/>
          <a:chOff x="62126" y="642926"/>
          <a:chExt cx="1121326" cy="588636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2BDF101-FD55-2EC3-081D-CD0943407A80}"/>
              </a:ext>
            </a:extLst>
          </xdr:cNvPr>
          <xdr:cNvSpPr/>
        </xdr:nvSpPr>
        <xdr:spPr>
          <a:xfrm>
            <a:off x="62126" y="642926"/>
            <a:ext cx="1121326" cy="20619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Share Price</a:t>
            </a:r>
          </a:p>
        </xdr:txBody>
      </xdr:sp>
      <xdr:sp macro="" textlink="DCF!C24">
        <xdr:nvSpPr>
          <xdr:cNvPr id="27" name="Rectangle 26">
            <a:extLst>
              <a:ext uri="{FF2B5EF4-FFF2-40B4-BE49-F238E27FC236}">
                <a16:creationId xmlns:a16="http://schemas.microsoft.com/office/drawing/2014/main" id="{E635DCFA-D407-9BC5-0260-81F8A0FAF8AB}"/>
              </a:ext>
            </a:extLst>
          </xdr:cNvPr>
          <xdr:cNvSpPr/>
        </xdr:nvSpPr>
        <xdr:spPr>
          <a:xfrm>
            <a:off x="62126" y="848664"/>
            <a:ext cx="1121326" cy="38289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EB6FDC0C-5202-4C39-905F-8A082787CEE9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10,934</a:t>
            </a:fld>
            <a:endParaRPr lang="en-IN" sz="2000" b="1"/>
          </a:p>
        </xdr:txBody>
      </xdr:sp>
    </xdr:grpSp>
    <xdr:clientData/>
  </xdr:twoCellAnchor>
  <xdr:twoCellAnchor>
    <xdr:from>
      <xdr:col>11</xdr:col>
      <xdr:colOff>416041</xdr:colOff>
      <xdr:row>3</xdr:row>
      <xdr:rowOff>99005</xdr:rowOff>
    </xdr:from>
    <xdr:to>
      <xdr:col>13</xdr:col>
      <xdr:colOff>576396</xdr:colOff>
      <xdr:row>6</xdr:row>
      <xdr:rowOff>63185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BC0D0C6-167A-4A33-A995-CE74F401333E}"/>
            </a:ext>
          </a:extLst>
        </xdr:cNvPr>
        <xdr:cNvGrpSpPr/>
      </xdr:nvGrpSpPr>
      <xdr:grpSpPr>
        <a:xfrm>
          <a:off x="7133530" y="650239"/>
          <a:ext cx="1381717" cy="515414"/>
          <a:chOff x="62126" y="642926"/>
          <a:chExt cx="1121326" cy="588636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59BD8920-1D16-117D-2E61-F544C10416C3}"/>
              </a:ext>
            </a:extLst>
          </xdr:cNvPr>
          <xdr:cNvSpPr/>
        </xdr:nvSpPr>
        <xdr:spPr>
          <a:xfrm>
            <a:off x="62126" y="642926"/>
            <a:ext cx="1121326" cy="20619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WACC</a:t>
            </a:r>
          </a:p>
        </xdr:txBody>
      </xdr:sp>
      <xdr:sp macro="" textlink="WACC!C20">
        <xdr:nvSpPr>
          <xdr:cNvPr id="30" name="Rectangle 29">
            <a:extLst>
              <a:ext uri="{FF2B5EF4-FFF2-40B4-BE49-F238E27FC236}">
                <a16:creationId xmlns:a16="http://schemas.microsoft.com/office/drawing/2014/main" id="{73322BAD-DFCC-D721-1389-E9EFF997483F}"/>
              </a:ext>
            </a:extLst>
          </xdr:cNvPr>
          <xdr:cNvSpPr/>
        </xdr:nvSpPr>
        <xdr:spPr>
          <a:xfrm>
            <a:off x="62126" y="848664"/>
            <a:ext cx="1121326" cy="38289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613DF39A-2CD1-4622-9773-624A3674DB67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8.02%</a:t>
            </a:fld>
            <a:endParaRPr lang="en-IN" sz="2000" b="1"/>
          </a:p>
        </xdr:txBody>
      </xdr:sp>
    </xdr:grpSp>
    <xdr:clientData/>
  </xdr:twoCellAnchor>
  <xdr:twoCellAnchor>
    <xdr:from>
      <xdr:col>0</xdr:col>
      <xdr:colOff>193856</xdr:colOff>
      <xdr:row>0</xdr:row>
      <xdr:rowOff>139883</xdr:rowOff>
    </xdr:from>
    <xdr:to>
      <xdr:col>1</xdr:col>
      <xdr:colOff>60366</xdr:colOff>
      <xdr:row>2</xdr:row>
      <xdr:rowOff>121186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EED0AE5-30C8-5D84-943F-C459DD392CB6}"/>
            </a:ext>
          </a:extLst>
        </xdr:cNvPr>
        <xdr:cNvSpPr/>
      </xdr:nvSpPr>
      <xdr:spPr>
        <a:xfrm>
          <a:off x="193856" y="139883"/>
          <a:ext cx="475120" cy="34745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UT</a:t>
          </a:r>
        </a:p>
      </xdr:txBody>
    </xdr:sp>
    <xdr:clientData/>
  </xdr:twoCellAnchor>
  <xdr:twoCellAnchor>
    <xdr:from>
      <xdr:col>10</xdr:col>
      <xdr:colOff>67177</xdr:colOff>
      <xdr:row>0</xdr:row>
      <xdr:rowOff>142710</xdr:rowOff>
    </xdr:from>
    <xdr:to>
      <xdr:col>13</xdr:col>
      <xdr:colOff>379596</xdr:colOff>
      <xdr:row>2</xdr:row>
      <xdr:rowOff>147016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29F65C3-2FDC-4712-B947-A599A111B76D}"/>
            </a:ext>
          </a:extLst>
        </xdr:cNvPr>
        <xdr:cNvSpPr/>
      </xdr:nvSpPr>
      <xdr:spPr>
        <a:xfrm>
          <a:off x="6153281" y="142710"/>
          <a:ext cx="2138250" cy="370462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Dashboard</a:t>
          </a:r>
        </a:p>
      </xdr:txBody>
    </xdr:sp>
    <xdr:clientData/>
  </xdr:twoCellAnchor>
  <xdr:twoCellAnchor>
    <xdr:from>
      <xdr:col>1</xdr:col>
      <xdr:colOff>444338</xdr:colOff>
      <xdr:row>0</xdr:row>
      <xdr:rowOff>128104</xdr:rowOff>
    </xdr:from>
    <xdr:to>
      <xdr:col>9</xdr:col>
      <xdr:colOff>291815</xdr:colOff>
      <xdr:row>2</xdr:row>
      <xdr:rowOff>129796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44DEA92-4846-4FB4-93A5-ED8DADE6294A}"/>
            </a:ext>
          </a:extLst>
        </xdr:cNvPr>
        <xdr:cNvSpPr/>
      </xdr:nvSpPr>
      <xdr:spPr>
        <a:xfrm>
          <a:off x="1052948" y="128104"/>
          <a:ext cx="4716361" cy="36784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000" b="1"/>
            <a:t>Ultra</a:t>
          </a:r>
          <a:r>
            <a:rPr lang="en-IN" sz="2000" b="1" baseline="0"/>
            <a:t>Tech Cement Ltd.</a:t>
          </a:r>
          <a:endParaRPr lang="en-IN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16</xdr:row>
      <xdr:rowOff>60960</xdr:rowOff>
    </xdr:from>
    <xdr:to>
      <xdr:col>19</xdr:col>
      <xdr:colOff>556260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15843-54CC-B2E2-0933-F95ACC82D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83821</xdr:colOff>
      <xdr:row>13</xdr:row>
      <xdr:rowOff>30480</xdr:rowOff>
    </xdr:from>
    <xdr:to>
      <xdr:col>11</xdr:col>
      <xdr:colOff>403741</xdr:colOff>
      <xdr:row>23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998EA-6A9F-F75C-8685-B0E458B5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6221" y="2598420"/>
          <a:ext cx="3886080" cy="192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AMBUJACEM/consolidated/" TargetMode="External"/><Relationship Id="rId7" Type="http://schemas.openxmlformats.org/officeDocument/2006/relationships/hyperlink" Target="https://www.screener.in/company/ACC/consolidated/" TargetMode="External"/><Relationship Id="rId2" Type="http://schemas.openxmlformats.org/officeDocument/2006/relationships/hyperlink" Target="https://www.screener.in/company/GRASIM/consolidated/" TargetMode="External"/><Relationship Id="rId1" Type="http://schemas.openxmlformats.org/officeDocument/2006/relationships/hyperlink" Target="https://www.screener.in/company/ULTRACEMCO/consolidated/" TargetMode="External"/><Relationship Id="rId6" Type="http://schemas.openxmlformats.org/officeDocument/2006/relationships/hyperlink" Target="https://www.screener.in/company/DALBHARAT/consolidated/" TargetMode="External"/><Relationship Id="rId5" Type="http://schemas.openxmlformats.org/officeDocument/2006/relationships/hyperlink" Target="https://www.screener.in/company/JKCEMENT/consolidated/" TargetMode="External"/><Relationship Id="rId4" Type="http://schemas.openxmlformats.org/officeDocument/2006/relationships/hyperlink" Target="https://www.screener.in/company/SHREECEM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084B-E254-4269-9045-9CBB979FF356}">
  <dimension ref="D3:H32"/>
  <sheetViews>
    <sheetView showGridLines="0" workbookViewId="0"/>
  </sheetViews>
  <sheetFormatPr defaultRowHeight="14.4" x14ac:dyDescent="0.3"/>
  <cols>
    <col min="1" max="1" width="44.6640625" customWidth="1"/>
    <col min="5" max="5" width="2" customWidth="1"/>
    <col min="6" max="6" width="32.33203125" customWidth="1"/>
    <col min="7" max="7" width="17.5546875" customWidth="1"/>
    <col min="8" max="8" width="24.44140625" customWidth="1"/>
  </cols>
  <sheetData>
    <row r="3" spans="4:8" ht="16.8" customHeight="1" x14ac:dyDescent="0.3">
      <c r="G3" s="274" t="s">
        <v>210</v>
      </c>
      <c r="H3" s="274"/>
    </row>
    <row r="4" spans="4:8" x14ac:dyDescent="0.3">
      <c r="G4" s="274"/>
      <c r="H4" s="274"/>
    </row>
    <row r="5" spans="4:8" x14ac:dyDescent="0.3">
      <c r="G5" s="274"/>
      <c r="H5" s="274"/>
    </row>
    <row r="6" spans="4:8" x14ac:dyDescent="0.3">
      <c r="G6" s="274"/>
      <c r="H6" s="274"/>
    </row>
    <row r="7" spans="4:8" x14ac:dyDescent="0.3">
      <c r="G7" s="274"/>
      <c r="H7" s="274"/>
    </row>
    <row r="11" spans="4:8" x14ac:dyDescent="0.3">
      <c r="D11" s="194" t="s">
        <v>211</v>
      </c>
      <c r="F11" s="67" t="s">
        <v>218</v>
      </c>
      <c r="G11" s="195" t="s">
        <v>219</v>
      </c>
      <c r="H11" t="s">
        <v>226</v>
      </c>
    </row>
    <row r="12" spans="4:8" x14ac:dyDescent="0.3">
      <c r="D12" s="194" t="s">
        <v>212</v>
      </c>
      <c r="F12" s="67" t="s">
        <v>217</v>
      </c>
      <c r="G12" s="46" t="s">
        <v>220</v>
      </c>
      <c r="H12" t="s">
        <v>225</v>
      </c>
    </row>
    <row r="13" spans="4:8" x14ac:dyDescent="0.3">
      <c r="D13" s="194" t="s">
        <v>213</v>
      </c>
      <c r="F13" s="67" t="s">
        <v>216</v>
      </c>
      <c r="G13" s="196" t="s">
        <v>221</v>
      </c>
      <c r="H13" t="s">
        <v>224</v>
      </c>
    </row>
    <row r="14" spans="4:8" x14ac:dyDescent="0.3">
      <c r="D14" s="194" t="s">
        <v>214</v>
      </c>
      <c r="F14" s="67" t="s">
        <v>215</v>
      </c>
      <c r="G14" s="197" t="s">
        <v>222</v>
      </c>
      <c r="H14" t="s">
        <v>223</v>
      </c>
    </row>
    <row r="17" spans="4:7" x14ac:dyDescent="0.3">
      <c r="D17" s="194" t="s">
        <v>227</v>
      </c>
      <c r="F17" s="165" t="s">
        <v>228</v>
      </c>
      <c r="G17" s="46" t="s">
        <v>229</v>
      </c>
    </row>
    <row r="18" spans="4:7" x14ac:dyDescent="0.3">
      <c r="D18">
        <v>1</v>
      </c>
      <c r="F18" t="s">
        <v>230</v>
      </c>
      <c r="G18" s="258" t="s">
        <v>238</v>
      </c>
    </row>
    <row r="19" spans="4:7" x14ac:dyDescent="0.3">
      <c r="D19">
        <v>2</v>
      </c>
      <c r="F19" t="s">
        <v>231</v>
      </c>
      <c r="G19" s="258" t="s">
        <v>231</v>
      </c>
    </row>
    <row r="20" spans="4:7" x14ac:dyDescent="0.3">
      <c r="D20">
        <v>3</v>
      </c>
      <c r="F20" t="s">
        <v>232</v>
      </c>
      <c r="G20" s="258" t="s">
        <v>239</v>
      </c>
    </row>
    <row r="21" spans="4:7" x14ac:dyDescent="0.3">
      <c r="D21">
        <v>4</v>
      </c>
      <c r="F21" t="s">
        <v>233</v>
      </c>
      <c r="G21" s="258" t="s">
        <v>233</v>
      </c>
    </row>
    <row r="22" spans="4:7" x14ac:dyDescent="0.3">
      <c r="D22">
        <v>5</v>
      </c>
      <c r="F22" t="s">
        <v>234</v>
      </c>
      <c r="G22" s="258" t="s">
        <v>119</v>
      </c>
    </row>
    <row r="23" spans="4:7" x14ac:dyDescent="0.3">
      <c r="D23">
        <v>6</v>
      </c>
      <c r="F23" t="s">
        <v>84</v>
      </c>
      <c r="G23" s="258" t="s">
        <v>240</v>
      </c>
    </row>
    <row r="24" spans="4:7" x14ac:dyDescent="0.3">
      <c r="D24">
        <v>7</v>
      </c>
      <c r="F24" t="s">
        <v>15</v>
      </c>
      <c r="G24" s="258" t="s">
        <v>15</v>
      </c>
    </row>
    <row r="25" spans="4:7" x14ac:dyDescent="0.3">
      <c r="D25">
        <v>8</v>
      </c>
      <c r="F25" t="s">
        <v>109</v>
      </c>
      <c r="G25" s="258" t="s">
        <v>241</v>
      </c>
    </row>
    <row r="26" spans="4:7" x14ac:dyDescent="0.3">
      <c r="D26">
        <v>9</v>
      </c>
      <c r="F26" t="s">
        <v>99</v>
      </c>
      <c r="G26" s="258" t="s">
        <v>242</v>
      </c>
    </row>
    <row r="27" spans="4:7" x14ac:dyDescent="0.3">
      <c r="D27">
        <v>10</v>
      </c>
      <c r="F27" t="s">
        <v>160</v>
      </c>
      <c r="G27" s="258" t="s">
        <v>243</v>
      </c>
    </row>
    <row r="28" spans="4:7" x14ac:dyDescent="0.3">
      <c r="D28">
        <v>11</v>
      </c>
      <c r="F28" t="s">
        <v>177</v>
      </c>
      <c r="G28" s="258" t="s">
        <v>191</v>
      </c>
    </row>
    <row r="29" spans="4:7" x14ac:dyDescent="0.3">
      <c r="D29">
        <v>12</v>
      </c>
      <c r="F29" t="s">
        <v>192</v>
      </c>
      <c r="G29" s="258" t="s">
        <v>244</v>
      </c>
    </row>
    <row r="30" spans="4:7" x14ac:dyDescent="0.3">
      <c r="D30">
        <v>13</v>
      </c>
      <c r="F30" t="s">
        <v>235</v>
      </c>
      <c r="G30" s="258" t="s">
        <v>245</v>
      </c>
    </row>
    <row r="31" spans="4:7" x14ac:dyDescent="0.3">
      <c r="D31">
        <v>14</v>
      </c>
      <c r="F31" t="s">
        <v>236</v>
      </c>
      <c r="G31" s="258" t="s">
        <v>318</v>
      </c>
    </row>
    <row r="32" spans="4:7" x14ac:dyDescent="0.3">
      <c r="D32">
        <v>15</v>
      </c>
      <c r="F32" t="s">
        <v>237</v>
      </c>
      <c r="G32" s="258" t="s">
        <v>246</v>
      </c>
    </row>
  </sheetData>
  <mergeCells count="1">
    <mergeCell ref="G3:H7"/>
  </mergeCells>
  <hyperlinks>
    <hyperlink ref="G18" location="Index!A1" display="Index" xr:uid="{A7F38C35-6E45-41DA-9FAF-885FDB1500F5}"/>
    <hyperlink ref="G19" location="Overview!A1" display="Overview" xr:uid="{6F6AAE74-BDB5-4FA7-BAB7-372433647751}"/>
    <hyperlink ref="G20" location="Comparative!A1" display="Comparative" xr:uid="{F75CC134-9829-4851-BE7E-EB635028EC34}"/>
    <hyperlink ref="G21" location="Ratios!A1" display="Ratios" xr:uid="{D5A85333-5018-4EE0-99DA-8A35EF52F98A}"/>
    <hyperlink ref="G22" location="Drivers!A1" display="Drivers" xr:uid="{E29675ED-1162-4089-BCB6-DFF948FA83F1}"/>
    <hyperlink ref="G23" location="'P&amp;L'!A1" display="P&amp;L" xr:uid="{FF64E17B-DE99-4FE0-A7DD-1E39A4AF2223}"/>
    <hyperlink ref="G24" location="'Balance Sheet'!A1" display="Balance Sheet" xr:uid="{4383A07F-2EE5-471A-856A-5F791621C545}"/>
    <hyperlink ref="G25" location="'Cash Flow'!A1" display="Cash Flow" xr:uid="{E0B42ACB-B6BB-4065-A60F-612A2314CCB8}"/>
    <hyperlink ref="G26" location="PPE!A1" display="PPE" xr:uid="{7C0FD657-98A5-4FC5-9FF3-54C669332CD8}"/>
    <hyperlink ref="G27" location="WC!A1" display="WC" xr:uid="{E54C8D63-688B-4354-820A-781583A3F66B}"/>
    <hyperlink ref="G28" location="WACC!A1" display="WACC" xr:uid="{D0F1E67D-E5F1-4B0F-9AD4-43AA6C5A86C1}"/>
    <hyperlink ref="G29" location="DCF!A1" display="DCF" xr:uid="{A618F92D-2B79-44DA-A25D-FBC7AE9A5578}"/>
    <hyperlink ref="G30" location="'(IS)'!A1" display="(IS)" xr:uid="{A5F6CA86-981C-4F30-82B9-5939C84004D2}"/>
    <hyperlink ref="G31" location="'(BS)'!A1" display="(BS)" xr:uid="{06BEB6FD-16A8-4CC9-BB10-34C7F8F74DD5}"/>
    <hyperlink ref="G32" location="'(CFS)'!A1" display="(CFS)" xr:uid="{FE03E63B-6785-43F6-B428-720866F6064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132A-AF77-4661-967E-0F881539AB66}">
  <dimension ref="A1"/>
  <sheetViews>
    <sheetView zoomScale="141" workbookViewId="0">
      <selection activeCell="X1" sqref="X1:XFD1048576"/>
    </sheetView>
  </sheetViews>
  <sheetFormatPr defaultColWidth="0" defaultRowHeight="14.4" x14ac:dyDescent="0.3"/>
  <cols>
    <col min="1" max="23" width="8.88671875" customWidth="1"/>
    <col min="24" max="16384" width="8.88671875" hidden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517F-FACF-4B78-BC96-C7E320EC4227}">
  <dimension ref="B2:U3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16" sqref="X16"/>
    </sheetView>
  </sheetViews>
  <sheetFormatPr defaultRowHeight="14.4" x14ac:dyDescent="0.3"/>
  <cols>
    <col min="1" max="1" width="1.88671875" customWidth="1"/>
    <col min="2" max="2" width="2.5546875" customWidth="1"/>
    <col min="3" max="3" width="30.21875" customWidth="1"/>
    <col min="4" max="4" width="14.44140625" customWidth="1"/>
    <col min="5" max="5" width="3.33203125" customWidth="1"/>
    <col min="6" max="6" width="3" customWidth="1"/>
    <col min="7" max="7" width="2.33203125" customWidth="1"/>
    <col min="8" max="8" width="25.33203125" customWidth="1"/>
    <col min="13" max="13" width="2.109375" customWidth="1"/>
    <col min="14" max="14" width="3.6640625" customWidth="1"/>
    <col min="15" max="15" width="3" customWidth="1"/>
    <col min="16" max="16" width="13.6640625" customWidth="1"/>
    <col min="21" max="21" width="3.5546875" customWidth="1"/>
  </cols>
  <sheetData>
    <row r="2" spans="2:21" ht="28.8" x14ac:dyDescent="0.55000000000000004">
      <c r="B2" s="259" t="s">
        <v>231</v>
      </c>
    </row>
    <row r="3" spans="2:21" ht="15" thickBot="1" x14ac:dyDescent="0.35"/>
    <row r="4" spans="2:21" x14ac:dyDescent="0.3">
      <c r="B4" s="270"/>
      <c r="C4" s="266"/>
      <c r="D4" s="266"/>
      <c r="E4" s="269"/>
      <c r="G4" s="270"/>
      <c r="H4" s="266"/>
      <c r="I4" s="266"/>
      <c r="J4" s="266"/>
      <c r="K4" s="266"/>
      <c r="L4" s="266"/>
      <c r="M4" s="269"/>
      <c r="O4" s="270"/>
      <c r="P4" s="266"/>
      <c r="Q4" s="266"/>
      <c r="R4" s="266"/>
      <c r="S4" s="266"/>
      <c r="T4" s="266"/>
      <c r="U4" s="269"/>
    </row>
    <row r="5" spans="2:21" x14ac:dyDescent="0.3">
      <c r="B5" s="267"/>
      <c r="C5" s="261" t="s">
        <v>319</v>
      </c>
      <c r="D5" s="261"/>
      <c r="E5" s="268"/>
      <c r="G5" s="267"/>
      <c r="H5" s="261" t="s">
        <v>328</v>
      </c>
      <c r="I5" s="261">
        <v>2024</v>
      </c>
      <c r="J5" s="261">
        <v>2025</v>
      </c>
      <c r="K5" s="261">
        <v>2026</v>
      </c>
      <c r="L5" s="261">
        <v>2027</v>
      </c>
      <c r="M5" s="268"/>
      <c r="O5" s="267"/>
      <c r="P5" s="261" t="s">
        <v>233</v>
      </c>
      <c r="Q5" s="261">
        <v>2024</v>
      </c>
      <c r="R5" s="261">
        <v>2025</v>
      </c>
      <c r="S5" s="261">
        <v>2026</v>
      </c>
      <c r="T5" s="261">
        <v>2027</v>
      </c>
      <c r="U5" s="268"/>
    </row>
    <row r="6" spans="2:21" x14ac:dyDescent="0.3">
      <c r="B6" s="267"/>
      <c r="C6" t="s">
        <v>320</v>
      </c>
      <c r="D6" s="186">
        <f>Comparative!D6</f>
        <v>341088.21</v>
      </c>
      <c r="E6" s="268"/>
      <c r="G6" s="267"/>
      <c r="H6" t="s">
        <v>0</v>
      </c>
      <c r="I6" s="27">
        <f>'P&amp;L'!G5</f>
        <v>70908.14</v>
      </c>
      <c r="J6" s="27">
        <f>'P&amp;L'!H5</f>
        <v>82749.799379999997</v>
      </c>
      <c r="K6" s="27">
        <f>'P&amp;L'!I5</f>
        <v>96569.015876460006</v>
      </c>
      <c r="L6" s="27">
        <f>'P&amp;L'!J5</f>
        <v>111730.35136906423</v>
      </c>
      <c r="M6" s="268"/>
      <c r="O6" s="267"/>
      <c r="P6" t="s">
        <v>339</v>
      </c>
      <c r="Q6" s="28">
        <v>0.19</v>
      </c>
      <c r="R6" s="28">
        <v>0.23</v>
      </c>
      <c r="S6" s="28">
        <v>0.23</v>
      </c>
      <c r="T6" s="28">
        <v>0.22</v>
      </c>
      <c r="U6" s="268"/>
    </row>
    <row r="7" spans="2:21" x14ac:dyDescent="0.3">
      <c r="B7" s="267"/>
      <c r="C7" t="s">
        <v>321</v>
      </c>
      <c r="D7" s="244">
        <f>Comparative!O25</f>
        <v>29.46791851333489</v>
      </c>
      <c r="E7" s="268"/>
      <c r="G7" s="267"/>
      <c r="H7" t="s">
        <v>90</v>
      </c>
      <c r="I7" s="27">
        <f>'P&amp;L'!G13</f>
        <v>13535.520000000004</v>
      </c>
      <c r="J7" s="27">
        <f>'P&amp;L'!H13</f>
        <v>18672.220921435073</v>
      </c>
      <c r="K7" s="27">
        <f>'P&amp;L'!I13</f>
        <v>21823.312675244983</v>
      </c>
      <c r="L7" s="27">
        <f>'P&amp;L'!J13</f>
        <v>24989.080662445936</v>
      </c>
      <c r="M7" s="268"/>
      <c r="O7" s="267"/>
      <c r="P7" t="s">
        <v>340</v>
      </c>
      <c r="Q7" s="28">
        <v>0.1</v>
      </c>
      <c r="R7" s="28">
        <v>0.13</v>
      </c>
      <c r="S7" s="28">
        <v>0.13</v>
      </c>
      <c r="T7" s="28">
        <v>0.13</v>
      </c>
      <c r="U7" s="268"/>
    </row>
    <row r="8" spans="2:21" x14ac:dyDescent="0.3">
      <c r="B8" s="267"/>
      <c r="C8" t="s">
        <v>322</v>
      </c>
      <c r="D8" s="27">
        <f>D6/D7</f>
        <v>11574.9</v>
      </c>
      <c r="E8" s="268"/>
      <c r="G8" s="267"/>
      <c r="H8" t="s">
        <v>329</v>
      </c>
      <c r="I8" s="27">
        <f>'P&amp;L'!G19</f>
        <v>7003.9600000000046</v>
      </c>
      <c r="J8" s="27">
        <f>'P&amp;L'!H19</f>
        <v>10691.038014463789</v>
      </c>
      <c r="K8" s="27">
        <f>'P&amp;L'!I19</f>
        <v>12884.871245908238</v>
      </c>
      <c r="L8" s="27">
        <f>'P&amp;L'!J19</f>
        <v>15022.941875609176</v>
      </c>
      <c r="M8" s="268"/>
      <c r="O8" s="267"/>
      <c r="P8" t="s">
        <v>341</v>
      </c>
      <c r="Q8">
        <v>0.09</v>
      </c>
      <c r="R8">
        <v>0.08</v>
      </c>
      <c r="S8">
        <v>7.0000000000000007E-2</v>
      </c>
      <c r="T8">
        <v>0.06</v>
      </c>
      <c r="U8" s="268"/>
    </row>
    <row r="9" spans="2:21" x14ac:dyDescent="0.3">
      <c r="B9" s="267"/>
      <c r="C9" t="s">
        <v>323</v>
      </c>
      <c r="D9" s="260" t="s">
        <v>327</v>
      </c>
      <c r="E9" s="268"/>
      <c r="G9" s="267"/>
      <c r="H9" t="s">
        <v>330</v>
      </c>
      <c r="M9" s="268"/>
      <c r="O9" s="267"/>
      <c r="P9" t="s">
        <v>342</v>
      </c>
      <c r="Q9" s="28">
        <v>0.12</v>
      </c>
      <c r="R9" s="28">
        <v>0.16</v>
      </c>
      <c r="S9" s="28">
        <v>0.16</v>
      </c>
      <c r="T9" s="28">
        <v>0.17</v>
      </c>
      <c r="U9" s="268"/>
    </row>
    <row r="10" spans="2:21" ht="15" thickBot="1" x14ac:dyDescent="0.35">
      <c r="B10" s="267"/>
      <c r="C10" t="s">
        <v>324</v>
      </c>
      <c r="D10" s="186">
        <f>Comparative!I6</f>
        <v>363458.95</v>
      </c>
      <c r="E10" s="268"/>
      <c r="G10" s="271"/>
      <c r="H10" s="272"/>
      <c r="I10" s="272"/>
      <c r="J10" s="272"/>
      <c r="K10" s="272"/>
      <c r="L10" s="272"/>
      <c r="M10" s="273"/>
      <c r="O10" s="267"/>
      <c r="P10" t="s">
        <v>343</v>
      </c>
      <c r="Q10" s="28">
        <v>0.16</v>
      </c>
      <c r="R10" s="28">
        <v>0.2</v>
      </c>
      <c r="S10" s="28">
        <v>0.22</v>
      </c>
      <c r="T10" s="28">
        <v>0.22</v>
      </c>
      <c r="U10" s="268"/>
    </row>
    <row r="11" spans="2:21" ht="15" thickBot="1" x14ac:dyDescent="0.35">
      <c r="B11" s="267"/>
      <c r="C11" t="s">
        <v>325</v>
      </c>
      <c r="D11" s="186">
        <v>2600</v>
      </c>
      <c r="E11" s="268"/>
      <c r="O11" s="267"/>
      <c r="P11" t="s">
        <v>344</v>
      </c>
      <c r="Q11">
        <v>43.6</v>
      </c>
      <c r="R11">
        <v>29.5</v>
      </c>
      <c r="S11">
        <v>24.5</v>
      </c>
      <c r="T11">
        <v>21</v>
      </c>
      <c r="U11" s="268"/>
    </row>
    <row r="12" spans="2:21" x14ac:dyDescent="0.3">
      <c r="B12" s="267"/>
      <c r="C12" t="s">
        <v>188</v>
      </c>
      <c r="D12">
        <v>0.56000000000000005</v>
      </c>
      <c r="E12" s="268"/>
      <c r="G12" s="270"/>
      <c r="H12" s="266"/>
      <c r="I12" s="266"/>
      <c r="J12" s="266"/>
      <c r="K12" s="266"/>
      <c r="L12" s="266"/>
      <c r="M12" s="269"/>
      <c r="O12" s="267"/>
      <c r="P12" t="s">
        <v>345</v>
      </c>
      <c r="Q12">
        <v>5.0999999999999996</v>
      </c>
      <c r="R12">
        <v>4.5999999999999996</v>
      </c>
      <c r="S12">
        <v>4</v>
      </c>
      <c r="T12">
        <v>3.5</v>
      </c>
      <c r="U12" s="268"/>
    </row>
    <row r="13" spans="2:21" x14ac:dyDescent="0.3">
      <c r="B13" s="267"/>
      <c r="C13" t="s">
        <v>326</v>
      </c>
      <c r="D13">
        <v>10</v>
      </c>
      <c r="E13" s="268"/>
      <c r="G13" s="267"/>
      <c r="H13" s="261" t="s">
        <v>352</v>
      </c>
      <c r="I13" s="261"/>
      <c r="J13" s="261"/>
      <c r="K13" s="261"/>
      <c r="L13" s="261"/>
      <c r="M13" s="268"/>
      <c r="O13" s="267"/>
      <c r="P13" t="s">
        <v>346</v>
      </c>
      <c r="Q13">
        <v>24</v>
      </c>
      <c r="R13">
        <v>17.399999999999999</v>
      </c>
      <c r="S13">
        <v>14.9</v>
      </c>
      <c r="T13">
        <v>13</v>
      </c>
      <c r="U13" s="268"/>
    </row>
    <row r="14" spans="2:21" ht="15" thickBot="1" x14ac:dyDescent="0.35">
      <c r="B14" s="271"/>
      <c r="C14" s="272"/>
      <c r="D14" s="272"/>
      <c r="E14" s="273"/>
      <c r="G14" s="267"/>
      <c r="M14" s="268"/>
      <c r="O14" s="267"/>
      <c r="U14" s="268"/>
    </row>
    <row r="15" spans="2:21" ht="15" thickBot="1" x14ac:dyDescent="0.35">
      <c r="G15" s="267"/>
      <c r="M15" s="268"/>
      <c r="O15" s="267"/>
      <c r="U15" s="268"/>
    </row>
    <row r="16" spans="2:21" x14ac:dyDescent="0.3">
      <c r="B16" s="270"/>
      <c r="C16" s="266"/>
      <c r="D16" s="266"/>
      <c r="E16" s="269"/>
      <c r="G16" s="267"/>
      <c r="M16" s="268"/>
      <c r="O16" s="267"/>
      <c r="P16" s="261" t="s">
        <v>351</v>
      </c>
      <c r="Q16" s="261"/>
      <c r="R16" s="261"/>
      <c r="S16" s="261"/>
      <c r="T16" s="261"/>
      <c r="U16" s="268"/>
    </row>
    <row r="17" spans="2:21" x14ac:dyDescent="0.3">
      <c r="B17" s="267"/>
      <c r="C17" s="261" t="s">
        <v>331</v>
      </c>
      <c r="D17" s="261"/>
      <c r="E17" s="268"/>
      <c r="G17" s="267"/>
      <c r="M17" s="268"/>
      <c r="O17" s="267"/>
      <c r="U17" s="268"/>
    </row>
    <row r="18" spans="2:21" x14ac:dyDescent="0.3">
      <c r="B18" s="267"/>
      <c r="C18" s="262" t="s">
        <v>332</v>
      </c>
      <c r="D18" s="263" t="s">
        <v>333</v>
      </c>
      <c r="E18" s="268"/>
      <c r="G18" s="267"/>
      <c r="M18" s="268"/>
      <c r="O18" s="267"/>
      <c r="U18" s="268"/>
    </row>
    <row r="19" spans="2:21" x14ac:dyDescent="0.3">
      <c r="B19" s="267"/>
      <c r="C19" t="s">
        <v>334</v>
      </c>
      <c r="D19" s="28">
        <v>0.8</v>
      </c>
      <c r="E19" s="268"/>
      <c r="G19" s="267"/>
      <c r="M19" s="268"/>
      <c r="O19" s="267"/>
      <c r="U19" s="268"/>
    </row>
    <row r="20" spans="2:21" x14ac:dyDescent="0.3">
      <c r="B20" s="267"/>
      <c r="C20" t="s">
        <v>335</v>
      </c>
      <c r="D20" s="28">
        <v>0.09</v>
      </c>
      <c r="E20" s="268"/>
      <c r="G20" s="267"/>
      <c r="M20" s="268"/>
      <c r="O20" s="267"/>
      <c r="U20" s="268"/>
    </row>
    <row r="21" spans="2:21" x14ac:dyDescent="0.3">
      <c r="B21" s="267"/>
      <c r="C21" t="s">
        <v>336</v>
      </c>
      <c r="D21" s="28">
        <v>0.05</v>
      </c>
      <c r="E21" s="268"/>
      <c r="G21" s="267"/>
      <c r="M21" s="268"/>
      <c r="O21" s="267"/>
      <c r="U21" s="268"/>
    </row>
    <row r="22" spans="2:21" x14ac:dyDescent="0.3">
      <c r="B22" s="267"/>
      <c r="C22" t="s">
        <v>337</v>
      </c>
      <c r="D22" s="28">
        <v>0.03</v>
      </c>
      <c r="E22" s="268"/>
      <c r="G22" s="267"/>
      <c r="M22" s="268"/>
      <c r="O22" s="267"/>
      <c r="U22" s="268"/>
    </row>
    <row r="23" spans="2:21" x14ac:dyDescent="0.3">
      <c r="B23" s="267"/>
      <c r="C23" t="s">
        <v>338</v>
      </c>
      <c r="D23" s="28">
        <v>0.02</v>
      </c>
      <c r="E23" s="268"/>
      <c r="G23" s="267"/>
      <c r="M23" s="268"/>
      <c r="O23" s="267"/>
      <c r="U23" s="268"/>
    </row>
    <row r="24" spans="2:21" ht="15" thickBot="1" x14ac:dyDescent="0.35">
      <c r="B24" s="271"/>
      <c r="C24" s="272"/>
      <c r="D24" s="272"/>
      <c r="E24" s="273"/>
      <c r="G24" s="271"/>
      <c r="H24" s="272"/>
      <c r="I24" s="272"/>
      <c r="J24" s="272"/>
      <c r="K24" s="272"/>
      <c r="L24" s="272"/>
      <c r="M24" s="273"/>
      <c r="O24" s="271"/>
      <c r="P24" s="272"/>
      <c r="Q24" s="272"/>
      <c r="R24" s="272"/>
      <c r="S24" s="272"/>
      <c r="T24" s="272"/>
      <c r="U24" s="273"/>
    </row>
    <row r="30" spans="2:21" x14ac:dyDescent="0.3">
      <c r="P30" s="264" t="s">
        <v>347</v>
      </c>
      <c r="Q30" s="265">
        <v>0.59989999999999999</v>
      </c>
    </row>
    <row r="31" spans="2:21" x14ac:dyDescent="0.3">
      <c r="P31" s="264" t="s">
        <v>348</v>
      </c>
      <c r="Q31" s="265">
        <v>0.17949999999999999</v>
      </c>
    </row>
    <row r="32" spans="2:21" x14ac:dyDescent="0.3">
      <c r="P32" s="264" t="s">
        <v>349</v>
      </c>
      <c r="Q32" s="265">
        <v>0.14080000000000001</v>
      </c>
    </row>
    <row r="33" spans="16:17" x14ac:dyDescent="0.3">
      <c r="P33" s="264" t="s">
        <v>350</v>
      </c>
      <c r="Q33" s="265">
        <v>7.9799999999999996E-2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CEA7-C4A2-4AE5-BB81-7091B3D5A5A2}">
  <dimension ref="B1:Q26"/>
  <sheetViews>
    <sheetView showGridLines="0" zoomScaleNormal="100" workbookViewId="0">
      <selection activeCell="Q2" sqref="Q2"/>
    </sheetView>
  </sheetViews>
  <sheetFormatPr defaultRowHeight="14.4" x14ac:dyDescent="0.3"/>
  <cols>
    <col min="1" max="1" width="1.88671875" customWidth="1"/>
    <col min="2" max="2" width="21" customWidth="1"/>
    <col min="3" max="9" width="13" customWidth="1"/>
    <col min="10" max="10" width="4.33203125" customWidth="1"/>
    <col min="11" max="13" width="13" customWidth="1"/>
    <col min="14" max="14" width="4" customWidth="1"/>
    <col min="15" max="17" width="13" customWidth="1"/>
  </cols>
  <sheetData>
    <row r="1" spans="2:17" x14ac:dyDescent="0.3">
      <c r="Q1" s="258"/>
    </row>
    <row r="2" spans="2:17" ht="25.8" x14ac:dyDescent="0.5">
      <c r="B2" s="226" t="s">
        <v>276</v>
      </c>
      <c r="Q2" s="258" t="s">
        <v>238</v>
      </c>
    </row>
    <row r="3" spans="2:17" x14ac:dyDescent="0.3">
      <c r="B3" s="32" t="s">
        <v>277</v>
      </c>
    </row>
    <row r="4" spans="2:17" x14ac:dyDescent="0.3">
      <c r="B4" s="227"/>
      <c r="C4" s="275" t="s">
        <v>286</v>
      </c>
      <c r="D4" s="275"/>
      <c r="E4" s="275"/>
      <c r="F4" s="275"/>
      <c r="G4" s="275"/>
      <c r="H4" s="275"/>
      <c r="I4" s="275"/>
      <c r="J4" s="227"/>
      <c r="K4" s="275" t="s">
        <v>287</v>
      </c>
      <c r="L4" s="275"/>
      <c r="M4" s="275"/>
      <c r="N4" s="227"/>
      <c r="O4" s="275" t="s">
        <v>291</v>
      </c>
      <c r="P4" s="275"/>
      <c r="Q4" s="275"/>
    </row>
    <row r="5" spans="2:17" ht="28.8" x14ac:dyDescent="0.3">
      <c r="B5" s="228" t="s">
        <v>278</v>
      </c>
      <c r="C5" s="229" t="s">
        <v>279</v>
      </c>
      <c r="D5" s="229" t="s">
        <v>280</v>
      </c>
      <c r="E5" s="229" t="s">
        <v>281</v>
      </c>
      <c r="F5" s="229" t="s">
        <v>282</v>
      </c>
      <c r="G5" s="229" t="s">
        <v>283</v>
      </c>
      <c r="H5" s="229" t="s">
        <v>284</v>
      </c>
      <c r="I5" s="229" t="s">
        <v>285</v>
      </c>
      <c r="J5" s="229"/>
      <c r="K5" s="229" t="s">
        <v>129</v>
      </c>
      <c r="L5" s="229" t="s">
        <v>90</v>
      </c>
      <c r="M5" s="229" t="s">
        <v>157</v>
      </c>
      <c r="N5" s="229"/>
      <c r="O5" s="229" t="s">
        <v>288</v>
      </c>
      <c r="P5" s="229" t="s">
        <v>289</v>
      </c>
      <c r="Q5" s="229" t="s">
        <v>290</v>
      </c>
    </row>
    <row r="6" spans="2:17" x14ac:dyDescent="0.3">
      <c r="B6" s="246" t="s">
        <v>301</v>
      </c>
      <c r="C6" s="251">
        <v>11574.9</v>
      </c>
      <c r="D6" s="251">
        <v>341088.21</v>
      </c>
      <c r="E6" s="252">
        <f>D6/C6</f>
        <v>29.46791851333489</v>
      </c>
      <c r="F6" s="251">
        <v>23755.09</v>
      </c>
      <c r="G6" s="251">
        <v>1384.35</v>
      </c>
      <c r="H6" s="253">
        <f>F6-G6</f>
        <v>22370.74</v>
      </c>
      <c r="I6" s="253">
        <f>D6+H6</f>
        <v>363458.95</v>
      </c>
      <c r="J6" s="246"/>
      <c r="K6" s="251">
        <v>88511.53</v>
      </c>
      <c r="L6" s="251">
        <v>17581.91</v>
      </c>
      <c r="M6" s="251">
        <v>8188.35</v>
      </c>
      <c r="N6" s="246"/>
      <c r="O6" s="248">
        <f>I6/K6</f>
        <v>4.1063458060209781</v>
      </c>
      <c r="P6" s="248">
        <f>I6/L6</f>
        <v>20.6723245654198</v>
      </c>
      <c r="Q6" s="248">
        <f>D6/M6</f>
        <v>41.655304182161245</v>
      </c>
    </row>
    <row r="7" spans="2:17" x14ac:dyDescent="0.3">
      <c r="B7" t="s">
        <v>302</v>
      </c>
      <c r="C7" s="245">
        <v>3147.7</v>
      </c>
      <c r="D7" s="245">
        <v>214208.08</v>
      </c>
      <c r="E7" s="244">
        <f t="shared" ref="E7:E12" si="0">D7/C7</f>
        <v>68.052254026749694</v>
      </c>
      <c r="F7" s="245">
        <v>227853.06</v>
      </c>
      <c r="G7" s="245">
        <v>6188.26</v>
      </c>
      <c r="H7" s="186">
        <f t="shared" ref="H7:H12" si="1">F7-G7</f>
        <v>221664.8</v>
      </c>
      <c r="I7" s="186">
        <f t="shared" ref="I7:I12" si="2">D7+H7</f>
        <v>435872.88</v>
      </c>
      <c r="K7" s="245">
        <v>175430.74</v>
      </c>
      <c r="L7" s="245">
        <v>37665.480000000003</v>
      </c>
      <c r="M7" s="245">
        <v>10300.290000000001</v>
      </c>
      <c r="O7" s="247">
        <f t="shared" ref="O7:O12" si="3">I7/K7</f>
        <v>2.4845866807607382</v>
      </c>
      <c r="P7" s="247">
        <f t="shared" ref="P7:P12" si="4">I7/L7</f>
        <v>11.572210947530735</v>
      </c>
      <c r="Q7" s="247">
        <f t="shared" ref="Q7:Q12" si="5">D7/M7</f>
        <v>20.796315443545762</v>
      </c>
    </row>
    <row r="8" spans="2:17" x14ac:dyDescent="0.3">
      <c r="B8" t="s">
        <v>303</v>
      </c>
      <c r="C8" s="245">
        <v>436.35</v>
      </c>
      <c r="D8" s="245">
        <v>108425.03</v>
      </c>
      <c r="E8" s="244">
        <f t="shared" si="0"/>
        <v>248.48179213933767</v>
      </c>
      <c r="F8" s="245">
        <v>865.93</v>
      </c>
      <c r="G8" s="245">
        <v>958.6</v>
      </c>
      <c r="H8" s="186">
        <f t="shared" si="1"/>
        <v>-92.670000000000073</v>
      </c>
      <c r="I8" s="186">
        <f t="shared" si="2"/>
        <v>108332.36</v>
      </c>
      <c r="K8" s="245">
        <v>40655.68</v>
      </c>
      <c r="L8" s="245">
        <v>7393.33</v>
      </c>
      <c r="M8" s="245">
        <v>5637.08</v>
      </c>
      <c r="O8" s="247">
        <f t="shared" si="3"/>
        <v>2.664630378830215</v>
      </c>
      <c r="P8" s="247">
        <f t="shared" si="4"/>
        <v>14.652715352892404</v>
      </c>
      <c r="Q8" s="247">
        <f t="shared" si="5"/>
        <v>19.234254259297366</v>
      </c>
    </row>
    <row r="9" spans="2:17" x14ac:dyDescent="0.3">
      <c r="B9" t="s">
        <v>304</v>
      </c>
      <c r="C9" s="245">
        <v>24751</v>
      </c>
      <c r="D9" s="245">
        <v>89303.45</v>
      </c>
      <c r="E9" s="244">
        <f t="shared" si="0"/>
        <v>3.6080744212355054</v>
      </c>
      <c r="F9" s="245">
        <v>1868.14</v>
      </c>
      <c r="G9" s="245">
        <v>341.79</v>
      </c>
      <c r="H9" s="186">
        <f t="shared" si="1"/>
        <v>1526.3500000000001</v>
      </c>
      <c r="I9" s="186">
        <f t="shared" si="2"/>
        <v>90829.8</v>
      </c>
      <c r="K9" s="245">
        <v>20943.47</v>
      </c>
      <c r="L9" s="245">
        <v>5298.69</v>
      </c>
      <c r="M9" s="245">
        <v>1748.66</v>
      </c>
      <c r="O9" s="247">
        <f t="shared" si="3"/>
        <v>4.3369031015395247</v>
      </c>
      <c r="P9" s="247">
        <f t="shared" si="4"/>
        <v>17.141935082067455</v>
      </c>
      <c r="Q9" s="247">
        <f t="shared" si="5"/>
        <v>51.069647615888734</v>
      </c>
    </row>
    <row r="10" spans="2:17" x14ac:dyDescent="0.3">
      <c r="B10" t="s">
        <v>305</v>
      </c>
      <c r="C10" s="245">
        <v>5553</v>
      </c>
      <c r="D10" s="245">
        <v>42907.06</v>
      </c>
      <c r="E10" s="244">
        <f t="shared" si="0"/>
        <v>7.7268251395641991</v>
      </c>
      <c r="F10" s="245">
        <v>6509.83</v>
      </c>
      <c r="G10" s="245">
        <v>1369.67</v>
      </c>
      <c r="H10" s="186">
        <f t="shared" si="1"/>
        <v>5140.16</v>
      </c>
      <c r="I10" s="186">
        <f t="shared" si="2"/>
        <v>48047.22</v>
      </c>
      <c r="K10" s="245">
        <v>11879.15</v>
      </c>
      <c r="L10" s="245">
        <v>2206.87</v>
      </c>
      <c r="M10" s="245">
        <v>872.17</v>
      </c>
      <c r="O10" s="247">
        <f t="shared" si="3"/>
        <v>4.0446681791205599</v>
      </c>
      <c r="P10" s="247">
        <f t="shared" si="4"/>
        <v>21.771658502766364</v>
      </c>
      <c r="Q10" s="247">
        <f t="shared" si="5"/>
        <v>49.195753121524476</v>
      </c>
    </row>
    <row r="11" spans="2:17" x14ac:dyDescent="0.3">
      <c r="B11" t="s">
        <v>306</v>
      </c>
      <c r="C11" s="245">
        <v>1789.5</v>
      </c>
      <c r="D11" s="245">
        <v>33564.85</v>
      </c>
      <c r="E11" s="244">
        <f t="shared" si="0"/>
        <v>18.756552109527799</v>
      </c>
      <c r="F11" s="245">
        <v>7406</v>
      </c>
      <c r="G11" s="245">
        <v>224</v>
      </c>
      <c r="H11" s="186">
        <f t="shared" si="1"/>
        <v>7182</v>
      </c>
      <c r="I11" s="186">
        <f t="shared" si="2"/>
        <v>40746.85</v>
      </c>
      <c r="K11" s="245">
        <v>14804</v>
      </c>
      <c r="L11" s="245">
        <v>3305</v>
      </c>
      <c r="M11" s="245">
        <v>1157</v>
      </c>
      <c r="O11" s="247">
        <f t="shared" si="3"/>
        <v>2.7524216427992432</v>
      </c>
      <c r="P11" s="247">
        <f t="shared" si="4"/>
        <v>12.328850226928894</v>
      </c>
      <c r="Q11" s="247">
        <f t="shared" si="5"/>
        <v>29.010242005185823</v>
      </c>
    </row>
    <row r="12" spans="2:17" x14ac:dyDescent="0.3">
      <c r="B12" t="s">
        <v>307</v>
      </c>
      <c r="C12" s="245">
        <v>1359</v>
      </c>
      <c r="D12" s="245">
        <v>25520.28</v>
      </c>
      <c r="E12" s="244">
        <f t="shared" si="0"/>
        <v>18.778719646799114</v>
      </c>
      <c r="F12" s="245">
        <v>428.61</v>
      </c>
      <c r="G12" s="245">
        <v>557.73</v>
      </c>
      <c r="H12" s="186">
        <f t="shared" si="1"/>
        <v>-129.12</v>
      </c>
      <c r="I12" s="186">
        <f t="shared" si="2"/>
        <v>25391.16</v>
      </c>
      <c r="K12" s="245">
        <v>25961.85</v>
      </c>
      <c r="L12" s="245">
        <v>3358.99</v>
      </c>
      <c r="M12" s="245">
        <v>2137.23</v>
      </c>
      <c r="O12" s="247">
        <f t="shared" si="3"/>
        <v>0.97801813044910135</v>
      </c>
      <c r="P12" s="247">
        <f t="shared" si="4"/>
        <v>7.5591651061777503</v>
      </c>
      <c r="Q12" s="247">
        <f t="shared" si="5"/>
        <v>11.94082059488216</v>
      </c>
    </row>
    <row r="14" spans="2:17" x14ac:dyDescent="0.3">
      <c r="B14" s="246" t="s">
        <v>308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8">
        <f>MAX(O7:O12)</f>
        <v>4.3369031015395247</v>
      </c>
      <c r="P14" s="248">
        <f t="shared" ref="P14:Q14" si="6">MAX(P7:P12)</f>
        <v>21.771658502766364</v>
      </c>
      <c r="Q14" s="248">
        <f t="shared" si="6"/>
        <v>51.069647615888734</v>
      </c>
    </row>
    <row r="15" spans="2:17" x14ac:dyDescent="0.3">
      <c r="B15" s="246" t="s">
        <v>309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8">
        <f>QUARTILE(O7:O12,3)</f>
        <v>3.7216065450402307</v>
      </c>
      <c r="P15" s="248">
        <f t="shared" ref="P15:Q15" si="7">QUARTILE(P7:P12,3)</f>
        <v>16.519630149773693</v>
      </c>
      <c r="Q15" s="248">
        <f t="shared" si="7"/>
        <v>44.149375342439811</v>
      </c>
    </row>
    <row r="16" spans="2:17" x14ac:dyDescent="0.3">
      <c r="B16" s="249" t="s">
        <v>310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50">
        <f>AVERAGE(O7:O12)</f>
        <v>2.8768713522498968</v>
      </c>
      <c r="P16" s="250">
        <f t="shared" ref="P16:Q16" si="8">AVERAGE(P7:P12)</f>
        <v>14.171089203060598</v>
      </c>
      <c r="Q16" s="250">
        <f t="shared" si="8"/>
        <v>30.207838840054052</v>
      </c>
    </row>
    <row r="17" spans="2:17" x14ac:dyDescent="0.3">
      <c r="B17" s="249" t="s">
        <v>275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50">
        <f>MEDIAN(O7:O12)</f>
        <v>2.7085260108147291</v>
      </c>
      <c r="P17" s="250">
        <f t="shared" ref="P17:Q17" si="9">MEDIAN(P7:P12)</f>
        <v>13.49078278991065</v>
      </c>
      <c r="Q17" s="250">
        <f t="shared" si="9"/>
        <v>24.903278724365791</v>
      </c>
    </row>
    <row r="18" spans="2:17" x14ac:dyDescent="0.3">
      <c r="B18" s="246" t="s">
        <v>311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8">
        <f>QUARTILE(O7:O12,1)</f>
        <v>2.5295976052781075</v>
      </c>
      <c r="P18" s="248">
        <f t="shared" ref="P18:Q18" si="10">QUARTILE(P7:P12,1)</f>
        <v>11.761370767380274</v>
      </c>
      <c r="Q18" s="248">
        <f t="shared" si="10"/>
        <v>19.624769555359464</v>
      </c>
    </row>
    <row r="19" spans="2:17" x14ac:dyDescent="0.3">
      <c r="B19" s="246" t="s">
        <v>312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8">
        <f>MIN(O7:O12)</f>
        <v>0.97801813044910135</v>
      </c>
      <c r="P19" s="248">
        <f t="shared" ref="P19:Q19" si="11">MIN(P7:P12)</f>
        <v>7.5591651061777503</v>
      </c>
      <c r="Q19" s="248">
        <f t="shared" si="11"/>
        <v>11.94082059488216</v>
      </c>
    </row>
    <row r="21" spans="2:17" x14ac:dyDescent="0.3">
      <c r="B21" s="228" t="s">
        <v>313</v>
      </c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4" t="s">
        <v>288</v>
      </c>
      <c r="P21" s="254" t="s">
        <v>289</v>
      </c>
      <c r="Q21" s="254" t="s">
        <v>290</v>
      </c>
    </row>
    <row r="22" spans="2:17" x14ac:dyDescent="0.3">
      <c r="B22" t="s">
        <v>314</v>
      </c>
      <c r="O22" s="27">
        <f>O16*K6</f>
        <v>254636.28500080731</v>
      </c>
      <c r="P22" s="27">
        <f>P16*L6</f>
        <v>249154.81497018316</v>
      </c>
      <c r="Q22" s="27">
        <f>Q24+Q23</f>
        <v>226287.50234266062</v>
      </c>
    </row>
    <row r="23" spans="2:17" x14ac:dyDescent="0.3">
      <c r="B23" t="s">
        <v>284</v>
      </c>
      <c r="O23" s="186">
        <f>H6</f>
        <v>22370.74</v>
      </c>
      <c r="P23" s="186">
        <f>O23</f>
        <v>22370.74</v>
      </c>
      <c r="Q23" s="186">
        <f>P23</f>
        <v>22370.74</v>
      </c>
    </row>
    <row r="24" spans="2:17" x14ac:dyDescent="0.3">
      <c r="B24" t="s">
        <v>315</v>
      </c>
      <c r="O24" s="27">
        <f>O22-O23</f>
        <v>232265.54500080732</v>
      </c>
      <c r="P24" s="27">
        <f>P22-P23</f>
        <v>226784.07497018317</v>
      </c>
      <c r="Q24" s="27">
        <f>Q17*M6</f>
        <v>203916.76234266063</v>
      </c>
    </row>
    <row r="25" spans="2:17" x14ac:dyDescent="0.3">
      <c r="B25" t="s">
        <v>316</v>
      </c>
      <c r="O25" s="244">
        <f>E6</f>
        <v>29.46791851333489</v>
      </c>
      <c r="P25" s="244">
        <f>O25</f>
        <v>29.46791851333489</v>
      </c>
      <c r="Q25" s="244">
        <f>P25</f>
        <v>29.46791851333489</v>
      </c>
    </row>
    <row r="26" spans="2:17" x14ac:dyDescent="0.3">
      <c r="B26" s="256" t="s">
        <v>317</v>
      </c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7">
        <f>O24/O25</f>
        <v>7881.9800216191716</v>
      </c>
      <c r="P26" s="257">
        <f>P24/P25</f>
        <v>7695.9651855816801</v>
      </c>
      <c r="Q26" s="257">
        <f>Q24/Q25</f>
        <v>6919.9581317690881</v>
      </c>
    </row>
  </sheetData>
  <mergeCells count="3">
    <mergeCell ref="C4:I4"/>
    <mergeCell ref="K4:M4"/>
    <mergeCell ref="O4:Q4"/>
  </mergeCells>
  <hyperlinks>
    <hyperlink ref="Q2" location="Comparative!A1" display="Comparative!A1" xr:uid="{B5087840-CF8A-470B-A5C2-C8ECB2DAE3A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99A0-9B9A-4C9A-969F-B4E33FDFF196}">
  <dimension ref="B2:J9"/>
  <sheetViews>
    <sheetView workbookViewId="0">
      <selection activeCell="J3" sqref="J3:J9"/>
    </sheetView>
  </sheetViews>
  <sheetFormatPr defaultRowHeight="14.4" x14ac:dyDescent="0.3"/>
  <cols>
    <col min="3" max="3" width="12.44140625" customWidth="1"/>
    <col min="4" max="10" width="13.77734375" customWidth="1"/>
  </cols>
  <sheetData>
    <row r="2" spans="2:10" ht="28.2" thickBot="1" x14ac:dyDescent="0.35">
      <c r="B2" s="230" t="s">
        <v>292</v>
      </c>
      <c r="C2" s="231" t="s">
        <v>293</v>
      </c>
      <c r="D2" s="232" t="s">
        <v>294</v>
      </c>
      <c r="E2" s="232" t="s">
        <v>295</v>
      </c>
      <c r="F2" s="232" t="s">
        <v>296</v>
      </c>
      <c r="G2" s="232" t="s">
        <v>297</v>
      </c>
      <c r="H2" s="232" t="s">
        <v>298</v>
      </c>
      <c r="I2" s="232" t="s">
        <v>299</v>
      </c>
      <c r="J2" s="232" t="s">
        <v>300</v>
      </c>
    </row>
    <row r="3" spans="2:10" x14ac:dyDescent="0.3">
      <c r="B3" s="233">
        <v>1</v>
      </c>
      <c r="C3" s="234" t="s">
        <v>301</v>
      </c>
      <c r="D3" s="235">
        <v>11574.9</v>
      </c>
      <c r="E3" s="235">
        <v>23755.09</v>
      </c>
      <c r="F3" s="235">
        <v>1384.35</v>
      </c>
      <c r="G3" s="235">
        <v>88511.53</v>
      </c>
      <c r="H3" s="235">
        <v>17581.91</v>
      </c>
      <c r="I3" s="235">
        <v>341088.21</v>
      </c>
      <c r="J3" s="235">
        <v>8188.35</v>
      </c>
    </row>
    <row r="4" spans="2:10" x14ac:dyDescent="0.3">
      <c r="B4" s="236">
        <v>2</v>
      </c>
      <c r="C4" s="237" t="s">
        <v>302</v>
      </c>
      <c r="D4" s="238">
        <v>3147.7</v>
      </c>
      <c r="E4" s="238">
        <v>227853.06</v>
      </c>
      <c r="F4" s="238">
        <v>6188.26</v>
      </c>
      <c r="G4" s="238">
        <v>175430.74</v>
      </c>
      <c r="H4" s="238">
        <v>37665.480000000003</v>
      </c>
      <c r="I4" s="238">
        <v>214208.08</v>
      </c>
      <c r="J4" s="238">
        <v>10300.290000000001</v>
      </c>
    </row>
    <row r="5" spans="2:10" x14ac:dyDescent="0.3">
      <c r="B5" s="239">
        <v>3</v>
      </c>
      <c r="C5" s="234" t="s">
        <v>303</v>
      </c>
      <c r="D5" s="240">
        <v>436.35</v>
      </c>
      <c r="E5" s="240">
        <v>865.93</v>
      </c>
      <c r="F5" s="240">
        <v>958.6</v>
      </c>
      <c r="G5" s="240">
        <v>40655.68</v>
      </c>
      <c r="H5" s="240">
        <v>7393.33</v>
      </c>
      <c r="I5" s="240">
        <v>108425.03</v>
      </c>
      <c r="J5" s="240">
        <v>5637.08</v>
      </c>
    </row>
    <row r="6" spans="2:10" x14ac:dyDescent="0.3">
      <c r="B6" s="236">
        <v>4</v>
      </c>
      <c r="C6" s="237" t="s">
        <v>304</v>
      </c>
      <c r="D6" s="238">
        <v>24751</v>
      </c>
      <c r="E6" s="238">
        <v>1868.14</v>
      </c>
      <c r="F6" s="238">
        <v>341.79</v>
      </c>
      <c r="G6" s="238">
        <v>20943.47</v>
      </c>
      <c r="H6" s="238">
        <v>5298.69</v>
      </c>
      <c r="I6" s="238">
        <v>89303.45</v>
      </c>
      <c r="J6" s="238">
        <v>1748.66</v>
      </c>
    </row>
    <row r="7" spans="2:10" x14ac:dyDescent="0.3">
      <c r="B7" s="239">
        <v>5</v>
      </c>
      <c r="C7" s="234" t="s">
        <v>305</v>
      </c>
      <c r="D7" s="240">
        <v>5553</v>
      </c>
      <c r="E7" s="240">
        <v>6509.83</v>
      </c>
      <c r="F7" s="240">
        <v>1369.67</v>
      </c>
      <c r="G7" s="240">
        <v>11879.15</v>
      </c>
      <c r="H7" s="240">
        <v>2206.87</v>
      </c>
      <c r="I7" s="240">
        <v>42907.06</v>
      </c>
      <c r="J7" s="240">
        <v>872.17</v>
      </c>
    </row>
    <row r="8" spans="2:10" ht="15" thickBot="1" x14ac:dyDescent="0.35">
      <c r="B8" s="236">
        <v>6</v>
      </c>
      <c r="C8" s="237" t="s">
        <v>306</v>
      </c>
      <c r="D8" s="238">
        <v>1789.5</v>
      </c>
      <c r="E8" s="238">
        <v>7406</v>
      </c>
      <c r="F8" s="238">
        <v>224</v>
      </c>
      <c r="G8" s="238">
        <v>14804</v>
      </c>
      <c r="H8" s="238">
        <v>3305</v>
      </c>
      <c r="I8" s="238">
        <v>33564.85</v>
      </c>
      <c r="J8" s="238">
        <v>1157</v>
      </c>
    </row>
    <row r="9" spans="2:10" ht="15" thickBot="1" x14ac:dyDescent="0.35">
      <c r="B9" s="241">
        <v>7</v>
      </c>
      <c r="C9" s="242" t="s">
        <v>307</v>
      </c>
      <c r="D9" s="243">
        <v>1359</v>
      </c>
      <c r="E9" s="243">
        <v>428.61</v>
      </c>
      <c r="F9" s="243">
        <v>557.73</v>
      </c>
      <c r="G9" s="243">
        <v>25961.85</v>
      </c>
      <c r="H9" s="243">
        <v>3358.99</v>
      </c>
      <c r="I9" s="243">
        <v>25520.28</v>
      </c>
      <c r="J9" s="243">
        <v>2137.23</v>
      </c>
    </row>
  </sheetData>
  <hyperlinks>
    <hyperlink ref="C3" r:id="rId1" display="https://www.screener.in/company/ULTRACEMCO/consolidated/" xr:uid="{A19DC685-B078-4EF0-A1C3-9755DC0247C8}"/>
    <hyperlink ref="C4" r:id="rId2" display="https://www.screener.in/company/GRASIM/consolidated/" xr:uid="{116A76D0-7B4E-40FB-9328-6B916BF718FF}"/>
    <hyperlink ref="C5" r:id="rId3" display="https://www.screener.in/company/AMBUJACEM/consolidated/" xr:uid="{9DCEB3F7-AE8F-48FA-8CC8-7B9B41438802}"/>
    <hyperlink ref="C6" r:id="rId4" display="https://www.screener.in/company/SHREECEM/consolidated/" xr:uid="{08A0E1B7-48D1-4A0A-AD3C-944D12530DE1}"/>
    <hyperlink ref="C7" r:id="rId5" display="https://www.screener.in/company/JKCEMENT/consolidated/" xr:uid="{5AF08A63-AD15-4868-BAD5-337B4BFC1FD3}"/>
    <hyperlink ref="C8" r:id="rId6" display="https://www.screener.in/company/DALBHARAT/consolidated/" xr:uid="{A7ECEE5D-74E7-421F-A47C-2E3588A5E32C}"/>
    <hyperlink ref="C9" r:id="rId7" display="https://www.screener.in/company/ACC/consolidated/" xr:uid="{C886DE20-7A28-47D5-8B09-673D1E3A13D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0F6B-FD11-444F-B263-D5DDF60F20F8}">
  <dimension ref="A1:O35"/>
  <sheetViews>
    <sheetView showGridLines="0" workbookViewId="0">
      <selection activeCell="I2" sqref="I2"/>
    </sheetView>
  </sheetViews>
  <sheetFormatPr defaultColWidth="0" defaultRowHeight="14.4" x14ac:dyDescent="0.3"/>
  <cols>
    <col min="1" max="1" width="1.88671875" customWidth="1"/>
    <col min="2" max="2" width="27.6640625" customWidth="1"/>
    <col min="3" max="12" width="11.77734375" customWidth="1"/>
    <col min="13" max="13" width="20.44140625" customWidth="1"/>
    <col min="14" max="15" width="13.5546875" customWidth="1"/>
    <col min="16" max="16384" width="8.88671875" hidden="1"/>
  </cols>
  <sheetData>
    <row r="1" spans="2:15" x14ac:dyDescent="0.3">
      <c r="O1" s="258" t="s">
        <v>238</v>
      </c>
    </row>
    <row r="2" spans="2:15" ht="25.8" x14ac:dyDescent="0.5">
      <c r="B2" s="31" t="s">
        <v>233</v>
      </c>
    </row>
    <row r="3" spans="2:15" x14ac:dyDescent="0.3">
      <c r="B3" s="33" t="s">
        <v>233</v>
      </c>
      <c r="C3" s="34">
        <v>2020</v>
      </c>
      <c r="D3" s="34">
        <v>2021</v>
      </c>
      <c r="E3" s="34">
        <v>2022</v>
      </c>
      <c r="F3" s="34">
        <v>2023</v>
      </c>
      <c r="G3" s="38">
        <v>2024</v>
      </c>
      <c r="H3" s="35">
        <v>2025</v>
      </c>
      <c r="I3" s="35">
        <v>2026</v>
      </c>
      <c r="J3" s="35">
        <v>2027</v>
      </c>
      <c r="K3" s="35">
        <v>2028</v>
      </c>
      <c r="L3" s="35">
        <v>2029</v>
      </c>
      <c r="M3" s="200" t="s">
        <v>273</v>
      </c>
      <c r="N3" s="200" t="s">
        <v>274</v>
      </c>
      <c r="O3" s="200" t="s">
        <v>275</v>
      </c>
    </row>
    <row r="4" spans="2:15" x14ac:dyDescent="0.3">
      <c r="B4" s="198" t="s">
        <v>247</v>
      </c>
      <c r="C4" s="95" t="s">
        <v>124</v>
      </c>
      <c r="D4" s="205">
        <f>'P&amp;L'!D5/'P&amp;L'!C5-1</f>
        <v>5.4110675281034304E-2</v>
      </c>
      <c r="E4" s="205">
        <f>'P&amp;L'!E5/'P&amp;L'!D5-1</f>
        <v>0.17602882452633595</v>
      </c>
      <c r="F4" s="205">
        <f>'P&amp;L'!F5/'P&amp;L'!E5-1</f>
        <v>0.20230773194004503</v>
      </c>
      <c r="G4" s="205">
        <f>'P&amp;L'!G5/'P&amp;L'!F5-1</f>
        <v>0.12125494030833028</v>
      </c>
      <c r="H4" s="210">
        <f>'P&amp;L'!H5/'P&amp;L'!G5-1</f>
        <v>0.16700000000000004</v>
      </c>
      <c r="I4" s="211">
        <f>'P&amp;L'!I5/'P&amp;L'!H5-1</f>
        <v>0.16700000000000004</v>
      </c>
      <c r="J4" s="211">
        <f>'P&amp;L'!J5/'P&amp;L'!I5-1</f>
        <v>0.15700000000000003</v>
      </c>
      <c r="K4" s="211">
        <f>'P&amp;L'!K5/'P&amp;L'!J5-1</f>
        <v>0.14700000000000002</v>
      </c>
      <c r="L4" s="211">
        <f>'P&amp;L'!L5/'P&amp;L'!K5-1</f>
        <v>0.13700000000000001</v>
      </c>
      <c r="N4" s="223">
        <f>AVERAGE(C4:L4)</f>
        <v>0.14763357467286065</v>
      </c>
      <c r="O4" s="223">
        <f>MEDIAN(C4:L4)</f>
        <v>0.15700000000000003</v>
      </c>
    </row>
    <row r="5" spans="2:15" x14ac:dyDescent="0.3">
      <c r="B5" s="199" t="s">
        <v>248</v>
      </c>
      <c r="C5" s="95" t="s">
        <v>124</v>
      </c>
      <c r="D5" s="205">
        <f>'P&amp;L'!D13/'P&amp;L'!C13-1</f>
        <v>0.2313219218290743</v>
      </c>
      <c r="E5" s="205">
        <f>'P&amp;L'!E13/'P&amp;L'!D13-1</f>
        <v>-2.1745498886893699E-4</v>
      </c>
      <c r="F5" s="205">
        <f>'P&amp;L'!F13/'P&amp;L'!E13-1</f>
        <v>-8.6739911587371932E-2</v>
      </c>
      <c r="G5" s="205">
        <f>'P&amp;L'!G13/'P&amp;L'!F13-1</f>
        <v>0.2164616391179619</v>
      </c>
      <c r="H5" s="210">
        <f>'P&amp;L'!H13/'P&amp;L'!G13-1</f>
        <v>0.37949786350543357</v>
      </c>
      <c r="I5" s="211">
        <f>'P&amp;L'!I13/'P&amp;L'!H13-1</f>
        <v>0.16875827289471301</v>
      </c>
      <c r="J5" s="211">
        <f>'P&amp;L'!J13/'P&amp;L'!I13-1</f>
        <v>0.14506358563940691</v>
      </c>
      <c r="K5" s="211">
        <f>'P&amp;L'!K13/'P&amp;L'!J13-1</f>
        <v>0.12010873593354021</v>
      </c>
      <c r="L5" s="211">
        <f>'P&amp;L'!L13/'P&amp;L'!K13-1</f>
        <v>9.5248713805761831E-2</v>
      </c>
      <c r="N5" s="223">
        <f t="shared" ref="N5:N35" si="0">AVERAGE(C5:L5)</f>
        <v>0.14105592957218344</v>
      </c>
      <c r="O5" s="223">
        <f t="shared" ref="O5:O35" si="1">MEDIAN(C5:L5)</f>
        <v>0.14506358563940691</v>
      </c>
    </row>
    <row r="6" spans="2:15" x14ac:dyDescent="0.3">
      <c r="B6" s="199" t="s">
        <v>249</v>
      </c>
      <c r="C6" s="95" t="s">
        <v>124</v>
      </c>
      <c r="D6" s="205">
        <f>'P&amp;L'!D15/'P&amp;L'!C15-1</f>
        <v>0.32223456554373442</v>
      </c>
      <c r="E6" s="205">
        <f>'P&amp;L'!E15/'P&amp;L'!D15-1</f>
        <v>-1.8099976808418905E-3</v>
      </c>
      <c r="F6" s="205">
        <f>'P&amp;L'!F15/'P&amp;L'!E15-1</f>
        <v>-0.12990348536228002</v>
      </c>
      <c r="G6" s="205">
        <f>'P&amp;L'!G15/'P&amp;L'!F15-1</f>
        <v>0.26110666745964561</v>
      </c>
      <c r="H6" s="210">
        <f>'P&amp;L'!H15/'P&amp;L'!G15-1</f>
        <v>0.45916099757424145</v>
      </c>
      <c r="I6" s="211">
        <f>'P&amp;L'!I15/'P&amp;L'!H15-1</f>
        <v>0.19330273253969255</v>
      </c>
      <c r="J6" s="211">
        <f>'P&amp;L'!J15/'P&amp;L'!I15-1</f>
        <v>0.15748368765753917</v>
      </c>
      <c r="K6" s="211">
        <f>'P&amp;L'!K15/'P&amp;L'!J15-1</f>
        <v>0.1260661750365446</v>
      </c>
      <c r="L6" s="211">
        <f>'P&amp;L'!L15/'P&amp;L'!K15-1</f>
        <v>9.6780124866197914E-2</v>
      </c>
      <c r="N6" s="223">
        <f t="shared" si="0"/>
        <v>0.16493571862605264</v>
      </c>
      <c r="O6" s="223">
        <f t="shared" si="1"/>
        <v>0.15748368765753917</v>
      </c>
    </row>
    <row r="7" spans="2:15" x14ac:dyDescent="0.3">
      <c r="B7" s="199" t="s">
        <v>250</v>
      </c>
      <c r="C7" s="95" t="s">
        <v>124</v>
      </c>
      <c r="D7" s="205">
        <f>'P&amp;L'!D19/'P&amp;L'!C19-1</f>
        <v>-5.0258395236902564E-2</v>
      </c>
      <c r="E7" s="205">
        <f>'P&amp;L'!E19/'P&amp;L'!D19-1</f>
        <v>0.34281607880113829</v>
      </c>
      <c r="F7" s="205">
        <f>'P&amp;L'!F19/'P&amp;L'!E19-1</f>
        <v>-0.30826013803710128</v>
      </c>
      <c r="G7" s="205">
        <f>'P&amp;L'!G19/'P&amp;L'!F19-1</f>
        <v>0.38052588008041854</v>
      </c>
      <c r="H7" s="210">
        <f>'P&amp;L'!H19/'P&amp;L'!G19-1</f>
        <v>0.52642762301095125</v>
      </c>
      <c r="I7" s="211">
        <f>'P&amp;L'!I19/'P&amp;L'!H19-1</f>
        <v>0.20520301475651248</v>
      </c>
      <c r="J7" s="211">
        <f>'P&amp;L'!J19/'P&amp;L'!I19-1</f>
        <v>0.1659365149170513</v>
      </c>
      <c r="K7" s="211">
        <f>'P&amp;L'!K19/'P&amp;L'!J19-1</f>
        <v>0.13214073167485707</v>
      </c>
      <c r="L7" s="211">
        <f>'P&amp;L'!L19/'P&amp;L'!K19-1</f>
        <v>9.9878055750683092E-2</v>
      </c>
      <c r="N7" s="223">
        <f t="shared" si="0"/>
        <v>0.16604548507973427</v>
      </c>
      <c r="O7" s="223">
        <f t="shared" si="1"/>
        <v>0.1659365149170513</v>
      </c>
    </row>
    <row r="8" spans="2:15" x14ac:dyDescent="0.3">
      <c r="B8" s="201"/>
      <c r="C8" s="203"/>
      <c r="D8" s="203"/>
      <c r="E8" s="203"/>
      <c r="F8" s="203"/>
      <c r="G8" s="203"/>
      <c r="H8" s="212"/>
      <c r="I8" s="204"/>
      <c r="J8" s="204"/>
      <c r="K8" s="204"/>
      <c r="L8" s="204"/>
      <c r="N8" s="223"/>
      <c r="O8" s="223"/>
    </row>
    <row r="9" spans="2:15" x14ac:dyDescent="0.3">
      <c r="B9" s="199" t="s">
        <v>251</v>
      </c>
      <c r="C9" s="205">
        <f>'P&amp;L'!C7/'P&amp;L'!C5</f>
        <v>0.77465508395143134</v>
      </c>
      <c r="D9" s="205">
        <f>'P&amp;L'!D7/'P&amp;L'!D5</f>
        <v>0.77299030984353545</v>
      </c>
      <c r="E9" s="205">
        <f>'P&amp;L'!E7/'P&amp;L'!E5</f>
        <v>0.77462122256331556</v>
      </c>
      <c r="F9" s="205">
        <f>'P&amp;L'!F7/'P&amp;L'!F5</f>
        <v>0.77768335790112531</v>
      </c>
      <c r="G9" s="205">
        <f>'P&amp;L'!G7/'P&amp;L'!G5</f>
        <v>0.76305837383409014</v>
      </c>
      <c r="H9" s="210">
        <f>'P&amp;L'!H7/'P&amp;L'!H5</f>
        <v>0.77260166961869958</v>
      </c>
      <c r="I9" s="211">
        <f>'P&amp;L'!I7/'P&amp;L'!I5</f>
        <v>0.77260166961869958</v>
      </c>
      <c r="J9" s="211">
        <f>'P&amp;L'!J7/'P&amp;L'!J5</f>
        <v>0.77260166961869947</v>
      </c>
      <c r="K9" s="211">
        <f>'P&amp;L'!K7/'P&amp;L'!K5</f>
        <v>0.77260166961869947</v>
      </c>
      <c r="L9" s="211">
        <f>'P&amp;L'!L7/'P&amp;L'!L5</f>
        <v>0.77260166961869958</v>
      </c>
      <c r="N9" s="223">
        <f t="shared" si="0"/>
        <v>0.77260166961869969</v>
      </c>
      <c r="O9" s="223">
        <f t="shared" si="1"/>
        <v>0.77260166961869958</v>
      </c>
    </row>
    <row r="10" spans="2:15" x14ac:dyDescent="0.3">
      <c r="B10" s="199" t="s">
        <v>252</v>
      </c>
      <c r="C10" s="205">
        <f>'P&amp;L'!C13/'P&amp;L'!C5</f>
        <v>0.2332560843311165</v>
      </c>
      <c r="D10" s="205">
        <f>'P&amp;L'!D13/'P&amp;L'!D5</f>
        <v>0.27246980490007999</v>
      </c>
      <c r="E10" s="205">
        <f>'P&amp;L'!E13/'P&amp;L'!E5</f>
        <v>0.23163595083768967</v>
      </c>
      <c r="F10" s="205">
        <f>'P&amp;L'!F13/'P&amp;L'!F5</f>
        <v>0.17594818973693549</v>
      </c>
      <c r="G10" s="205">
        <f>'P&amp;L'!G13/'P&amp;L'!G5</f>
        <v>0.19088809831988265</v>
      </c>
      <c r="H10" s="210">
        <f>'P&amp;L'!H13/'P&amp;L'!H5</f>
        <v>0.22564672133752639</v>
      </c>
      <c r="I10" s="211">
        <f>'P&amp;L'!I13/'P&amp;L'!I5</f>
        <v>0.22598669435715674</v>
      </c>
      <c r="J10" s="211">
        <f>'P&amp;L'!J13/'P&amp;L'!J5</f>
        <v>0.22365525890008867</v>
      </c>
      <c r="K10" s="211">
        <f>'P&amp;L'!K13/'P&amp;L'!K5</f>
        <v>0.21841169078593459</v>
      </c>
      <c r="L10" s="211">
        <f>'P&amp;L'!L13/'P&amp;L'!L5</f>
        <v>0.21039148936977711</v>
      </c>
      <c r="N10" s="223">
        <f t="shared" si="0"/>
        <v>0.22082899828761876</v>
      </c>
      <c r="O10" s="223">
        <f t="shared" si="1"/>
        <v>0.22465099011880751</v>
      </c>
    </row>
    <row r="11" spans="2:15" x14ac:dyDescent="0.3">
      <c r="B11" s="199" t="s">
        <v>253</v>
      </c>
      <c r="C11" s="205">
        <f>'P&amp;L'!C15/'P&amp;L'!C5</f>
        <v>0.1690876408117013</v>
      </c>
      <c r="D11" s="205">
        <f>'P&amp;L'!D15/'P&amp;L'!D5</f>
        <v>0.21209682107418981</v>
      </c>
      <c r="E11" s="205">
        <f>'P&amp;L'!E15/'P&amp;L'!E5</f>
        <v>0.18002358607596397</v>
      </c>
      <c r="F11" s="205">
        <f>'P&amp;L'!F15/'P&amp;L'!F5</f>
        <v>0.13028103424447646</v>
      </c>
      <c r="G11" s="205">
        <f>'P&amp;L'!G15/'P&amp;L'!G5</f>
        <v>0.14653070860411802</v>
      </c>
      <c r="H11" s="210">
        <f>'P&amp;L'!H15/'P&amp;L'!H5</f>
        <v>0.18321499138135847</v>
      </c>
      <c r="I11" s="211">
        <f>'P&amp;L'!I15/'P&amp;L'!I5</f>
        <v>0.18734443004079801</v>
      </c>
      <c r="J11" s="211">
        <f>'P&amp;L'!J15/'P&amp;L'!J5</f>
        <v>0.18742274999630315</v>
      </c>
      <c r="K11" s="211">
        <f>'P&amp;L'!K15/'P&amp;L'!K5</f>
        <v>0.18400210915707729</v>
      </c>
      <c r="L11" s="211">
        <f>'P&amp;L'!L15/'P&amp;L'!L5</f>
        <v>0.17749327727083819</v>
      </c>
      <c r="N11" s="223">
        <f t="shared" si="0"/>
        <v>0.17574973486568246</v>
      </c>
      <c r="O11" s="223">
        <f t="shared" si="1"/>
        <v>0.18161928872866123</v>
      </c>
    </row>
    <row r="12" spans="2:15" x14ac:dyDescent="0.3">
      <c r="B12" s="199" t="s">
        <v>254</v>
      </c>
      <c r="C12" s="205">
        <f>'P&amp;L'!C17/'P&amp;L'!C5</f>
        <v>0.12214785378892092</v>
      </c>
      <c r="D12" s="205">
        <f>'P&amp;L'!D17/'P&amp;L'!D5</f>
        <v>0.17887997531626038</v>
      </c>
      <c r="E12" s="205">
        <f>'P&amp;L'!E17/'P&amp;L'!E5</f>
        <v>0.16206292041096723</v>
      </c>
      <c r="F12" s="205">
        <f>'P&amp;L'!F17/'P&amp;L'!F5</f>
        <v>0.11727154246411853</v>
      </c>
      <c r="G12" s="205">
        <f>'P&amp;L'!G17/'P&amp;L'!G5</f>
        <v>0.13287924348318833</v>
      </c>
      <c r="H12" s="210">
        <f>'P&amp;L'!H17/'P&amp;L'!H5</f>
        <v>0.17226286298482124</v>
      </c>
      <c r="I12" s="211">
        <f>'P&amp;L'!I17/'P&amp;L'!I5</f>
        <v>0.17790207523555662</v>
      </c>
      <c r="J12" s="211">
        <f>'P&amp;L'!J17/'P&amp;L'!J5</f>
        <v>0.17927616732640964</v>
      </c>
      <c r="K12" s="211">
        <f>'P&amp;L'!K17/'P&amp;L'!K5</f>
        <v>0.17695366281498301</v>
      </c>
      <c r="L12" s="211">
        <f>'P&amp;L'!L17/'P&amp;L'!L5</f>
        <v>0.17117629781434074</v>
      </c>
      <c r="N12" s="223">
        <f t="shared" si="0"/>
        <v>0.15908126016395668</v>
      </c>
      <c r="O12" s="223">
        <f t="shared" si="1"/>
        <v>0.17171958039958099</v>
      </c>
    </row>
    <row r="13" spans="2:15" x14ac:dyDescent="0.3">
      <c r="B13" s="199" t="s">
        <v>255</v>
      </c>
      <c r="C13" s="205">
        <f>'P&amp;L'!C19/'P&amp;L'!C5</f>
        <v>0.13553841407554904</v>
      </c>
      <c r="D13" s="205">
        <f>'P&amp;L'!D19/'P&amp;L'!D5</f>
        <v>0.12211855349708667</v>
      </c>
      <c r="E13" s="205">
        <f>'P&amp;L'!E19/'P&amp;L'!E5</f>
        <v>0.13943770232151545</v>
      </c>
      <c r="F13" s="205">
        <f>'P&amp;L'!F19/'P&amp;L'!F5</f>
        <v>8.0224566800938368E-2</v>
      </c>
      <c r="G13" s="205">
        <f>'P&amp;L'!G19/'P&amp;L'!G5</f>
        <v>9.8775119471474007E-2</v>
      </c>
      <c r="H13" s="210">
        <f>'P&amp;L'!H19/'P&amp;L'!H5</f>
        <v>0.12919714723861594</v>
      </c>
      <c r="I13" s="211">
        <f>'P&amp;L'!I19/'P&amp;L'!I5</f>
        <v>0.13342655642666748</v>
      </c>
      <c r="J13" s="211">
        <f>'P&amp;L'!J19/'P&amp;L'!J5</f>
        <v>0.13445712549480723</v>
      </c>
      <c r="K13" s="211">
        <f>'P&amp;L'!K19/'P&amp;L'!K5</f>
        <v>0.13271524711123725</v>
      </c>
      <c r="L13" s="211">
        <f>'P&amp;L'!L19/'P&amp;L'!L5</f>
        <v>0.12838222336075555</v>
      </c>
      <c r="N13" s="223">
        <f t="shared" si="0"/>
        <v>0.12342726557986468</v>
      </c>
      <c r="O13" s="223">
        <f t="shared" si="1"/>
        <v>0.1309561971749266</v>
      </c>
    </row>
    <row r="14" spans="2:15" x14ac:dyDescent="0.3">
      <c r="B14" s="201"/>
      <c r="C14" s="203"/>
      <c r="D14" s="203"/>
      <c r="E14" s="203"/>
      <c r="F14" s="203"/>
      <c r="G14" s="203"/>
      <c r="H14" s="212"/>
      <c r="I14" s="204"/>
      <c r="J14" s="204"/>
      <c r="K14" s="204"/>
      <c r="L14" s="204"/>
      <c r="N14" s="223"/>
      <c r="O14" s="223"/>
    </row>
    <row r="15" spans="2:15" x14ac:dyDescent="0.3">
      <c r="B15" s="199" t="s">
        <v>256</v>
      </c>
      <c r="C15" s="205">
        <f>'P&amp;L'!C19/'Balance Sheet'!C19</f>
        <v>7.2597455059583885E-2</v>
      </c>
      <c r="D15" s="205">
        <f>'P&amp;L'!D19/'Balance Sheet'!D19</f>
        <v>6.3380175454883017E-2</v>
      </c>
      <c r="E15" s="205">
        <f>'P&amp;L'!E19/'Balance Sheet'!E19</f>
        <v>8.7507427248756126E-2</v>
      </c>
      <c r="F15" s="205">
        <f>'P&amp;L'!F19/'Balance Sheet'!F19</f>
        <v>5.5520414974994332E-2</v>
      </c>
      <c r="G15" s="205">
        <f>'P&amp;L'!G19/'Balance Sheet'!G19</f>
        <v>6.9485798188438197E-2</v>
      </c>
      <c r="H15" s="210">
        <f>'P&amp;L'!H19/'Balance Sheet'!H19</f>
        <v>9.7426113425233607E-2</v>
      </c>
      <c r="I15" s="211">
        <f>'P&amp;L'!I19/'Balance Sheet'!I19</f>
        <v>0.10595893945480257</v>
      </c>
      <c r="J15" s="211">
        <f>'P&amp;L'!J19/'Balance Sheet'!J19</f>
        <v>0.11169241793231868</v>
      </c>
      <c r="K15" s="211">
        <f>'P&amp;L'!K19/'Balance Sheet'!K19</f>
        <v>0.11388078685268824</v>
      </c>
      <c r="L15" s="211">
        <f>'P&amp;L'!L19/'Balance Sheet'!L19</f>
        <v>0.11274048647282262</v>
      </c>
      <c r="N15" s="223">
        <f t="shared" si="0"/>
        <v>8.9019001506452117E-2</v>
      </c>
      <c r="O15" s="223">
        <f t="shared" si="1"/>
        <v>9.2466770336994866E-2</v>
      </c>
    </row>
    <row r="16" spans="2:15" x14ac:dyDescent="0.3">
      <c r="B16" s="199" t="s">
        <v>257</v>
      </c>
      <c r="C16" s="205">
        <f>'P&amp;L'!C19/'Balance Sheet'!C36</f>
        <v>0.14725457059456132</v>
      </c>
      <c r="D16" s="205">
        <f>'P&amp;L'!D19/'Balance Sheet'!D36</f>
        <v>0.1236244086824653</v>
      </c>
      <c r="E16" s="205">
        <f>'P&amp;L'!E19/'Balance Sheet'!E36</f>
        <v>0.14542581246406117</v>
      </c>
      <c r="F16" s="205">
        <f>'P&amp;L'!F19/'Balance Sheet'!F36</f>
        <v>9.3295329165134361E-2</v>
      </c>
      <c r="G16" s="205">
        <f>'P&amp;L'!G19/'Balance Sheet'!G36</f>
        <v>0.11618273505407745</v>
      </c>
      <c r="H16" s="210">
        <f>'P&amp;L'!H19/'Balance Sheet'!H36</f>
        <v>0.15561110551345472</v>
      </c>
      <c r="I16" s="211">
        <f>'P&amp;L'!I19/'Balance Sheet'!I36</f>
        <v>0.16352121117201279</v>
      </c>
      <c r="J16" s="211">
        <f>'P&amp;L'!J19/'Balance Sheet'!J36</f>
        <v>0.16634542628003907</v>
      </c>
      <c r="K16" s="211">
        <f>'P&amp;L'!K19/'Balance Sheet'!K36</f>
        <v>0.16468666397211917</v>
      </c>
      <c r="L16" s="211">
        <f>'P&amp;L'!L19/'Balance Sheet'!L36</f>
        <v>0.15884037998046743</v>
      </c>
      <c r="N16" s="223">
        <f t="shared" si="0"/>
        <v>0.14347876428783929</v>
      </c>
      <c r="O16" s="223">
        <f t="shared" si="1"/>
        <v>0.15143283805400803</v>
      </c>
    </row>
    <row r="17" spans="2:15" x14ac:dyDescent="0.3">
      <c r="B17" s="199" t="s">
        <v>258</v>
      </c>
      <c r="C17" s="205">
        <f>'P&amp;L'!C15/('Balance Sheet'!C36+'Balance Sheet'!C27)</f>
        <v>0.12715554216440392</v>
      </c>
      <c r="D17" s="205">
        <f>'P&amp;L'!D15/('Balance Sheet'!D36+'Balance Sheet'!D27)</f>
        <v>0.16432295726584556</v>
      </c>
      <c r="E17" s="205">
        <f>'P&amp;L'!E15/('Balance Sheet'!E36+'Balance Sheet'!E27)</f>
        <v>0.16989073489306727</v>
      </c>
      <c r="F17" s="205">
        <f>'P&amp;L'!F15/('Balance Sheet'!F36+'Balance Sheet'!F27)</f>
        <v>0.13792302798982201</v>
      </c>
      <c r="G17" s="205">
        <f>'P&amp;L'!G15/('Balance Sheet'!G36+'Balance Sheet'!G27)</f>
        <v>0.15840681790462258</v>
      </c>
      <c r="H17" s="210">
        <f>'P&amp;L'!H15/('Balance Sheet'!H36+'Balance Sheet'!H27)</f>
        <v>0.20480674616308447</v>
      </c>
      <c r="I17" s="211">
        <f>'P&amp;L'!I15/('Balance Sheet'!I36+'Balance Sheet'!I27)</f>
        <v>0.21505669129047494</v>
      </c>
      <c r="J17" s="211">
        <f>'P&amp;L'!J15/('Balance Sheet'!J36+'Balance Sheet'!J27)</f>
        <v>0.2189741456010848</v>
      </c>
      <c r="K17" s="211">
        <f>'P&amp;L'!K15/('Balance Sheet'!K36+'Balance Sheet'!K27)</f>
        <v>0.21713581208815139</v>
      </c>
      <c r="L17" s="211">
        <f>'P&amp;L'!L15/('Balance Sheet'!L36+'Balance Sheet'!L27)</f>
        <v>0.21010472050075141</v>
      </c>
      <c r="N17" s="223">
        <f t="shared" si="0"/>
        <v>0.18237771958613086</v>
      </c>
      <c r="O17" s="223">
        <f t="shared" si="1"/>
        <v>0.18734874052807587</v>
      </c>
    </row>
    <row r="18" spans="2:15" x14ac:dyDescent="0.3">
      <c r="B18" s="201"/>
      <c r="C18" s="203"/>
      <c r="D18" s="203"/>
      <c r="E18" s="203"/>
      <c r="F18" s="203"/>
      <c r="G18" s="203"/>
      <c r="H18" s="212"/>
      <c r="I18" s="204"/>
      <c r="J18" s="204"/>
      <c r="K18" s="204"/>
      <c r="L18" s="204"/>
      <c r="N18" s="223"/>
      <c r="O18" s="223"/>
    </row>
    <row r="19" spans="2:15" x14ac:dyDescent="0.3">
      <c r="B19" s="199" t="s">
        <v>259</v>
      </c>
      <c r="C19" s="206">
        <f>'Balance Sheet'!C27/'Balance Sheet'!C36</f>
        <v>0.44471757054335026</v>
      </c>
      <c r="D19" s="206">
        <f>'Balance Sheet'!D27/'Balance Sheet'!D36</f>
        <v>0.30664765396890065</v>
      </c>
      <c r="E19" s="206">
        <f>'Balance Sheet'!E27/'Balance Sheet'!E36</f>
        <v>0.10514940614280333</v>
      </c>
      <c r="F19" s="206">
        <f>'Balance Sheet'!F27/'Balance Sheet'!F36</f>
        <v>9.8492092681132765E-2</v>
      </c>
      <c r="G19" s="206">
        <f>'Balance Sheet'!G27/'Balance Sheet'!G36</f>
        <v>8.8049897153473555E-2</v>
      </c>
      <c r="H19" s="213">
        <f>'Balance Sheet'!H27/'Balance Sheet'!H36</f>
        <v>7.7468078664637466E-2</v>
      </c>
      <c r="I19" s="214">
        <f>'Balance Sheet'!I27/'Balance Sheet'!I36</f>
        <v>6.762723349412153E-2</v>
      </c>
      <c r="J19" s="214">
        <f>'Balance Sheet'!J27/'Balance Sheet'!J36</f>
        <v>5.8903801106546742E-2</v>
      </c>
      <c r="K19" s="214">
        <f>'Balance Sheet'!K27/'Balance Sheet'!K36</f>
        <v>5.1547647378244764E-2</v>
      </c>
      <c r="L19" s="214">
        <f>'Balance Sheet'!L27/'Balance Sheet'!L36</f>
        <v>4.520655100546047E-2</v>
      </c>
      <c r="N19" s="224">
        <f t="shared" si="0"/>
        <v>0.13438099321386715</v>
      </c>
      <c r="O19" s="224">
        <f t="shared" si="1"/>
        <v>8.2758987909055504E-2</v>
      </c>
    </row>
    <row r="20" spans="2:15" x14ac:dyDescent="0.3">
      <c r="B20" s="199" t="s">
        <v>260</v>
      </c>
      <c r="C20" s="206">
        <f>'P&amp;L'!C15/'P&amp;L'!C16</f>
        <v>3.6022242863957006</v>
      </c>
      <c r="D20" s="206">
        <f>'P&amp;L'!D15/'P&amp;L'!D16</f>
        <v>6.3852185911890409</v>
      </c>
      <c r="E20" s="206">
        <f>'P&amp;L'!E15/'P&amp;L'!E16</f>
        <v>10.023213472917611</v>
      </c>
      <c r="F20" s="206">
        <f>'P&amp;L'!F15/'P&amp;L'!F16</f>
        <v>10.014306203811755</v>
      </c>
      <c r="G20" s="206">
        <f>'P&amp;L'!G15/'P&amp;L'!G16</f>
        <v>10.733698347107444</v>
      </c>
      <c r="H20" s="213">
        <f>'P&amp;L'!H15/'P&amp;L'!H16</f>
        <v>16.728711054856348</v>
      </c>
      <c r="I20" s="214">
        <f>'P&amp;L'!I15/'P&amp;L'!I16</f>
        <v>19.840858970561509</v>
      </c>
      <c r="J20" s="214">
        <f>'P&amp;L'!J15/'P&amp;L'!J16</f>
        <v>23.00630308324769</v>
      </c>
      <c r="K20" s="214">
        <f>'P&amp;L'!K15/'P&amp;L'!K16</f>
        <v>26.105342968732181</v>
      </c>
      <c r="L20" s="214">
        <f>'P&amp;L'!L15/'P&amp;L'!L16</f>
        <v>28.097808215645504</v>
      </c>
      <c r="N20" s="224">
        <f t="shared" si="0"/>
        <v>15.453768519446479</v>
      </c>
      <c r="O20" s="224">
        <f t="shared" si="1"/>
        <v>13.731204700981895</v>
      </c>
    </row>
    <row r="21" spans="2:15" x14ac:dyDescent="0.3">
      <c r="B21" s="201"/>
      <c r="C21" s="207"/>
      <c r="D21" s="207"/>
      <c r="E21" s="207"/>
      <c r="F21" s="207"/>
      <c r="G21" s="207"/>
      <c r="H21" s="215"/>
      <c r="I21" s="208"/>
      <c r="J21" s="208"/>
      <c r="K21" s="208"/>
      <c r="L21" s="208"/>
      <c r="N21" s="224"/>
      <c r="O21" s="224"/>
    </row>
    <row r="22" spans="2:15" x14ac:dyDescent="0.3">
      <c r="B22" s="199" t="s">
        <v>261</v>
      </c>
      <c r="C22" s="206">
        <f>'Balance Sheet'!C10/'Balance Sheet'!C25</f>
        <v>0.71598663466516066</v>
      </c>
      <c r="D22" s="206">
        <f>'Balance Sheet'!D10/'Balance Sheet'!D25</f>
        <v>0.6209810766121624</v>
      </c>
      <c r="E22" s="206">
        <f>'Balance Sheet'!E10/'Balance Sheet'!E25</f>
        <v>0.63763389051554797</v>
      </c>
      <c r="F22" s="206">
        <f>'Balance Sheet'!F10/'Balance Sheet'!F25</f>
        <v>0.6712917404710359</v>
      </c>
      <c r="G22" s="206">
        <f>'Balance Sheet'!G10/'Balance Sheet'!G25</f>
        <v>0.67031259163685419</v>
      </c>
      <c r="H22" s="213">
        <f>'Balance Sheet'!H10/'Balance Sheet'!H25</f>
        <v>0.78243597409167298</v>
      </c>
      <c r="I22" s="214">
        <f>'Balance Sheet'!I10/'Balance Sheet'!I25</f>
        <v>0.90160236900938107</v>
      </c>
      <c r="J22" s="214">
        <f>'Balance Sheet'!J10/'Balance Sheet'!J25</f>
        <v>1.0149752066158748</v>
      </c>
      <c r="K22" s="214">
        <f>'Balance Sheet'!K10/'Balance Sheet'!K25</f>
        <v>1.1526731866296527</v>
      </c>
      <c r="L22" s="214">
        <f>'Balance Sheet'!L10/'Balance Sheet'!L25</f>
        <v>1.3065942824539827</v>
      </c>
      <c r="N22" s="224">
        <f t="shared" si="0"/>
        <v>0.84744869527013245</v>
      </c>
      <c r="O22" s="224">
        <f t="shared" si="1"/>
        <v>0.74921130437841676</v>
      </c>
    </row>
    <row r="23" spans="2:15" x14ac:dyDescent="0.3">
      <c r="B23" s="199" t="s">
        <v>262</v>
      </c>
      <c r="C23" s="206">
        <f>('Balance Sheet'!C10-'Balance Sheet'!C5)/'Balance Sheet'!C25</f>
        <v>0.51913031201468307</v>
      </c>
      <c r="D23" s="206">
        <f>('Balance Sheet'!D10-'Balance Sheet'!D5)/'Balance Sheet'!D25</f>
        <v>0.47334190703656071</v>
      </c>
      <c r="E23" s="206">
        <f>('Balance Sheet'!E10-'Balance Sheet'!E5)/'Balance Sheet'!E25</f>
        <v>0.43022867944108817</v>
      </c>
      <c r="F23" s="206">
        <f>('Balance Sheet'!F10-'Balance Sheet'!F5)/'Balance Sheet'!F25</f>
        <v>0.45440530079380698</v>
      </c>
      <c r="G23" s="206">
        <f>('Balance Sheet'!G10-'Balance Sheet'!G5)/'Balance Sheet'!G25</f>
        <v>0.42604539323206853</v>
      </c>
      <c r="H23" s="213">
        <f>('Balance Sheet'!H10-'Balance Sheet'!H5)/'Balance Sheet'!H25</f>
        <v>0.53542161340537686</v>
      </c>
      <c r="I23" s="214">
        <f>('Balance Sheet'!I10-'Balance Sheet'!I5)/'Balance Sheet'!I25</f>
        <v>0.62735156533163183</v>
      </c>
      <c r="J23" s="214">
        <f>('Balance Sheet'!J10-'Balance Sheet'!J5)/'Balance Sheet'!J25</f>
        <v>0.70937843717745808</v>
      </c>
      <c r="K23" s="214">
        <f>('Balance Sheet'!K10-'Balance Sheet'!K5)/'Balance Sheet'!K25</f>
        <v>0.81877011287942136</v>
      </c>
      <c r="L23" s="214">
        <f>('Balance Sheet'!L10-'Balance Sheet'!L5)/'Balance Sheet'!L25</f>
        <v>0.94588843585915294</v>
      </c>
      <c r="N23" s="224">
        <f t="shared" si="0"/>
        <v>0.59399617571712482</v>
      </c>
      <c r="O23" s="224">
        <f t="shared" si="1"/>
        <v>0.52727596271002997</v>
      </c>
    </row>
    <row r="24" spans="2:15" x14ac:dyDescent="0.3">
      <c r="B24" s="199" t="s">
        <v>263</v>
      </c>
      <c r="C24" s="209">
        <f>'Balance Sheet'!C7/'Balance Sheet'!C25</f>
        <v>2.5412960609911054E-2</v>
      </c>
      <c r="D24" s="209">
        <f>'Balance Sheet'!D7/'Balance Sheet'!D25</f>
        <v>7.3782840345397754E-2</v>
      </c>
      <c r="E24" s="209">
        <f>'Balance Sheet'!E7/'Balance Sheet'!E25</f>
        <v>1.3305659538193543E-2</v>
      </c>
      <c r="F24" s="209">
        <f>'Balance Sheet'!F7/'Balance Sheet'!F25</f>
        <v>3.772223315620285E-2</v>
      </c>
      <c r="G24" s="209">
        <f>'Balance Sheet'!G7/'Balance Sheet'!G25</f>
        <v>2.2960530174183331E-2</v>
      </c>
      <c r="H24" s="216">
        <f>'Balance Sheet'!H7/'Balance Sheet'!H25</f>
        <v>0.13399739197230118</v>
      </c>
      <c r="I24" s="217">
        <f>'Balance Sheet'!I7/'Balance Sheet'!I25</f>
        <v>0.21486083760491226</v>
      </c>
      <c r="J24" s="217">
        <f>'Balance Sheet'!J7/'Balance Sheet'!J25</f>
        <v>0.28131973088367479</v>
      </c>
      <c r="K24" s="217">
        <f>'Balance Sheet'!K7/'Balance Sheet'!K25</f>
        <v>0.37742464094687167</v>
      </c>
      <c r="L24" s="217">
        <f>'Balance Sheet'!L7/'Balance Sheet'!L25</f>
        <v>0.49490651650655976</v>
      </c>
      <c r="N24" s="224">
        <f t="shared" si="0"/>
        <v>0.16756933417382083</v>
      </c>
      <c r="O24" s="224">
        <f t="shared" si="1"/>
        <v>0.10389011615884947</v>
      </c>
    </row>
    <row r="25" spans="2:15" x14ac:dyDescent="0.3">
      <c r="B25" s="201"/>
      <c r="C25" s="203"/>
      <c r="D25" s="203"/>
      <c r="E25" s="203"/>
      <c r="F25" s="203"/>
      <c r="G25" s="203"/>
      <c r="H25" s="212"/>
      <c r="I25" s="204"/>
      <c r="J25" s="204"/>
      <c r="K25" s="204"/>
      <c r="L25" s="204"/>
      <c r="N25" s="224"/>
      <c r="O25" s="224"/>
    </row>
    <row r="26" spans="2:15" x14ac:dyDescent="0.3">
      <c r="B26" s="199" t="s">
        <v>264</v>
      </c>
      <c r="C26" s="95" t="s">
        <v>124</v>
      </c>
      <c r="D26" s="206">
        <f>'P&amp;L'!D5/AVERAGE('Balance Sheet'!C6:D6)</f>
        <v>18.052795156407669</v>
      </c>
      <c r="E26" s="206">
        <f>'P&amp;L'!E5/AVERAGE('Balance Sheet'!D6:E6)</f>
        <v>18.638848334514531</v>
      </c>
      <c r="F26" s="206">
        <f>'P&amp;L'!F5/AVERAGE('Balance Sheet'!E6:F6)</f>
        <v>18.227404525147715</v>
      </c>
      <c r="G26" s="206">
        <f>'P&amp;L'!G5/AVERAGE('Balance Sheet'!F6:G6)</f>
        <v>17.41145242480049</v>
      </c>
      <c r="H26" s="213">
        <f>'P&amp;L'!H5/AVERAGE('Balance Sheet'!G6:H6)</f>
        <v>18.114524531111304</v>
      </c>
      <c r="I26" s="214">
        <f>'P&amp;L'!I5/AVERAGE('Balance Sheet'!H6:I6)</f>
        <v>18.345316591803115</v>
      </c>
      <c r="J26" s="214">
        <f>'P&amp;L'!J5/AVERAGE('Balance Sheet'!I6:J6)</f>
        <v>18.272437288922418</v>
      </c>
      <c r="K26" s="214">
        <f>'P&amp;L'!K5/AVERAGE('Balance Sheet'!J6:K6)</f>
        <v>18.198879091743819</v>
      </c>
      <c r="L26" s="214">
        <f>'P&amp;L'!L5/AVERAGE('Balance Sheet'!K6:L6)</f>
        <v>18.124632469696909</v>
      </c>
      <c r="N26" s="224">
        <f t="shared" si="0"/>
        <v>18.154032268238662</v>
      </c>
      <c r="O26" s="224">
        <f t="shared" si="1"/>
        <v>18.198879091743819</v>
      </c>
    </row>
    <row r="27" spans="2:15" x14ac:dyDescent="0.3">
      <c r="B27" s="199" t="s">
        <v>265</v>
      </c>
      <c r="C27" s="95" t="s">
        <v>124</v>
      </c>
      <c r="D27" s="206">
        <f>'P&amp;L'!D6/AVERAGE('Balance Sheet'!C21:D21)</f>
        <v>2.5668537479458977</v>
      </c>
      <c r="E27" s="206">
        <f>'P&amp;L'!E6/AVERAGE('Balance Sheet'!D21:E21)</f>
        <v>2.2773335894726729</v>
      </c>
      <c r="F27" s="206">
        <f>'P&amp;L'!F6/AVERAGE('Balance Sheet'!E21:F21)</f>
        <v>2.1510556915544674</v>
      </c>
      <c r="G27" s="206">
        <f>'P&amp;L'!G6/AVERAGE('Balance Sheet'!F21:G21)</f>
        <v>2.1420399056543635</v>
      </c>
      <c r="H27" s="213">
        <f>'P&amp;L'!H6/AVERAGE('Balance Sheet'!G21:H21)</f>
        <v>2.1908988167904497</v>
      </c>
      <c r="I27" s="214">
        <f>'P&amp;L'!I6/AVERAGE('Balance Sheet'!H21:I21)</f>
        <v>2.3296894922052198</v>
      </c>
      <c r="J27" s="214">
        <f>'P&amp;L'!J6/AVERAGE('Balance Sheet'!I21:J21)</f>
        <v>2.3204344790649034</v>
      </c>
      <c r="K27" s="214">
        <f>'P&amp;L'!K6/AVERAGE('Balance Sheet'!J21:K21)</f>
        <v>2.3110932524812693</v>
      </c>
      <c r="L27" s="214">
        <f>'P&amp;L'!L6/AVERAGE('Balance Sheet'!K21:L21)</f>
        <v>2.3016646021579654</v>
      </c>
      <c r="N27" s="224">
        <f t="shared" si="0"/>
        <v>2.2878959530363563</v>
      </c>
      <c r="O27" s="224">
        <f t="shared" si="1"/>
        <v>2.3016646021579654</v>
      </c>
    </row>
    <row r="28" spans="2:15" x14ac:dyDescent="0.3">
      <c r="B28" s="199" t="s">
        <v>266</v>
      </c>
      <c r="C28" s="95" t="s">
        <v>124</v>
      </c>
      <c r="D28" s="206">
        <f>'P&amp;L'!D6/AVERAGE('Balance Sheet'!C5:D5)</f>
        <v>2.4760858431898547</v>
      </c>
      <c r="E28" s="206">
        <f>'P&amp;L'!E6/AVERAGE('Balance Sheet'!D5:E5)</f>
        <v>2.4661244019138757</v>
      </c>
      <c r="F28" s="206">
        <f>'P&amp;L'!F6/AVERAGE('Balance Sheet'!E5:F5)</f>
        <v>2.3032929226736565</v>
      </c>
      <c r="G28" s="206">
        <f>'P&amp;L'!G6/AVERAGE('Balance Sheet'!F5:G5)</f>
        <v>2.2488408512916611</v>
      </c>
      <c r="H28" s="213">
        <f>'P&amp;L'!H6/AVERAGE('Balance Sheet'!G5:H5)</f>
        <v>2.2297649017865515</v>
      </c>
      <c r="I28" s="214">
        <f>'P&amp;L'!I6/AVERAGE('Balance Sheet'!H5:I5)</f>
        <v>2.37095567913831</v>
      </c>
      <c r="J28" s="214">
        <f>'P&amp;L'!J6/AVERAGE('Balance Sheet'!I5:J5)</f>
        <v>2.3615367303732704</v>
      </c>
      <c r="K28" s="214">
        <f>'P&amp;L'!K6/AVERAGE('Balance Sheet'!J5:K5)</f>
        <v>2.3520300410515005</v>
      </c>
      <c r="L28" s="214">
        <f>'P&amp;L'!L6/AVERAGE('Balance Sheet'!K5:L5)</f>
        <v>2.342434379438465</v>
      </c>
      <c r="N28" s="224">
        <f t="shared" si="0"/>
        <v>2.3501184167619047</v>
      </c>
      <c r="O28" s="224">
        <f t="shared" si="1"/>
        <v>2.3520300410515005</v>
      </c>
    </row>
    <row r="29" spans="2:15" x14ac:dyDescent="0.3">
      <c r="B29" s="199" t="s">
        <v>267</v>
      </c>
      <c r="C29" s="95" t="s">
        <v>124</v>
      </c>
      <c r="D29" s="206">
        <f>'P&amp;L'!D5/AVERAGE(PPE!C8:D8)</f>
        <v>0.8235809709703259</v>
      </c>
      <c r="E29" s="206">
        <f>'P&amp;L'!E5/AVERAGE(PPE!D8:E8)</f>
        <v>0.94028906487423802</v>
      </c>
      <c r="F29" s="206">
        <f>'P&amp;L'!F5/AVERAGE(PPE!E8:F8)</f>
        <v>1.0454098821351232</v>
      </c>
      <c r="G29" s="206">
        <f>'P&amp;L'!G5/AVERAGE(PPE!F8:G8)</f>
        <v>1.0589705717635287</v>
      </c>
      <c r="H29" s="213">
        <f>'P&amp;L'!H5/AVERAGE(PPE!G8:H8)</f>
        <v>1.1405926250027885</v>
      </c>
      <c r="I29" s="214">
        <f>'P&amp;L'!I5/AVERAGE(PPE!H8:I8)</f>
        <v>1.2373333063237903</v>
      </c>
      <c r="J29" s="214">
        <f>'P&amp;L'!J5/AVERAGE(PPE!I8:J8)</f>
        <v>1.3168910980716233</v>
      </c>
      <c r="K29" s="214">
        <f>'P&amp;L'!K5/AVERAGE(PPE!J8:K8)</f>
        <v>1.3878330538104582</v>
      </c>
      <c r="L29" s="214">
        <f>'P&amp;L'!L5/AVERAGE(PPE!K8:L8)</f>
        <v>1.4560620579241206</v>
      </c>
      <c r="N29" s="224">
        <f t="shared" si="0"/>
        <v>1.1563291812084442</v>
      </c>
      <c r="O29" s="224">
        <f t="shared" si="1"/>
        <v>1.1405926250027885</v>
      </c>
    </row>
    <row r="30" spans="2:15" x14ac:dyDescent="0.3">
      <c r="B30" s="199" t="s">
        <v>268</v>
      </c>
      <c r="C30" s="206">
        <f>'P&amp;L'!C5/('Balance Sheet'!C36+'Balance Sheet'!C27)</f>
        <v>0.75200967707631772</v>
      </c>
      <c r="D30" s="206">
        <f>'P&amp;L'!D5/('Balance Sheet'!D36+'Balance Sheet'!D27)</f>
        <v>0.77475445616587857</v>
      </c>
      <c r="E30" s="206">
        <f>'P&amp;L'!E5/('Balance Sheet'!E36+'Balance Sheet'!E27)</f>
        <v>0.94371375771494193</v>
      </c>
      <c r="F30" s="206">
        <f>'P&amp;L'!F5/('Balance Sheet'!F36+'Balance Sheet'!F27)</f>
        <v>1.0586577608142493</v>
      </c>
      <c r="G30" s="206">
        <f>'P&amp;L'!G5/('Balance Sheet'!G36+'Balance Sheet'!G27)</f>
        <v>1.0810486034882303</v>
      </c>
      <c r="H30" s="213">
        <f>'P&amp;L'!H5/('Balance Sheet'!H36+'Balance Sheet'!H27)</f>
        <v>1.1178492797938306</v>
      </c>
      <c r="I30" s="214">
        <f>'P&amp;L'!I5/('Balance Sheet'!I36+'Balance Sheet'!I27)</f>
        <v>1.1479214580526469</v>
      </c>
      <c r="J30" s="214">
        <f>'P&amp;L'!J5/('Balance Sheet'!J36+'Balance Sheet'!J27)</f>
        <v>1.1683434674040585</v>
      </c>
      <c r="K30" s="214">
        <f>'P&amp;L'!K5/('Balance Sheet'!K36+'Balance Sheet'!K27)</f>
        <v>1.1800724083156504</v>
      </c>
      <c r="L30" s="214">
        <f>'P&amp;L'!L5/('Balance Sheet'!L36+'Balance Sheet'!L27)</f>
        <v>1.1837333995481485</v>
      </c>
      <c r="N30" s="224">
        <f t="shared" si="0"/>
        <v>1.040810426837395</v>
      </c>
      <c r="O30" s="224">
        <f t="shared" si="1"/>
        <v>1.0994489416410305</v>
      </c>
    </row>
    <row r="31" spans="2:15" x14ac:dyDescent="0.3">
      <c r="B31" s="201"/>
      <c r="C31" s="203"/>
      <c r="D31" s="203"/>
      <c r="E31" s="203"/>
      <c r="F31" s="203"/>
      <c r="G31" s="203"/>
      <c r="H31" s="212"/>
      <c r="I31" s="204"/>
      <c r="J31" s="204"/>
      <c r="K31" s="204"/>
      <c r="L31" s="204"/>
      <c r="N31" s="223"/>
      <c r="O31" s="223"/>
    </row>
    <row r="32" spans="2:15" x14ac:dyDescent="0.3">
      <c r="B32" s="199" t="s">
        <v>269</v>
      </c>
      <c r="C32" s="39"/>
      <c r="D32" s="182">
        <f>365/D26</f>
        <v>20.218475689646692</v>
      </c>
      <c r="E32" s="182">
        <f t="shared" ref="E32:L32" si="2">365/E26</f>
        <v>19.58275497762973</v>
      </c>
      <c r="F32" s="182">
        <f t="shared" si="2"/>
        <v>20.024792860465801</v>
      </c>
      <c r="G32" s="182">
        <f t="shared" si="2"/>
        <v>20.963213814380126</v>
      </c>
      <c r="H32" s="218">
        <f t="shared" si="2"/>
        <v>20.149576621407888</v>
      </c>
      <c r="I32" s="219">
        <f t="shared" si="2"/>
        <v>19.896086184911407</v>
      </c>
      <c r="J32" s="219">
        <f t="shared" si="2"/>
        <v>19.975441383579387</v>
      </c>
      <c r="K32" s="219">
        <f t="shared" si="2"/>
        <v>20.056180282311313</v>
      </c>
      <c r="L32" s="219">
        <f t="shared" si="2"/>
        <v>20.138339390343717</v>
      </c>
      <c r="N32" s="225">
        <f t="shared" si="0"/>
        <v>20.111651244964005</v>
      </c>
      <c r="O32" s="225">
        <f t="shared" si="1"/>
        <v>20.056180282311313</v>
      </c>
    </row>
    <row r="33" spans="2:15" x14ac:dyDescent="0.3">
      <c r="B33" s="199" t="s">
        <v>270</v>
      </c>
      <c r="C33" s="39"/>
      <c r="D33" s="182">
        <f>365/D27</f>
        <v>142.19742760649612</v>
      </c>
      <c r="E33" s="182">
        <f t="shared" ref="E33:L33" si="3">365/E27</f>
        <v>160.27515761734205</v>
      </c>
      <c r="F33" s="182">
        <f t="shared" si="3"/>
        <v>169.6841236761432</v>
      </c>
      <c r="G33" s="182">
        <f t="shared" si="3"/>
        <v>170.39831939475354</v>
      </c>
      <c r="H33" s="218">
        <f t="shared" si="3"/>
        <v>166.59829162476137</v>
      </c>
      <c r="I33" s="219">
        <f t="shared" si="3"/>
        <v>156.67323959748003</v>
      </c>
      <c r="J33" s="219">
        <f t="shared" si="3"/>
        <v>157.29812812775</v>
      </c>
      <c r="K33" s="219">
        <f t="shared" si="3"/>
        <v>157.93391270911437</v>
      </c>
      <c r="L33" s="219">
        <f t="shared" si="3"/>
        <v>158.58088083632512</v>
      </c>
      <c r="N33" s="225">
        <f t="shared" si="0"/>
        <v>159.95994235446287</v>
      </c>
      <c r="O33" s="225">
        <f t="shared" si="1"/>
        <v>158.58088083632512</v>
      </c>
    </row>
    <row r="34" spans="2:15" x14ac:dyDescent="0.3">
      <c r="B34" s="199" t="s">
        <v>271</v>
      </c>
      <c r="C34" s="39"/>
      <c r="D34" s="182">
        <f>365/D28</f>
        <v>147.41007506015353</v>
      </c>
      <c r="E34" s="182">
        <f t="shared" ref="E34:L34" si="4">365/E28</f>
        <v>148.0055100694579</v>
      </c>
      <c r="F34" s="182">
        <f t="shared" si="4"/>
        <v>158.46877156046176</v>
      </c>
      <c r="G34" s="182">
        <f t="shared" si="4"/>
        <v>162.3058384902408</v>
      </c>
      <c r="H34" s="218">
        <f t="shared" si="4"/>
        <v>163.69438755967121</v>
      </c>
      <c r="I34" s="219">
        <f t="shared" si="4"/>
        <v>153.94636146579259</v>
      </c>
      <c r="J34" s="219">
        <f t="shared" si="4"/>
        <v>154.56037388938142</v>
      </c>
      <c r="K34" s="219">
        <f t="shared" si="4"/>
        <v>155.1850927196588</v>
      </c>
      <c r="L34" s="219">
        <f t="shared" si="4"/>
        <v>155.82080044756637</v>
      </c>
      <c r="N34" s="225">
        <f t="shared" si="0"/>
        <v>155.48857902915381</v>
      </c>
      <c r="O34" s="225">
        <f t="shared" si="1"/>
        <v>155.1850927196588</v>
      </c>
    </row>
    <row r="35" spans="2:15" x14ac:dyDescent="0.3">
      <c r="B35" s="202" t="s">
        <v>272</v>
      </c>
      <c r="C35" s="141"/>
      <c r="D35" s="220">
        <f>D32+D34-D33</f>
        <v>25.431123143304092</v>
      </c>
      <c r="E35" s="220">
        <f t="shared" ref="E35:L35" si="5">E32+E34-E33</f>
        <v>7.3131074297455712</v>
      </c>
      <c r="F35" s="220">
        <f t="shared" si="5"/>
        <v>8.8094407447843537</v>
      </c>
      <c r="G35" s="220">
        <f t="shared" si="5"/>
        <v>12.870732909867371</v>
      </c>
      <c r="H35" s="221">
        <f t="shared" si="5"/>
        <v>17.245672556317743</v>
      </c>
      <c r="I35" s="222">
        <f t="shared" si="5"/>
        <v>17.169208053223969</v>
      </c>
      <c r="J35" s="222">
        <f t="shared" si="5"/>
        <v>17.237687145210799</v>
      </c>
      <c r="K35" s="222">
        <f t="shared" si="5"/>
        <v>17.307360292855748</v>
      </c>
      <c r="L35" s="222">
        <f t="shared" si="5"/>
        <v>17.378259001584951</v>
      </c>
      <c r="N35" s="225">
        <f t="shared" si="0"/>
        <v>15.640287919654956</v>
      </c>
      <c r="O35" s="225">
        <f t="shared" si="1"/>
        <v>17.237687145210799</v>
      </c>
    </row>
  </sheetData>
  <hyperlinks>
    <hyperlink ref="O1" location="Index!A1" display="Index" xr:uid="{5AF0B43A-28B8-4D2F-A079-CA21BD4973B4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39F90B2-7229-4F8B-A48F-6FB0E14177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Ratios!C4:L4</xm:f>
              <xm:sqref>M4</xm:sqref>
            </x14:sparkline>
            <x14:sparkline>
              <xm:f>Ratios!C5:L5</xm:f>
              <xm:sqref>M5</xm:sqref>
            </x14:sparkline>
            <x14:sparkline>
              <xm:f>Ratios!C6:L6</xm:f>
              <xm:sqref>M6</xm:sqref>
            </x14:sparkline>
            <x14:sparkline>
              <xm:f>Ratios!C7:L7</xm:f>
              <xm:sqref>M7</xm:sqref>
            </x14:sparkline>
            <x14:sparkline>
              <xm:f>Ratios!C8:L8</xm:f>
              <xm:sqref>M8</xm:sqref>
            </x14:sparkline>
            <x14:sparkline>
              <xm:f>Ratios!C9:L9</xm:f>
              <xm:sqref>M9</xm:sqref>
            </x14:sparkline>
            <x14:sparkline>
              <xm:f>Ratios!C10:L10</xm:f>
              <xm:sqref>M10</xm:sqref>
            </x14:sparkline>
            <x14:sparkline>
              <xm:f>Ratios!C11:L11</xm:f>
              <xm:sqref>M11</xm:sqref>
            </x14:sparkline>
            <x14:sparkline>
              <xm:f>Ratios!C12:L12</xm:f>
              <xm:sqref>M12</xm:sqref>
            </x14:sparkline>
            <x14:sparkline>
              <xm:f>Ratios!C13:L13</xm:f>
              <xm:sqref>M13</xm:sqref>
            </x14:sparkline>
            <x14:sparkline>
              <xm:f>Ratios!C14:L14</xm:f>
              <xm:sqref>M14</xm:sqref>
            </x14:sparkline>
            <x14:sparkline>
              <xm:f>Ratios!C15:L15</xm:f>
              <xm:sqref>M15</xm:sqref>
            </x14:sparkline>
            <x14:sparkline>
              <xm:f>Ratios!C16:L16</xm:f>
              <xm:sqref>M16</xm:sqref>
            </x14:sparkline>
            <x14:sparkline>
              <xm:f>Ratios!C17:L17</xm:f>
              <xm:sqref>M17</xm:sqref>
            </x14:sparkline>
            <x14:sparkline>
              <xm:f>Ratios!C18:L18</xm:f>
              <xm:sqref>M18</xm:sqref>
            </x14:sparkline>
            <x14:sparkline>
              <xm:f>Ratios!C19:L19</xm:f>
              <xm:sqref>M19</xm:sqref>
            </x14:sparkline>
            <x14:sparkline>
              <xm:f>Ratios!C20:L20</xm:f>
              <xm:sqref>M20</xm:sqref>
            </x14:sparkline>
            <x14:sparkline>
              <xm:f>Ratios!C21:L21</xm:f>
              <xm:sqref>M21</xm:sqref>
            </x14:sparkline>
            <x14:sparkline>
              <xm:f>Ratios!C22:L22</xm:f>
              <xm:sqref>M22</xm:sqref>
            </x14:sparkline>
            <x14:sparkline>
              <xm:f>Ratios!C23:L23</xm:f>
              <xm:sqref>M23</xm:sqref>
            </x14:sparkline>
            <x14:sparkline>
              <xm:f>Ratios!C24:L24</xm:f>
              <xm:sqref>M24</xm:sqref>
            </x14:sparkline>
            <x14:sparkline>
              <xm:f>Ratios!C25:L25</xm:f>
              <xm:sqref>M25</xm:sqref>
            </x14:sparkline>
            <x14:sparkline>
              <xm:f>Ratios!C26:L26</xm:f>
              <xm:sqref>M26</xm:sqref>
            </x14:sparkline>
            <x14:sparkline>
              <xm:f>Ratios!C27:L27</xm:f>
              <xm:sqref>M27</xm:sqref>
            </x14:sparkline>
            <x14:sparkline>
              <xm:f>Ratios!C28:L28</xm:f>
              <xm:sqref>M28</xm:sqref>
            </x14:sparkline>
            <x14:sparkline>
              <xm:f>Ratios!C29:L29</xm:f>
              <xm:sqref>M29</xm:sqref>
            </x14:sparkline>
            <x14:sparkline>
              <xm:f>Ratios!C30:L30</xm:f>
              <xm:sqref>M30</xm:sqref>
            </x14:sparkline>
            <x14:sparkline>
              <xm:f>Ratios!C31:L31</xm:f>
              <xm:sqref>M31</xm:sqref>
            </x14:sparkline>
            <x14:sparkline>
              <xm:f>Ratios!C32:L32</xm:f>
              <xm:sqref>M32</xm:sqref>
            </x14:sparkline>
            <x14:sparkline>
              <xm:f>Ratios!C33:L33</xm:f>
              <xm:sqref>M33</xm:sqref>
            </x14:sparkline>
            <x14:sparkline>
              <xm:f>Ratios!C34:L34</xm:f>
              <xm:sqref>M34</xm:sqref>
            </x14:sparkline>
            <x14:sparkline>
              <xm:f>Ratios!C35:L35</xm:f>
              <xm:sqref>M35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7F93-4153-4D55-83E1-1C742FFAA887}">
  <dimension ref="A2:L7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7" sqref="H7:L7"/>
    </sheetView>
  </sheetViews>
  <sheetFormatPr defaultColWidth="0" defaultRowHeight="14.4" x14ac:dyDescent="0.3"/>
  <cols>
    <col min="1" max="1" width="1.88671875" customWidth="1"/>
    <col min="2" max="2" width="34.109375" customWidth="1"/>
    <col min="3" max="3" width="14.109375" customWidth="1"/>
    <col min="4" max="7" width="11.5546875" customWidth="1"/>
    <col min="8" max="8" width="12.21875" customWidth="1"/>
    <col min="9" max="12" width="11.5546875" customWidth="1"/>
    <col min="13" max="16384" width="11.5546875" hidden="1"/>
  </cols>
  <sheetData>
    <row r="2" spans="2:12" ht="25.8" x14ac:dyDescent="0.5">
      <c r="B2" s="31" t="s">
        <v>119</v>
      </c>
      <c r="C2" s="86">
        <v>2</v>
      </c>
      <c r="D2" s="31" t="s">
        <v>142</v>
      </c>
      <c r="L2" s="258" t="s">
        <v>238</v>
      </c>
    </row>
    <row r="3" spans="2:12" x14ac:dyDescent="0.3">
      <c r="B3" s="32" t="s">
        <v>120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ht="18" x14ac:dyDescent="0.35">
      <c r="B5" s="140" t="s">
        <v>128</v>
      </c>
      <c r="C5" s="70"/>
      <c r="D5" s="70"/>
      <c r="E5" s="70"/>
      <c r="F5" s="70"/>
      <c r="G5" s="70"/>
      <c r="H5" s="71"/>
      <c r="I5" s="71"/>
      <c r="J5" s="71"/>
      <c r="K5" s="71"/>
      <c r="L5" s="71"/>
    </row>
    <row r="6" spans="2:12" x14ac:dyDescent="0.3">
      <c r="C6" s="39"/>
      <c r="D6" s="39"/>
      <c r="E6" s="39"/>
      <c r="F6" s="39"/>
      <c r="G6" s="39"/>
      <c r="H6" s="45"/>
      <c r="I6" s="45"/>
      <c r="J6" s="45"/>
      <c r="K6" s="45"/>
      <c r="L6" s="45"/>
    </row>
    <row r="7" spans="2:12" x14ac:dyDescent="0.3">
      <c r="B7" s="46" t="s">
        <v>129</v>
      </c>
      <c r="C7" s="72">
        <f>'P&amp;L'!C5</f>
        <v>42429.89</v>
      </c>
      <c r="D7" s="72">
        <f>'P&amp;L'!D5</f>
        <v>44725.8</v>
      </c>
      <c r="E7" s="72">
        <f>'P&amp;L'!E5</f>
        <v>52598.83</v>
      </c>
      <c r="F7" s="72">
        <f>'P&amp;L'!F5</f>
        <v>63239.98</v>
      </c>
      <c r="G7" s="72">
        <f>'P&amp;L'!G5</f>
        <v>70908.14</v>
      </c>
      <c r="H7" s="88">
        <f>G7*(H8+1)</f>
        <v>82749.799379999997</v>
      </c>
      <c r="I7" s="88">
        <f t="shared" ref="I7:L7" si="0">H7*(I8+1)</f>
        <v>96569.015876460006</v>
      </c>
      <c r="J7" s="88">
        <f t="shared" si="0"/>
        <v>111730.35136906423</v>
      </c>
      <c r="K7" s="88">
        <f t="shared" si="0"/>
        <v>128154.71302031667</v>
      </c>
      <c r="L7" s="88">
        <f t="shared" si="0"/>
        <v>145711.90870410006</v>
      </c>
    </row>
    <row r="8" spans="2:12" x14ac:dyDescent="0.3">
      <c r="B8" s="73" t="s">
        <v>130</v>
      </c>
      <c r="C8" s="74" t="s">
        <v>124</v>
      </c>
      <c r="D8" s="75">
        <f>D7/C7-1</f>
        <v>5.4110675281034304E-2</v>
      </c>
      <c r="E8" s="75">
        <f t="shared" ref="E8:G8" si="1">E7/D7-1</f>
        <v>0.17602882452633595</v>
      </c>
      <c r="F8" s="75">
        <f t="shared" si="1"/>
        <v>0.20230773194004503</v>
      </c>
      <c r="G8" s="75">
        <f t="shared" si="1"/>
        <v>0.12125494030833028</v>
      </c>
      <c r="H8" s="85">
        <f>CHOOSE($C$2,H9,H10,H11)</f>
        <v>0.16700000000000001</v>
      </c>
      <c r="I8" s="85">
        <f>CHOOSE($C$2,I9,I10,I11)</f>
        <v>0.16700000000000001</v>
      </c>
      <c r="J8" s="85">
        <f>CHOOSE($C$2,J9,J10,J11)</f>
        <v>0.157</v>
      </c>
      <c r="K8" s="85">
        <f t="shared" ref="K8:L8" si="2">CHOOSE($C$2,K9,K10,K11)</f>
        <v>0.14699999999999999</v>
      </c>
      <c r="L8" s="85">
        <f t="shared" si="2"/>
        <v>0.13699999999999998</v>
      </c>
    </row>
    <row r="9" spans="2:12" x14ac:dyDescent="0.3">
      <c r="B9" s="1" t="s">
        <v>131</v>
      </c>
      <c r="C9" s="39"/>
      <c r="D9" s="39"/>
      <c r="E9" s="39"/>
      <c r="F9" s="39"/>
      <c r="G9" s="39"/>
      <c r="H9" s="77">
        <f>H10-2%</f>
        <v>0.14700000000000002</v>
      </c>
      <c r="I9" s="77">
        <f t="shared" ref="I9:L9" si="3">I10-2%</f>
        <v>0.14700000000000002</v>
      </c>
      <c r="J9" s="77">
        <f t="shared" si="3"/>
        <v>0.13700000000000001</v>
      </c>
      <c r="K9" s="77">
        <f t="shared" si="3"/>
        <v>0.127</v>
      </c>
      <c r="L9" s="77">
        <f t="shared" si="3"/>
        <v>0.11699999999999998</v>
      </c>
    </row>
    <row r="10" spans="2:12" x14ac:dyDescent="0.3">
      <c r="B10" s="1" t="s">
        <v>132</v>
      </c>
      <c r="C10" s="39"/>
      <c r="D10" s="39"/>
      <c r="E10" s="39"/>
      <c r="F10" s="39"/>
      <c r="G10" s="39"/>
      <c r="H10" s="76">
        <f>'(IS)'!E36</f>
        <v>0.16700000000000001</v>
      </c>
      <c r="I10" s="77">
        <f>H10</f>
        <v>0.16700000000000001</v>
      </c>
      <c r="J10" s="77">
        <f>I10-1%</f>
        <v>0.157</v>
      </c>
      <c r="K10" s="77">
        <f t="shared" ref="K10:L10" si="4">J10-1%</f>
        <v>0.14699999999999999</v>
      </c>
      <c r="L10" s="77">
        <f t="shared" si="4"/>
        <v>0.13699999999999998</v>
      </c>
    </row>
    <row r="11" spans="2:12" x14ac:dyDescent="0.3">
      <c r="B11" s="1" t="s">
        <v>133</v>
      </c>
      <c r="C11" s="39"/>
      <c r="D11" s="39"/>
      <c r="E11" s="39"/>
      <c r="F11" s="39"/>
      <c r="G11" s="39"/>
      <c r="H11" s="77">
        <f>H10+2%</f>
        <v>0.187</v>
      </c>
      <c r="I11" s="77">
        <f t="shared" ref="I11:L11" si="5">I10+2%</f>
        <v>0.187</v>
      </c>
      <c r="J11" s="77">
        <f t="shared" si="5"/>
        <v>0.17699999999999999</v>
      </c>
      <c r="K11" s="77">
        <f t="shared" si="5"/>
        <v>0.16699999999999998</v>
      </c>
      <c r="L11" s="77">
        <f t="shared" si="5"/>
        <v>0.15699999999999997</v>
      </c>
    </row>
    <row r="12" spans="2:12" x14ac:dyDescent="0.3">
      <c r="C12" s="39"/>
      <c r="D12" s="39"/>
      <c r="E12" s="39"/>
      <c r="F12" s="39"/>
      <c r="G12" s="39"/>
      <c r="H12" s="45"/>
      <c r="I12" s="45"/>
      <c r="J12" s="45"/>
      <c r="K12" s="45"/>
      <c r="L12" s="45"/>
    </row>
    <row r="13" spans="2:12" x14ac:dyDescent="0.3">
      <c r="B13" s="46" t="s">
        <v>134</v>
      </c>
      <c r="C13" s="72">
        <f>'P&amp;L'!C6</f>
        <v>9561.36</v>
      </c>
      <c r="D13" s="72">
        <f>'P&amp;L'!D6</f>
        <v>10153.189999999999</v>
      </c>
      <c r="E13" s="72">
        <f>'P&amp;L'!E6</f>
        <v>11854.66</v>
      </c>
      <c r="F13" s="72">
        <f>'P&amp;L'!F6</f>
        <v>14059.3</v>
      </c>
      <c r="G13" s="72">
        <f>'P&amp;L'!G6</f>
        <v>16801.09</v>
      </c>
      <c r="H13" s="88">
        <f>H7*H14</f>
        <v>18817.166218399569</v>
      </c>
      <c r="I13" s="88">
        <f t="shared" ref="I13:L13" si="6">I7*I14</f>
        <v>21959.632976872301</v>
      </c>
      <c r="J13" s="88">
        <f t="shared" si="6"/>
        <v>25407.295354241251</v>
      </c>
      <c r="K13" s="88">
        <f t="shared" si="6"/>
        <v>29142.167771314718</v>
      </c>
      <c r="L13" s="88">
        <f t="shared" si="6"/>
        <v>33134.644755984831</v>
      </c>
    </row>
    <row r="14" spans="2:12" x14ac:dyDescent="0.3">
      <c r="B14" s="78" t="s">
        <v>135</v>
      </c>
      <c r="C14" s="79">
        <f>C13/C7</f>
        <v>0.2253449160485686</v>
      </c>
      <c r="D14" s="79">
        <f t="shared" ref="D14:G14" si="7">D13/D7</f>
        <v>0.22700969015646447</v>
      </c>
      <c r="E14" s="79">
        <f t="shared" si="7"/>
        <v>0.22537877743668441</v>
      </c>
      <c r="F14" s="79">
        <f t="shared" si="7"/>
        <v>0.22231664209887478</v>
      </c>
      <c r="G14" s="79">
        <f t="shared" si="7"/>
        <v>0.23694162616590986</v>
      </c>
      <c r="H14" s="85">
        <f>CHOOSE($C$2,H15,H16,H17)</f>
        <v>0.22739833038130045</v>
      </c>
      <c r="I14" s="85">
        <f t="shared" ref="I14:L14" si="8">CHOOSE($C$2,I15,I16,I17)</f>
        <v>0.22739833038130045</v>
      </c>
      <c r="J14" s="85">
        <f t="shared" si="8"/>
        <v>0.22739833038130045</v>
      </c>
      <c r="K14" s="85">
        <f t="shared" si="8"/>
        <v>0.22739833038130045</v>
      </c>
      <c r="L14" s="85">
        <f t="shared" si="8"/>
        <v>0.22739833038130045</v>
      </c>
    </row>
    <row r="15" spans="2:12" x14ac:dyDescent="0.3">
      <c r="B15" s="1" t="s">
        <v>131</v>
      </c>
      <c r="C15" s="47"/>
      <c r="D15" s="47"/>
      <c r="E15" s="47"/>
      <c r="F15" s="47"/>
      <c r="G15" s="47"/>
      <c r="H15" s="77">
        <f>H16+5%</f>
        <v>0.27739833038130046</v>
      </c>
      <c r="I15" s="77">
        <f t="shared" ref="I15:L15" si="9">I16+5%</f>
        <v>0.27739833038130046</v>
      </c>
      <c r="J15" s="77">
        <f t="shared" si="9"/>
        <v>0.27739833038130046</v>
      </c>
      <c r="K15" s="77">
        <f t="shared" si="9"/>
        <v>0.27739833038130046</v>
      </c>
      <c r="L15" s="77">
        <f t="shared" si="9"/>
        <v>0.27739833038130046</v>
      </c>
    </row>
    <row r="16" spans="2:12" x14ac:dyDescent="0.3">
      <c r="B16" s="1" t="s">
        <v>132</v>
      </c>
      <c r="C16" s="39"/>
      <c r="D16" s="39"/>
      <c r="E16" s="39"/>
      <c r="F16" s="39"/>
      <c r="G16" s="39"/>
      <c r="H16" s="77">
        <f>AVERAGE(C14:G14)</f>
        <v>0.22739833038130045</v>
      </c>
      <c r="I16" s="77">
        <f>H16</f>
        <v>0.22739833038130045</v>
      </c>
      <c r="J16" s="77">
        <f t="shared" ref="J16:L16" si="10">I16</f>
        <v>0.22739833038130045</v>
      </c>
      <c r="K16" s="77">
        <f t="shared" si="10"/>
        <v>0.22739833038130045</v>
      </c>
      <c r="L16" s="77">
        <f t="shared" si="10"/>
        <v>0.22739833038130045</v>
      </c>
    </row>
    <row r="17" spans="2:12" x14ac:dyDescent="0.3">
      <c r="B17" s="1" t="s">
        <v>133</v>
      </c>
      <c r="C17" s="39"/>
      <c r="D17" s="39"/>
      <c r="E17" s="39"/>
      <c r="F17" s="39"/>
      <c r="G17" s="39"/>
      <c r="H17" s="77">
        <f>H16-5%</f>
        <v>0.17739833038130043</v>
      </c>
      <c r="I17" s="77">
        <f t="shared" ref="I17:L17" si="11">I16-5%</f>
        <v>0.17739833038130043</v>
      </c>
      <c r="J17" s="77">
        <f t="shared" si="11"/>
        <v>0.17739833038130043</v>
      </c>
      <c r="K17" s="77">
        <f t="shared" si="11"/>
        <v>0.17739833038130043</v>
      </c>
      <c r="L17" s="77">
        <f t="shared" si="11"/>
        <v>0.17739833038130043</v>
      </c>
    </row>
    <row r="18" spans="2:12" x14ac:dyDescent="0.3">
      <c r="C18" s="39"/>
      <c r="D18" s="39"/>
      <c r="E18" s="39"/>
      <c r="F18" s="39"/>
      <c r="G18" s="39"/>
      <c r="H18" s="45"/>
      <c r="I18" s="45"/>
      <c r="J18" s="45"/>
      <c r="K18" s="45"/>
      <c r="L18" s="45"/>
    </row>
    <row r="19" spans="2:12" x14ac:dyDescent="0.3">
      <c r="B19" s="2" t="s">
        <v>136</v>
      </c>
      <c r="C19" s="80">
        <f>'P&amp;L'!C8/'P&amp;L'!C5</f>
        <v>0.2007280716494905</v>
      </c>
      <c r="D19" s="80">
        <f>'P&amp;L'!D8/'P&amp;L'!D5</f>
        <v>0.18627235287015548</v>
      </c>
      <c r="E19" s="80">
        <f>'P&amp;L'!E8/'P&amp;L'!E5</f>
        <v>0.23075152051861228</v>
      </c>
      <c r="F19" s="80">
        <f>'P&amp;L'!F8/'P&amp;L'!F5</f>
        <v>0.29239920695737093</v>
      </c>
      <c r="G19" s="80">
        <f>'P&amp;L'!G8/'P&amp;L'!G5</f>
        <v>0.25784515007726899</v>
      </c>
      <c r="H19" s="77">
        <f>AVERAGE(C19:G19)</f>
        <v>0.23359926041457962</v>
      </c>
      <c r="I19" s="77">
        <f>H19</f>
        <v>0.23359926041457962</v>
      </c>
      <c r="J19" s="77">
        <f t="shared" ref="J19:L19" si="12">I19</f>
        <v>0.23359926041457962</v>
      </c>
      <c r="K19" s="77">
        <f t="shared" si="12"/>
        <v>0.23359926041457962</v>
      </c>
      <c r="L19" s="77">
        <f t="shared" si="12"/>
        <v>0.23359926041457962</v>
      </c>
    </row>
    <row r="20" spans="2:12" x14ac:dyDescent="0.3">
      <c r="B20" s="1" t="s">
        <v>137</v>
      </c>
      <c r="C20" s="47"/>
      <c r="D20" s="80">
        <f>'P&amp;L'!D9/'P&amp;L'!C9-1</f>
        <v>-6.3152094631021449E-2</v>
      </c>
      <c r="E20" s="80">
        <f>'P&amp;L'!E9/'P&amp;L'!D9-1</f>
        <v>7.6870348195131388E-2</v>
      </c>
      <c r="F20" s="80">
        <f>'P&amp;L'!F9/'P&amp;L'!E9-1</f>
        <v>8.1064833005893844E-2</v>
      </c>
      <c r="G20" s="80">
        <f>'P&amp;L'!G9/'P&amp;L'!F9-1</f>
        <v>0.10928612188375708</v>
      </c>
      <c r="H20" s="77">
        <f>AVERAGE(E20:G20)</f>
        <v>8.9073767694927433E-2</v>
      </c>
      <c r="I20" s="77">
        <f>H20</f>
        <v>8.9073767694927433E-2</v>
      </c>
      <c r="J20" s="77">
        <f t="shared" ref="J20:L20" si="13">I20</f>
        <v>8.9073767694927433E-2</v>
      </c>
      <c r="K20" s="77">
        <f t="shared" si="13"/>
        <v>8.9073767694927433E-2</v>
      </c>
      <c r="L20" s="77">
        <f t="shared" si="13"/>
        <v>8.9073767694927433E-2</v>
      </c>
    </row>
    <row r="21" spans="2:12" x14ac:dyDescent="0.3">
      <c r="B21" s="1" t="s">
        <v>138</v>
      </c>
      <c r="C21" s="47"/>
      <c r="D21" s="80">
        <f>'P&amp;L'!D10/'P&amp;L'!C10-1</f>
        <v>2.5539897413262569E-3</v>
      </c>
      <c r="E21" s="80">
        <f>'P&amp;L'!E10/'P&amp;L'!D10-1</f>
        <v>0.17896293455896561</v>
      </c>
      <c r="F21" s="80">
        <f>'P&amp;L'!F10/'P&amp;L'!E10-1</f>
        <v>0.19404738063365912</v>
      </c>
      <c r="G21" s="80">
        <f>'P&amp;L'!G10/'P&amp;L'!F10-1</f>
        <v>0.13918068551539764</v>
      </c>
      <c r="H21" s="77">
        <f t="shared" ref="H21:H22" si="14">AVERAGE(E21:G21)</f>
        <v>0.17073033356934078</v>
      </c>
      <c r="I21" s="77">
        <f t="shared" ref="I21:L21" si="15">H21</f>
        <v>0.17073033356934078</v>
      </c>
      <c r="J21" s="77">
        <f t="shared" si="15"/>
        <v>0.17073033356934078</v>
      </c>
      <c r="K21" s="77">
        <f t="shared" si="15"/>
        <v>0.17073033356934078</v>
      </c>
      <c r="L21" s="77">
        <f t="shared" si="15"/>
        <v>0.17073033356934078</v>
      </c>
    </row>
    <row r="22" spans="2:12" x14ac:dyDescent="0.3">
      <c r="B22" s="1" t="s">
        <v>139</v>
      </c>
      <c r="C22" s="47"/>
      <c r="D22" s="80">
        <f>'P&amp;L'!D11/'P&amp;L'!C11-1</f>
        <v>-0.22408655525253951</v>
      </c>
      <c r="E22" s="80">
        <f>'P&amp;L'!E11/'P&amp;L'!D11-1</f>
        <v>0.21181416819100329</v>
      </c>
      <c r="F22" s="80">
        <f>'P&amp;L'!F11/'P&amp;L'!E11-1</f>
        <v>0.1527336526151073</v>
      </c>
      <c r="G22" s="80">
        <f>'P&amp;L'!G11/'P&amp;L'!F11-1</f>
        <v>0.19034005210475802</v>
      </c>
      <c r="H22" s="77">
        <f t="shared" si="14"/>
        <v>0.18496262430362287</v>
      </c>
      <c r="I22" s="77">
        <f t="shared" ref="I22:L22" si="16">H22</f>
        <v>0.18496262430362287</v>
      </c>
      <c r="J22" s="77">
        <f t="shared" si="16"/>
        <v>0.18496262430362287</v>
      </c>
      <c r="K22" s="77">
        <f t="shared" si="16"/>
        <v>0.18496262430362287</v>
      </c>
      <c r="L22" s="77">
        <f t="shared" si="16"/>
        <v>0.18496262430362287</v>
      </c>
    </row>
    <row r="23" spans="2:12" x14ac:dyDescent="0.3">
      <c r="B23" t="s">
        <v>8</v>
      </c>
      <c r="C23" s="47"/>
      <c r="D23" s="47"/>
      <c r="E23" s="47"/>
      <c r="F23" s="47"/>
      <c r="G23" s="47"/>
      <c r="H23" s="48"/>
      <c r="I23" s="48"/>
      <c r="J23" s="48"/>
      <c r="K23" s="48"/>
      <c r="L23" s="48"/>
    </row>
    <row r="24" spans="2:12" x14ac:dyDescent="0.3">
      <c r="B24" s="46"/>
      <c r="C24" s="47"/>
      <c r="D24" s="47"/>
      <c r="E24" s="47"/>
      <c r="F24" s="47"/>
      <c r="G24" s="47"/>
      <c r="H24" s="48"/>
      <c r="I24" s="48"/>
      <c r="J24" s="48"/>
      <c r="K24" s="48"/>
      <c r="L24" s="48"/>
    </row>
    <row r="25" spans="2:12" x14ac:dyDescent="0.3">
      <c r="B25" s="46" t="s">
        <v>140</v>
      </c>
      <c r="C25" s="39">
        <f>'P&amp;L'!C18</f>
        <v>-568.16</v>
      </c>
      <c r="D25" s="39">
        <f>'P&amp;L'!D18</f>
        <v>2538.6999999999998</v>
      </c>
      <c r="E25" s="39">
        <f>'P&amp;L'!E18</f>
        <v>1190.06</v>
      </c>
      <c r="F25" s="39">
        <f>'P&amp;L'!F18</f>
        <v>2342.85</v>
      </c>
      <c r="G25" s="39">
        <f>'P&amp;L'!G18</f>
        <v>2418.2600000000002</v>
      </c>
      <c r="H25" s="48"/>
      <c r="I25" s="48"/>
      <c r="J25" s="48"/>
      <c r="K25" s="48"/>
      <c r="L25" s="48"/>
    </row>
    <row r="26" spans="2:12" x14ac:dyDescent="0.3">
      <c r="B26" s="32" t="s">
        <v>141</v>
      </c>
      <c r="C26" s="81">
        <f>C25/'P&amp;L'!C17</f>
        <v>-0.10962583353914551</v>
      </c>
      <c r="D26" s="81">
        <f>D25/'P&amp;L'!D17</f>
        <v>0.3173156845466874</v>
      </c>
      <c r="E26" s="81">
        <f>E25/'P&amp;L'!E17</f>
        <v>0.13960761679524003</v>
      </c>
      <c r="F26" s="81">
        <f>F25/'P&amp;L'!F17</f>
        <v>0.3159076352604076</v>
      </c>
      <c r="G26" s="81">
        <f>G25/'P&amp;L'!G17</f>
        <v>0.25665501336203134</v>
      </c>
      <c r="H26" s="85">
        <f>CHOOSE($C$2,H27,H28,H29)</f>
        <v>0.25</v>
      </c>
      <c r="I26" s="85">
        <f t="shared" ref="I26:L26" si="17">CHOOSE($C$2,I27,I28,I29)</f>
        <v>0.25</v>
      </c>
      <c r="J26" s="85">
        <f t="shared" si="17"/>
        <v>0.25</v>
      </c>
      <c r="K26" s="85">
        <f t="shared" si="17"/>
        <v>0.25</v>
      </c>
      <c r="L26" s="85">
        <f t="shared" si="17"/>
        <v>0.25</v>
      </c>
    </row>
    <row r="27" spans="2:12" x14ac:dyDescent="0.3">
      <c r="B27" s="1" t="s">
        <v>131</v>
      </c>
      <c r="C27" s="47"/>
      <c r="D27" s="47"/>
      <c r="E27" s="47"/>
      <c r="F27" s="47"/>
      <c r="G27" s="47"/>
      <c r="H27" s="83">
        <f>H28+2%</f>
        <v>0.27</v>
      </c>
      <c r="I27" s="83">
        <f>H27</f>
        <v>0.27</v>
      </c>
      <c r="J27" s="83">
        <f t="shared" ref="J27:L27" si="18">I27</f>
        <v>0.27</v>
      </c>
      <c r="K27" s="83">
        <f t="shared" si="18"/>
        <v>0.27</v>
      </c>
      <c r="L27" s="83">
        <f t="shared" si="18"/>
        <v>0.27</v>
      </c>
    </row>
    <row r="28" spans="2:12" x14ac:dyDescent="0.3">
      <c r="B28" s="1" t="s">
        <v>132</v>
      </c>
      <c r="C28" s="47"/>
      <c r="D28" s="47"/>
      <c r="E28" s="47"/>
      <c r="F28" s="47"/>
      <c r="G28" s="47"/>
      <c r="H28" s="82">
        <v>0.25</v>
      </c>
      <c r="I28" s="83">
        <f>H28</f>
        <v>0.25</v>
      </c>
      <c r="J28" s="83">
        <f t="shared" ref="J28:L28" si="19">I28</f>
        <v>0.25</v>
      </c>
      <c r="K28" s="83">
        <f t="shared" si="19"/>
        <v>0.25</v>
      </c>
      <c r="L28" s="83">
        <f t="shared" si="19"/>
        <v>0.25</v>
      </c>
    </row>
    <row r="29" spans="2:12" x14ac:dyDescent="0.3">
      <c r="B29" s="1" t="s">
        <v>133</v>
      </c>
      <c r="C29" s="47"/>
      <c r="D29" s="47"/>
      <c r="E29" s="47"/>
      <c r="F29" s="47"/>
      <c r="G29" s="47"/>
      <c r="H29" s="83">
        <f>H28-2%</f>
        <v>0.23</v>
      </c>
      <c r="I29" s="83">
        <f>H29</f>
        <v>0.23</v>
      </c>
      <c r="J29" s="83">
        <f t="shared" ref="J29:L29" si="20">I29</f>
        <v>0.23</v>
      </c>
      <c r="K29" s="83">
        <f t="shared" si="20"/>
        <v>0.23</v>
      </c>
      <c r="L29" s="83">
        <f t="shared" si="20"/>
        <v>0.23</v>
      </c>
    </row>
    <row r="30" spans="2:12" x14ac:dyDescent="0.3">
      <c r="B30" s="46"/>
      <c r="C30" s="47"/>
      <c r="D30" s="47"/>
      <c r="E30" s="47"/>
      <c r="F30" s="47"/>
      <c r="G30" s="47"/>
      <c r="H30" s="48"/>
      <c r="I30" s="48"/>
      <c r="J30" s="48"/>
      <c r="K30" s="48"/>
      <c r="L30" s="48"/>
    </row>
    <row r="31" spans="2:12" x14ac:dyDescent="0.3">
      <c r="B31" s="46" t="s">
        <v>155</v>
      </c>
      <c r="C31" s="47"/>
      <c r="D31" s="47"/>
      <c r="E31" s="47"/>
      <c r="F31" s="47"/>
      <c r="G31" s="47"/>
      <c r="H31" s="48"/>
      <c r="I31" s="48"/>
      <c r="J31" s="48"/>
      <c r="K31" s="48"/>
      <c r="L31" s="48"/>
    </row>
    <row r="32" spans="2:12" x14ac:dyDescent="0.3">
      <c r="B32" s="55" t="s">
        <v>20</v>
      </c>
      <c r="C32" s="137">
        <f>'Balance Sheet'!C24</f>
        <v>4106</v>
      </c>
      <c r="D32" s="137">
        <f>'Balance Sheet'!D24</f>
        <v>6939</v>
      </c>
      <c r="E32" s="137">
        <f>'Balance Sheet'!E24</f>
        <v>4900</v>
      </c>
      <c r="F32" s="137">
        <f>'Balance Sheet'!F24</f>
        <v>4544</v>
      </c>
      <c r="G32" s="137">
        <f>'Balance Sheet'!G24</f>
        <v>4991</v>
      </c>
      <c r="H32" s="136">
        <f>AVERAGE(C32:G32)</f>
        <v>5096</v>
      </c>
      <c r="I32" s="136">
        <f t="shared" ref="I32:L32" si="21">AVERAGE(D32:H32)</f>
        <v>5294</v>
      </c>
      <c r="J32" s="136">
        <f t="shared" si="21"/>
        <v>4965</v>
      </c>
      <c r="K32" s="136">
        <f t="shared" si="21"/>
        <v>4978</v>
      </c>
      <c r="L32" s="136">
        <f t="shared" si="21"/>
        <v>5064.8</v>
      </c>
    </row>
    <row r="33" spans="2:12" x14ac:dyDescent="0.3">
      <c r="B33" s="55" t="s">
        <v>19</v>
      </c>
      <c r="C33" s="137">
        <f>'Balance Sheet'!C27</f>
        <v>17368</v>
      </c>
      <c r="D33" s="137">
        <f>'Balance Sheet'!D27</f>
        <v>13548</v>
      </c>
      <c r="E33" s="137">
        <f>'Balance Sheet'!E27</f>
        <v>5303</v>
      </c>
      <c r="F33" s="137">
        <f>'Balance Sheet'!F27</f>
        <v>5356</v>
      </c>
      <c r="G33" s="137">
        <f>'Balance Sheet'!G27</f>
        <v>5308</v>
      </c>
      <c r="H33" s="136">
        <f>AVERAGE(E33:G33)</f>
        <v>5322.333333333333</v>
      </c>
      <c r="I33" s="136">
        <f t="shared" ref="I33:L33" si="22">AVERAGE(F33:H33)</f>
        <v>5328.7777777777774</v>
      </c>
      <c r="J33" s="136">
        <f t="shared" si="22"/>
        <v>5319.7037037037035</v>
      </c>
      <c r="K33" s="136">
        <f t="shared" si="22"/>
        <v>5323.6049382716046</v>
      </c>
      <c r="L33" s="136">
        <f t="shared" si="22"/>
        <v>5324.0288065843624</v>
      </c>
    </row>
    <row r="34" spans="2:12" x14ac:dyDescent="0.3">
      <c r="B34" t="s">
        <v>10</v>
      </c>
      <c r="C34" s="138">
        <f>'P&amp;L'!C16</f>
        <v>1991.65</v>
      </c>
      <c r="D34" s="138">
        <f>'P&amp;L'!D16</f>
        <v>1485.65</v>
      </c>
      <c r="E34" s="138">
        <f>'P&amp;L'!E16</f>
        <v>944.71</v>
      </c>
      <c r="F34" s="138">
        <f>'P&amp;L'!F16</f>
        <v>822.72</v>
      </c>
      <c r="G34" s="138">
        <f>'P&amp;L'!G16</f>
        <v>968</v>
      </c>
      <c r="H34" s="88">
        <f>SUM(H32:H33)*H36</f>
        <v>906.28642759745685</v>
      </c>
      <c r="I34" s="88">
        <f t="shared" ref="I34:L34" si="23">SUM(I32:I33)*I36</f>
        <v>911.83891109852323</v>
      </c>
      <c r="J34" s="88">
        <f t="shared" si="23"/>
        <v>910.2205441643307</v>
      </c>
      <c r="K34" s="88">
        <f t="shared" si="23"/>
        <v>903.29161821019488</v>
      </c>
      <c r="L34" s="88">
        <f t="shared" si="23"/>
        <v>920.4591338508335</v>
      </c>
    </row>
    <row r="35" spans="2:12" x14ac:dyDescent="0.3">
      <c r="B35" s="46"/>
      <c r="C35" s="47"/>
      <c r="D35" s="47"/>
      <c r="E35" s="47"/>
      <c r="F35" s="47"/>
      <c r="G35" s="47"/>
      <c r="H35" s="48"/>
      <c r="I35" s="48"/>
      <c r="J35" s="48"/>
      <c r="K35" s="48"/>
      <c r="L35" s="48"/>
    </row>
    <row r="36" spans="2:12" x14ac:dyDescent="0.3">
      <c r="B36" t="s">
        <v>156</v>
      </c>
      <c r="C36" s="135">
        <f>C34/SUM(C32:C33)</f>
        <v>9.2747042935643106E-2</v>
      </c>
      <c r="D36" s="135">
        <f t="shared" ref="D36:G36" si="24">D34/SUM(D32:D33)</f>
        <v>7.251671791868014E-2</v>
      </c>
      <c r="E36" s="135">
        <f t="shared" si="24"/>
        <v>9.259139468783692E-2</v>
      </c>
      <c r="F36" s="135">
        <f t="shared" si="24"/>
        <v>8.3103030303030304E-2</v>
      </c>
      <c r="G36" s="135">
        <f t="shared" si="24"/>
        <v>9.3989707738615397E-2</v>
      </c>
      <c r="H36" s="77">
        <f>AVERAGE(C36:G36)</f>
        <v>8.698957871676119E-2</v>
      </c>
      <c r="I36" s="77">
        <f t="shared" ref="I36:L36" si="25">AVERAGE(D36:H36)</f>
        <v>8.5838085872984776E-2</v>
      </c>
      <c r="J36" s="77">
        <f t="shared" si="25"/>
        <v>8.8502359463845728E-2</v>
      </c>
      <c r="K36" s="77">
        <f t="shared" si="25"/>
        <v>8.7684552419047476E-2</v>
      </c>
      <c r="L36" s="77">
        <f t="shared" si="25"/>
        <v>8.8600856842250914E-2</v>
      </c>
    </row>
    <row r="37" spans="2:12" x14ac:dyDescent="0.3">
      <c r="B37" s="46"/>
      <c r="C37" s="47"/>
      <c r="D37" s="47"/>
      <c r="E37" s="47"/>
      <c r="F37" s="47"/>
      <c r="G37" s="47"/>
      <c r="H37" s="48"/>
      <c r="I37" s="48"/>
      <c r="J37" s="48"/>
      <c r="K37" s="48"/>
      <c r="L37" s="48"/>
    </row>
    <row r="38" spans="2:12" x14ac:dyDescent="0.3">
      <c r="B38" s="46" t="s">
        <v>96</v>
      </c>
      <c r="C38" s="47"/>
      <c r="D38" s="47"/>
      <c r="E38" s="47"/>
      <c r="F38" s="47"/>
      <c r="G38" s="47"/>
      <c r="H38" s="48"/>
      <c r="I38" s="48"/>
      <c r="J38" s="48"/>
      <c r="K38" s="48"/>
      <c r="L38" s="48"/>
    </row>
    <row r="39" spans="2:12" x14ac:dyDescent="0.3">
      <c r="B39" t="s">
        <v>157</v>
      </c>
      <c r="C39" s="39">
        <f>'P&amp;L'!C19</f>
        <v>5750.8799999999974</v>
      </c>
      <c r="D39" s="39">
        <f>'P&amp;L'!D19</f>
        <v>5461.8499999999995</v>
      </c>
      <c r="E39" s="39">
        <f>'P&amp;L'!E19</f>
        <v>7334.2599999999966</v>
      </c>
      <c r="F39" s="39">
        <f>'P&amp;L'!F19</f>
        <v>5073.4000000000069</v>
      </c>
      <c r="G39" s="39">
        <f>'P&amp;L'!G19</f>
        <v>7003.9600000000046</v>
      </c>
      <c r="H39" s="88">
        <f>'P&amp;L'!H19</f>
        <v>10691.038014463789</v>
      </c>
      <c r="I39" s="88">
        <f>'P&amp;L'!I19</f>
        <v>12884.871245908238</v>
      </c>
      <c r="J39" s="88">
        <f>'P&amp;L'!J19</f>
        <v>15022.941875609176</v>
      </c>
      <c r="K39" s="88">
        <f>'P&amp;L'!K19</f>
        <v>17008.084406961021</v>
      </c>
      <c r="L39" s="88">
        <f>'P&amp;L'!L19</f>
        <v>18706.818809571796</v>
      </c>
    </row>
    <row r="40" spans="2:12" x14ac:dyDescent="0.3">
      <c r="B40" t="s">
        <v>96</v>
      </c>
      <c r="C40" s="39">
        <f>'P&amp;L'!C20</f>
        <v>375.22</v>
      </c>
      <c r="D40" s="39">
        <f>'P&amp;L'!D20</f>
        <v>1068</v>
      </c>
      <c r="E40" s="39">
        <f>'P&amp;L'!E20</f>
        <v>1096.95</v>
      </c>
      <c r="F40" s="39">
        <f>'P&amp;L'!F20</f>
        <v>1097.02</v>
      </c>
      <c r="G40" s="39">
        <f>'P&amp;L'!G20</f>
        <v>2020.83</v>
      </c>
      <c r="H40" s="88">
        <f>H39*H41</f>
        <v>2271.4710088338334</v>
      </c>
      <c r="I40" s="88">
        <f t="shared" ref="I40:L40" si="26">I39*I41</f>
        <v>2792.1086894102473</v>
      </c>
      <c r="J40" s="88">
        <f t="shared" si="26"/>
        <v>3507.5495493434742</v>
      </c>
      <c r="K40" s="88">
        <f t="shared" si="26"/>
        <v>4044.3861930904786</v>
      </c>
      <c r="L40" s="88">
        <f t="shared" si="26"/>
        <v>4211.0599970526637</v>
      </c>
    </row>
    <row r="41" spans="2:12" x14ac:dyDescent="0.3">
      <c r="B41" t="s">
        <v>158</v>
      </c>
      <c r="C41" s="135">
        <f>C40/C39</f>
        <v>6.5245666750132186E-2</v>
      </c>
      <c r="D41" s="135">
        <f t="shared" ref="D41:G41" si="27">D40/D39</f>
        <v>0.19553814183838811</v>
      </c>
      <c r="E41" s="135">
        <f t="shared" si="27"/>
        <v>0.14956519130764392</v>
      </c>
      <c r="F41" s="135">
        <f t="shared" si="27"/>
        <v>0.21622974730949629</v>
      </c>
      <c r="G41" s="135">
        <f t="shared" si="27"/>
        <v>0.28852677628084661</v>
      </c>
      <c r="H41" s="77">
        <f>AVERAGE(D41:G41)</f>
        <v>0.21246496418409372</v>
      </c>
      <c r="I41" s="77">
        <f t="shared" ref="I41:L41" si="28">AVERAGE(E41:H41)</f>
        <v>0.2166966697705201</v>
      </c>
      <c r="J41" s="77">
        <f t="shared" si="28"/>
        <v>0.23347953938623917</v>
      </c>
      <c r="K41" s="77">
        <f t="shared" si="28"/>
        <v>0.2377919874054249</v>
      </c>
      <c r="L41" s="77">
        <f t="shared" si="28"/>
        <v>0.22510829018656947</v>
      </c>
    </row>
    <row r="42" spans="2:12" x14ac:dyDescent="0.3">
      <c r="C42" s="39"/>
      <c r="D42" s="39"/>
      <c r="E42" s="39"/>
      <c r="F42" s="39"/>
      <c r="G42" s="39"/>
      <c r="H42" s="45"/>
      <c r="I42" s="45"/>
      <c r="J42" s="45"/>
      <c r="K42" s="45"/>
      <c r="L42" s="45"/>
    </row>
    <row r="43" spans="2:12" ht="18" x14ac:dyDescent="0.35">
      <c r="B43" s="140" t="s">
        <v>159</v>
      </c>
      <c r="C43" s="141"/>
      <c r="D43" s="141"/>
      <c r="E43" s="141"/>
      <c r="F43" s="141"/>
      <c r="G43" s="141"/>
      <c r="H43" s="142"/>
      <c r="I43" s="142"/>
      <c r="J43" s="142"/>
      <c r="K43" s="142"/>
      <c r="L43" s="142"/>
    </row>
    <row r="44" spans="2:12" x14ac:dyDescent="0.3">
      <c r="C44" s="39"/>
      <c r="D44" s="39"/>
      <c r="E44" s="39"/>
      <c r="F44" s="39"/>
      <c r="G44" s="39"/>
      <c r="H44" s="45"/>
      <c r="I44" s="45"/>
      <c r="J44" s="45"/>
      <c r="K44" s="45"/>
      <c r="L44" s="45"/>
    </row>
    <row r="45" spans="2:12" x14ac:dyDescent="0.3">
      <c r="B45" s="46" t="s">
        <v>160</v>
      </c>
      <c r="C45" s="39"/>
      <c r="D45" s="39"/>
      <c r="E45" s="39"/>
      <c r="F45" s="39"/>
      <c r="G45" s="39"/>
      <c r="H45" s="45"/>
      <c r="I45" s="45"/>
      <c r="J45" s="45"/>
      <c r="K45" s="45"/>
      <c r="L45" s="45"/>
    </row>
    <row r="46" spans="2:12" x14ac:dyDescent="0.3">
      <c r="B46" t="s">
        <v>161</v>
      </c>
      <c r="C46" s="135">
        <f>'Balance Sheet'!C5/Drivers!C53</f>
        <v>0.43749006417497088</v>
      </c>
      <c r="D46" s="135">
        <f>'Balance Sheet'!D5/Drivers!D53</f>
        <v>0.39573769426160649</v>
      </c>
      <c r="E46" s="135">
        <f>'Balance Sheet'!E5/Drivers!E53</f>
        <v>0.47205065349828673</v>
      </c>
      <c r="F46" s="135">
        <f>'Balance Sheet'!F5/Drivers!F53</f>
        <v>0.47029368460734178</v>
      </c>
      <c r="G46" s="135">
        <f>'Balance Sheet'!G5/Drivers!G53</f>
        <v>0.49580116528153828</v>
      </c>
      <c r="H46" s="77">
        <f>AVERAGE(C46:G46)</f>
        <v>0.45427465236474884</v>
      </c>
      <c r="I46" s="77">
        <f>H46</f>
        <v>0.45427465236474884</v>
      </c>
      <c r="J46" s="77">
        <f t="shared" ref="J46:L46" si="29">I46</f>
        <v>0.45427465236474884</v>
      </c>
      <c r="K46" s="77">
        <f t="shared" si="29"/>
        <v>0.45427465236474884</v>
      </c>
      <c r="L46" s="77">
        <f t="shared" si="29"/>
        <v>0.45427465236474884</v>
      </c>
    </row>
    <row r="47" spans="2:12" x14ac:dyDescent="0.3">
      <c r="B47" t="s">
        <v>162</v>
      </c>
      <c r="C47" s="135">
        <f>'Balance Sheet'!C6/Drivers!C52</f>
        <v>5.6163237755271107E-2</v>
      </c>
      <c r="D47" s="135">
        <f>'Balance Sheet'!D6/Drivers!D52</f>
        <v>5.7505958529528813E-2</v>
      </c>
      <c r="E47" s="135">
        <f>'Balance Sheet'!E6/Drivers!E52</f>
        <v>5.8404340933058775E-2</v>
      </c>
      <c r="F47" s="135">
        <f>'Balance Sheet'!F6/Drivers!F52</f>
        <v>6.1148026928534764E-2</v>
      </c>
      <c r="G47" s="135">
        <f>'Balance Sheet'!G6/Drivers!G52</f>
        <v>6.0331578292703775E-2</v>
      </c>
      <c r="H47" s="77">
        <f t="shared" ref="H47:H50" si="30">AVERAGE(C47:G47)</f>
        <v>5.8710628487819452E-2</v>
      </c>
      <c r="I47" s="77">
        <f t="shared" ref="I47:L50" si="31">H47</f>
        <v>5.8710628487819452E-2</v>
      </c>
      <c r="J47" s="77">
        <f t="shared" si="31"/>
        <v>5.8710628487819452E-2</v>
      </c>
      <c r="K47" s="77">
        <f t="shared" si="31"/>
        <v>5.8710628487819452E-2</v>
      </c>
      <c r="L47" s="77">
        <f t="shared" si="31"/>
        <v>5.8710628487819452E-2</v>
      </c>
    </row>
    <row r="48" spans="2:12" x14ac:dyDescent="0.3">
      <c r="B48" t="s">
        <v>163</v>
      </c>
      <c r="C48" s="135">
        <f>'Balance Sheet'!C8/Drivers!C52</f>
        <v>1.8760359736968445E-2</v>
      </c>
      <c r="D48" s="135">
        <f>'Balance Sheet'!D8/Drivers!D52</f>
        <v>1.47565834484794E-2</v>
      </c>
      <c r="E48" s="135">
        <f>'Balance Sheet'!E8/Drivers!E52</f>
        <v>1.6597327355000101E-2</v>
      </c>
      <c r="F48" s="135">
        <f>'Balance Sheet'!F8/Drivers!F52</f>
        <v>1.5037955419973251E-2</v>
      </c>
      <c r="G48" s="135">
        <f>'Balance Sheet'!G8/Drivers!G52</f>
        <v>1.3891211925739414E-2</v>
      </c>
      <c r="H48" s="77">
        <f t="shared" si="30"/>
        <v>1.5808687577232122E-2</v>
      </c>
      <c r="I48" s="77">
        <f t="shared" si="31"/>
        <v>1.5808687577232122E-2</v>
      </c>
      <c r="J48" s="77">
        <f t="shared" si="31"/>
        <v>1.5808687577232122E-2</v>
      </c>
      <c r="K48" s="77">
        <f t="shared" si="31"/>
        <v>1.5808687577232122E-2</v>
      </c>
      <c r="L48" s="77">
        <f t="shared" si="31"/>
        <v>1.5808687577232122E-2</v>
      </c>
    </row>
    <row r="49" spans="2:12" x14ac:dyDescent="0.3">
      <c r="B49" t="s">
        <v>164</v>
      </c>
      <c r="C49" s="135">
        <f>'Balance Sheet'!C21/Drivers!C53</f>
        <v>0.3517282060292678</v>
      </c>
      <c r="D49" s="135">
        <f>'Balance Sheet'!D21/Drivers!D53</f>
        <v>0.44793803720801056</v>
      </c>
      <c r="E49" s="135">
        <f>'Balance Sheet'!E21/Drivers!E53</f>
        <v>0.49457344200508491</v>
      </c>
      <c r="F49" s="135">
        <f>'Balance Sheet'!F21/Drivers!F53</f>
        <v>0.51275668063132596</v>
      </c>
      <c r="G49" s="135">
        <f>'Balance Sheet'!G21/Drivers!G53</f>
        <v>0.5046101175578489</v>
      </c>
      <c r="H49" s="77">
        <f t="shared" si="30"/>
        <v>0.46232129668630761</v>
      </c>
      <c r="I49" s="77">
        <f t="shared" si="31"/>
        <v>0.46232129668630761</v>
      </c>
      <c r="J49" s="77">
        <f t="shared" si="31"/>
        <v>0.46232129668630761</v>
      </c>
      <c r="K49" s="77">
        <f t="shared" si="31"/>
        <v>0.46232129668630761</v>
      </c>
      <c r="L49" s="77">
        <f t="shared" si="31"/>
        <v>0.46232129668630761</v>
      </c>
    </row>
    <row r="50" spans="2:12" x14ac:dyDescent="0.3">
      <c r="B50" t="s">
        <v>165</v>
      </c>
      <c r="C50" s="135">
        <f>'Balance Sheet'!C22/Drivers!C52</f>
        <v>1.0935687082855977E-2</v>
      </c>
      <c r="D50" s="135">
        <f>'Balance Sheet'!D22/Drivers!D52</f>
        <v>9.2787608047256841E-3</v>
      </c>
      <c r="E50" s="135">
        <f>'Balance Sheet'!E22/Drivers!E52</f>
        <v>8.8405008248282329E-3</v>
      </c>
      <c r="F50" s="135">
        <f>'Balance Sheet'!F22/Drivers!F52</f>
        <v>6.0721081821974009E-3</v>
      </c>
      <c r="G50" s="135">
        <f>'Balance Sheet'!G22/Drivers!G52</f>
        <v>7.4321509491011893E-3</v>
      </c>
      <c r="H50" s="77">
        <f t="shared" si="30"/>
        <v>8.511841568741697E-3</v>
      </c>
      <c r="I50" s="77">
        <f t="shared" si="31"/>
        <v>8.511841568741697E-3</v>
      </c>
      <c r="J50" s="77">
        <f t="shared" si="31"/>
        <v>8.511841568741697E-3</v>
      </c>
      <c r="K50" s="77">
        <f t="shared" si="31"/>
        <v>8.511841568741697E-3</v>
      </c>
      <c r="L50" s="77">
        <f t="shared" si="31"/>
        <v>8.511841568741697E-3</v>
      </c>
    </row>
    <row r="51" spans="2:12" x14ac:dyDescent="0.3">
      <c r="C51" s="39"/>
      <c r="D51" s="39"/>
      <c r="E51" s="39"/>
      <c r="F51" s="39"/>
      <c r="G51" s="39"/>
      <c r="H51" s="45"/>
      <c r="I51" s="45"/>
      <c r="J51" s="45"/>
      <c r="K51" s="45"/>
      <c r="L51" s="45"/>
    </row>
    <row r="52" spans="2:12" x14ac:dyDescent="0.3">
      <c r="B52" s="46" t="s">
        <v>129</v>
      </c>
      <c r="C52" s="143">
        <f>'P&amp;L'!C5</f>
        <v>42429.89</v>
      </c>
      <c r="D52" s="143">
        <f>'P&amp;L'!D5</f>
        <v>44725.8</v>
      </c>
      <c r="E52" s="143">
        <f>'P&amp;L'!E5</f>
        <v>52598.83</v>
      </c>
      <c r="F52" s="143">
        <f>'P&amp;L'!F5</f>
        <v>63239.98</v>
      </c>
      <c r="G52" s="143">
        <f>'P&amp;L'!G5</f>
        <v>70908.14</v>
      </c>
      <c r="H52" s="144">
        <f>'P&amp;L'!H5</f>
        <v>82749.799379999997</v>
      </c>
      <c r="I52" s="144">
        <f>'P&amp;L'!I5</f>
        <v>96569.015876460006</v>
      </c>
      <c r="J52" s="144">
        <f>'P&amp;L'!J5</f>
        <v>111730.35136906423</v>
      </c>
      <c r="K52" s="144">
        <f>'P&amp;L'!K5</f>
        <v>128154.71302031667</v>
      </c>
      <c r="L52" s="144">
        <f>'P&amp;L'!L5</f>
        <v>145711.90870410006</v>
      </c>
    </row>
    <row r="53" spans="2:12" x14ac:dyDescent="0.3">
      <c r="B53" s="46" t="s">
        <v>88</v>
      </c>
      <c r="C53" s="143">
        <f>'P&amp;L'!C6</f>
        <v>9561.36</v>
      </c>
      <c r="D53" s="143">
        <f>'P&amp;L'!D6</f>
        <v>10153.189999999999</v>
      </c>
      <c r="E53" s="143">
        <f>'P&amp;L'!E6</f>
        <v>11854.66</v>
      </c>
      <c r="F53" s="143">
        <f>'P&amp;L'!F6</f>
        <v>14059.3</v>
      </c>
      <c r="G53" s="143">
        <f>'P&amp;L'!G6</f>
        <v>16801.09</v>
      </c>
      <c r="H53" s="144">
        <f>'P&amp;L'!H6</f>
        <v>18817.166218399569</v>
      </c>
      <c r="I53" s="144">
        <f>'P&amp;L'!I6</f>
        <v>21959.632976872301</v>
      </c>
      <c r="J53" s="144">
        <f>'P&amp;L'!J6</f>
        <v>25407.295354241251</v>
      </c>
      <c r="K53" s="144">
        <f>'P&amp;L'!K6</f>
        <v>29142.167771314718</v>
      </c>
      <c r="L53" s="144">
        <f>'P&amp;L'!L6</f>
        <v>33134.644755984831</v>
      </c>
    </row>
    <row r="54" spans="2:12" x14ac:dyDescent="0.3">
      <c r="C54" s="39"/>
      <c r="D54" s="39"/>
      <c r="E54" s="39"/>
      <c r="F54" s="39"/>
      <c r="G54" s="39"/>
      <c r="H54" s="45"/>
      <c r="I54" s="45"/>
      <c r="J54" s="45"/>
      <c r="K54" s="45"/>
      <c r="L54" s="45"/>
    </row>
    <row r="55" spans="2:12" x14ac:dyDescent="0.3">
      <c r="B55" t="s">
        <v>174</v>
      </c>
      <c r="C55" s="39"/>
      <c r="D55" s="39"/>
      <c r="E55" s="39"/>
      <c r="F55" s="39"/>
      <c r="G55" s="39"/>
      <c r="H55" s="45"/>
      <c r="I55" s="45"/>
      <c r="J55" s="45"/>
      <c r="K55" s="45"/>
      <c r="L55" s="45"/>
    </row>
    <row r="56" spans="2:12" x14ac:dyDescent="0.3">
      <c r="B56" t="s">
        <v>176</v>
      </c>
      <c r="C56" s="95" t="s">
        <v>124</v>
      </c>
      <c r="D56" s="39">
        <f>C59</f>
        <v>38755</v>
      </c>
      <c r="E56" s="39">
        <f t="shared" ref="E56:G56" si="32">D59</f>
        <v>43886</v>
      </c>
      <c r="F56" s="39">
        <f t="shared" si="32"/>
        <v>50147</v>
      </c>
      <c r="G56" s="39">
        <f t="shared" si="32"/>
        <v>54036</v>
      </c>
      <c r="H56" s="45"/>
      <c r="I56" s="45"/>
      <c r="J56" s="45"/>
      <c r="K56" s="45"/>
      <c r="L56" s="45"/>
    </row>
    <row r="57" spans="2:12" x14ac:dyDescent="0.3">
      <c r="B57" t="s">
        <v>97</v>
      </c>
      <c r="C57" s="95" t="s">
        <v>124</v>
      </c>
      <c r="D57" s="39">
        <f>'P&amp;L'!D21</f>
        <v>4393.8499999999995</v>
      </c>
      <c r="E57" s="39">
        <f>'P&amp;L'!E21</f>
        <v>6237.3099999999968</v>
      </c>
      <c r="F57" s="39">
        <f>'P&amp;L'!F21</f>
        <v>3976.3800000000069</v>
      </c>
      <c r="G57" s="39">
        <f>'P&amp;L'!G21</f>
        <v>4983.1300000000047</v>
      </c>
      <c r="H57" s="45"/>
      <c r="I57" s="45"/>
      <c r="J57" s="45"/>
      <c r="K57" s="45"/>
      <c r="L57" s="45"/>
    </row>
    <row r="58" spans="2:12" x14ac:dyDescent="0.3">
      <c r="B58" t="s">
        <v>171</v>
      </c>
      <c r="C58" s="95" t="s">
        <v>124</v>
      </c>
      <c r="D58" s="39">
        <f>D59-D56-D57</f>
        <v>737.15000000000055</v>
      </c>
      <c r="E58" s="39">
        <f t="shared" ref="E58:G58" si="33">E59-E56-E57</f>
        <v>23.690000000003238</v>
      </c>
      <c r="F58" s="39">
        <f t="shared" si="33"/>
        <v>-87.38000000000693</v>
      </c>
      <c r="G58" s="39">
        <f t="shared" si="33"/>
        <v>919.86999999999534</v>
      </c>
      <c r="H58" s="45"/>
      <c r="I58" s="45"/>
      <c r="J58" s="45"/>
      <c r="K58" s="45"/>
      <c r="L58" s="45"/>
    </row>
    <row r="59" spans="2:12" x14ac:dyDescent="0.3">
      <c r="B59" s="46" t="s">
        <v>175</v>
      </c>
      <c r="C59" s="47">
        <f>'Balance Sheet'!C34</f>
        <v>38755</v>
      </c>
      <c r="D59" s="47">
        <f>'Balance Sheet'!D34</f>
        <v>43886</v>
      </c>
      <c r="E59" s="47">
        <f>'Balance Sheet'!E34</f>
        <v>50147</v>
      </c>
      <c r="F59" s="47">
        <f>'Balance Sheet'!F34</f>
        <v>54036</v>
      </c>
      <c r="G59" s="47">
        <f>'Balance Sheet'!G34</f>
        <v>59939</v>
      </c>
      <c r="H59" s="48"/>
      <c r="I59" s="48"/>
      <c r="J59" s="48"/>
      <c r="K59" s="48"/>
      <c r="L59" s="48"/>
    </row>
    <row r="60" spans="2:12" x14ac:dyDescent="0.3">
      <c r="C60" s="39"/>
      <c r="D60" s="39"/>
      <c r="E60" s="39"/>
      <c r="F60" s="39"/>
      <c r="G60" s="39"/>
      <c r="H60" s="45"/>
      <c r="I60" s="45"/>
      <c r="J60" s="45"/>
      <c r="K60" s="45"/>
      <c r="L60" s="45"/>
    </row>
    <row r="61" spans="2:12" x14ac:dyDescent="0.3">
      <c r="C61" s="39"/>
      <c r="D61" s="39"/>
      <c r="E61" s="39"/>
      <c r="F61" s="39"/>
      <c r="G61" s="39"/>
      <c r="H61" s="45"/>
      <c r="I61" s="45"/>
      <c r="J61" s="45"/>
      <c r="K61" s="45"/>
      <c r="L61" s="45"/>
    </row>
    <row r="62" spans="2:12" x14ac:dyDescent="0.3">
      <c r="C62" s="39"/>
      <c r="D62" s="39"/>
      <c r="E62" s="39"/>
      <c r="F62" s="39"/>
      <c r="G62" s="39"/>
      <c r="H62" s="45"/>
      <c r="I62" s="45"/>
      <c r="J62" s="45"/>
      <c r="K62" s="45"/>
      <c r="L62" s="45"/>
    </row>
    <row r="63" spans="2:12" x14ac:dyDescent="0.3">
      <c r="C63" s="39"/>
      <c r="D63" s="39"/>
      <c r="E63" s="39"/>
      <c r="F63" s="39"/>
      <c r="G63" s="39"/>
      <c r="H63" s="45"/>
      <c r="I63" s="45"/>
      <c r="J63" s="45"/>
      <c r="K63" s="45"/>
      <c r="L63" s="45"/>
    </row>
    <row r="64" spans="2:12" x14ac:dyDescent="0.3">
      <c r="C64" s="39"/>
      <c r="D64" s="39"/>
      <c r="E64" s="39"/>
      <c r="F64" s="39"/>
      <c r="G64" s="39"/>
      <c r="H64" s="45"/>
      <c r="I64" s="45"/>
      <c r="J64" s="45"/>
      <c r="K64" s="45"/>
      <c r="L64" s="45"/>
    </row>
    <row r="65" spans="2:12" x14ac:dyDescent="0.3">
      <c r="C65" s="39"/>
      <c r="D65" s="39"/>
      <c r="E65" s="39"/>
      <c r="F65" s="39"/>
      <c r="G65" s="39"/>
      <c r="H65" s="45"/>
      <c r="I65" s="45"/>
      <c r="J65" s="45"/>
      <c r="K65" s="45"/>
      <c r="L65" s="45"/>
    </row>
    <row r="66" spans="2:12" x14ac:dyDescent="0.3">
      <c r="C66" s="39"/>
      <c r="D66" s="39"/>
      <c r="E66" s="39"/>
      <c r="F66" s="39"/>
      <c r="G66" s="39"/>
      <c r="H66" s="45"/>
      <c r="I66" s="45"/>
      <c r="J66" s="45"/>
      <c r="K66" s="45"/>
      <c r="L66" s="45"/>
    </row>
    <row r="67" spans="2:12" x14ac:dyDescent="0.3">
      <c r="C67" s="39"/>
      <c r="D67" s="39"/>
      <c r="E67" s="39"/>
      <c r="F67" s="39"/>
      <c r="G67" s="39"/>
      <c r="H67" s="45"/>
      <c r="I67" s="45"/>
      <c r="J67" s="45"/>
      <c r="K67" s="45"/>
      <c r="L67" s="45"/>
    </row>
    <row r="68" spans="2:12" x14ac:dyDescent="0.3">
      <c r="C68" s="39"/>
      <c r="D68" s="39"/>
      <c r="E68" s="39"/>
      <c r="F68" s="39"/>
      <c r="G68" s="39"/>
      <c r="H68" s="45"/>
      <c r="I68" s="45"/>
      <c r="J68" s="45"/>
      <c r="K68" s="45"/>
      <c r="L68" s="45"/>
    </row>
    <row r="69" spans="2:12" x14ac:dyDescent="0.3">
      <c r="C69" s="39"/>
      <c r="D69" s="39"/>
      <c r="E69" s="39"/>
      <c r="F69" s="39"/>
      <c r="G69" s="39"/>
      <c r="H69" s="45"/>
      <c r="I69" s="45"/>
      <c r="J69" s="45"/>
      <c r="K69" s="45"/>
      <c r="L69" s="45"/>
    </row>
    <row r="70" spans="2:12" x14ac:dyDescent="0.3">
      <c r="C70" s="39"/>
      <c r="D70" s="39"/>
      <c r="E70" s="39"/>
      <c r="F70" s="39"/>
      <c r="G70" s="39"/>
      <c r="H70" s="45"/>
      <c r="I70" s="45"/>
      <c r="J70" s="45"/>
      <c r="K70" s="45"/>
      <c r="L70" s="45"/>
    </row>
    <row r="71" spans="2:12" x14ac:dyDescent="0.3">
      <c r="C71" s="39"/>
      <c r="D71" s="39"/>
      <c r="E71" s="39"/>
      <c r="F71" s="39"/>
      <c r="G71" s="39"/>
      <c r="H71" s="45"/>
      <c r="I71" s="45"/>
      <c r="J71" s="45"/>
      <c r="K71" s="45"/>
      <c r="L71" s="45"/>
    </row>
    <row r="72" spans="2:12" x14ac:dyDescent="0.3">
      <c r="C72" s="39"/>
      <c r="D72" s="39"/>
      <c r="E72" s="39"/>
      <c r="F72" s="39"/>
      <c r="G72" s="39"/>
      <c r="H72" s="45"/>
      <c r="I72" s="45"/>
      <c r="J72" s="45"/>
      <c r="K72" s="45"/>
      <c r="L72" s="45"/>
    </row>
    <row r="73" spans="2:12" x14ac:dyDescent="0.3">
      <c r="C73" s="39"/>
      <c r="D73" s="39"/>
      <c r="E73" s="39"/>
      <c r="F73" s="39"/>
      <c r="G73" s="39"/>
      <c r="H73" s="45"/>
      <c r="I73" s="45"/>
      <c r="J73" s="45"/>
      <c r="K73" s="45"/>
      <c r="L73" s="45"/>
    </row>
    <row r="74" spans="2:12" x14ac:dyDescent="0.3">
      <c r="B74" s="46"/>
      <c r="C74" s="47"/>
      <c r="D74" s="47"/>
      <c r="E74" s="47"/>
      <c r="F74" s="47"/>
      <c r="G74" s="47"/>
      <c r="H74" s="48"/>
      <c r="I74" s="48"/>
      <c r="J74" s="48"/>
      <c r="K74" s="48"/>
      <c r="L74" s="48"/>
    </row>
  </sheetData>
  <conditionalFormatting sqref="C2">
    <cfRule type="containsText" dxfId="6" priority="1" operator="containsText" text="3">
      <formula>NOT(ISERROR(SEARCH("3",C2)))</formula>
    </cfRule>
    <cfRule type="containsText" dxfId="5" priority="2" operator="containsText" text="2">
      <formula>NOT(ISERROR(SEARCH("2",C2)))</formula>
    </cfRule>
    <cfRule type="containsText" dxfId="4" priority="3" operator="containsText" text="1">
      <formula>NOT(ISERROR(SEARCH("1",C2)))</formula>
    </cfRule>
  </conditionalFormatting>
  <dataValidations count="1">
    <dataValidation type="list" allowBlank="1" showInputMessage="1" showErrorMessage="1" sqref="C2" xr:uid="{0CA228E8-B7B2-48EB-B3E3-C40657A33824}">
      <formula1>"1,2,3"</formula1>
    </dataValidation>
  </dataValidations>
  <hyperlinks>
    <hyperlink ref="L2" location="Index!A1" display="Index" xr:uid="{D055A21B-8B0A-4862-9B8F-738FF4EAE709}"/>
  </hyperlinks>
  <pageMargins left="0.7" right="0.7" top="0.75" bottom="0.75" header="0.3" footer="0.3"/>
  <ignoredErrors>
    <ignoredError sqref="I8:L8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75E1-7ADE-4696-9A33-510C5C910BCD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9051-A912-4CA2-8053-E678611BB06E}">
  <dimension ref="A2:L21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L5"/>
    </sheetView>
  </sheetViews>
  <sheetFormatPr defaultColWidth="0" defaultRowHeight="14.4" x14ac:dyDescent="0.3"/>
  <cols>
    <col min="1" max="1" width="1.88671875" customWidth="1"/>
    <col min="2" max="2" width="22.88671875" customWidth="1"/>
    <col min="3" max="12" width="12.88671875" customWidth="1"/>
    <col min="13" max="16384" width="8.88671875" hidden="1"/>
  </cols>
  <sheetData>
    <row r="2" spans="2:12" ht="25.8" x14ac:dyDescent="0.5">
      <c r="B2" s="31" t="s">
        <v>84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t="s">
        <v>87</v>
      </c>
      <c r="C5" s="39">
        <f>'(IS)'!G3</f>
        <v>42429.89</v>
      </c>
      <c r="D5" s="39">
        <f>'(IS)'!H3</f>
        <v>44725.8</v>
      </c>
      <c r="E5" s="39">
        <f>'(IS)'!I3</f>
        <v>52598.83</v>
      </c>
      <c r="F5" s="39">
        <f>'(IS)'!J3</f>
        <v>63239.98</v>
      </c>
      <c r="G5" s="40">
        <f>'(IS)'!K3</f>
        <v>70908.14</v>
      </c>
      <c r="H5" s="88">
        <f>Drivers!H7</f>
        <v>82749.799379999997</v>
      </c>
      <c r="I5" s="88">
        <f>Drivers!I7</f>
        <v>96569.015876460006</v>
      </c>
      <c r="J5" s="88">
        <f>Drivers!J7</f>
        <v>111730.35136906423</v>
      </c>
      <c r="K5" s="88">
        <f>Drivers!K7</f>
        <v>128154.71302031667</v>
      </c>
      <c r="L5" s="88">
        <f>Drivers!L7</f>
        <v>145711.90870410006</v>
      </c>
    </row>
    <row r="6" spans="2:12" x14ac:dyDescent="0.3">
      <c r="B6" t="s">
        <v>88</v>
      </c>
      <c r="C6" s="39">
        <f>'(IS)'!G4-'(IS)'!G5+'(IS)'!G7</f>
        <v>9561.36</v>
      </c>
      <c r="D6" s="39">
        <f>'(IS)'!H4-'(IS)'!H5+'(IS)'!H7</f>
        <v>10153.189999999999</v>
      </c>
      <c r="E6" s="39">
        <f>'(IS)'!I4-'(IS)'!I5+'(IS)'!I7</f>
        <v>11854.66</v>
      </c>
      <c r="F6" s="39">
        <f>'(IS)'!J4-'(IS)'!J5+'(IS)'!J7</f>
        <v>14059.3</v>
      </c>
      <c r="G6" s="40">
        <f>'(IS)'!K4-'(IS)'!K5+'(IS)'!K7</f>
        <v>16801.09</v>
      </c>
      <c r="H6" s="88">
        <f>Drivers!H13</f>
        <v>18817.166218399569</v>
      </c>
      <c r="I6" s="88">
        <f>Drivers!I13</f>
        <v>21959.632976872301</v>
      </c>
      <c r="J6" s="88">
        <f>Drivers!J13</f>
        <v>25407.295354241251</v>
      </c>
      <c r="K6" s="88">
        <f>Drivers!K13</f>
        <v>29142.167771314718</v>
      </c>
      <c r="L6" s="88">
        <f>Drivers!L13</f>
        <v>33134.644755984831</v>
      </c>
    </row>
    <row r="7" spans="2:12" ht="15" thickBot="1" x14ac:dyDescent="0.35">
      <c r="B7" s="36" t="s">
        <v>89</v>
      </c>
      <c r="C7" s="41">
        <f>C5-C6</f>
        <v>32868.53</v>
      </c>
      <c r="D7" s="41">
        <f t="shared" ref="D7:G7" si="0">D5-D6</f>
        <v>34572.61</v>
      </c>
      <c r="E7" s="41">
        <f t="shared" si="0"/>
        <v>40744.17</v>
      </c>
      <c r="F7" s="41">
        <f t="shared" si="0"/>
        <v>49180.680000000008</v>
      </c>
      <c r="G7" s="42">
        <f t="shared" si="0"/>
        <v>54107.05</v>
      </c>
      <c r="H7" s="89">
        <f>H5-H6</f>
        <v>63932.633161600432</v>
      </c>
      <c r="I7" s="89">
        <f t="shared" ref="I7:L7" si="1">I5-I6</f>
        <v>74609.382899587712</v>
      </c>
      <c r="J7" s="89">
        <f t="shared" si="1"/>
        <v>86323.056014822971</v>
      </c>
      <c r="K7" s="89">
        <f t="shared" si="1"/>
        <v>99012.545249001952</v>
      </c>
      <c r="L7" s="89">
        <f t="shared" si="1"/>
        <v>112577.26394811523</v>
      </c>
    </row>
    <row r="8" spans="2:12" x14ac:dyDescent="0.3">
      <c r="B8" s="2" t="s">
        <v>3</v>
      </c>
      <c r="C8" s="39">
        <f>'(IS)'!G6</f>
        <v>8516.8700000000008</v>
      </c>
      <c r="D8" s="39">
        <f>'(IS)'!H6</f>
        <v>8331.18</v>
      </c>
      <c r="E8" s="39">
        <f>'(IS)'!I6</f>
        <v>12137.26</v>
      </c>
      <c r="F8" s="39">
        <f>'(IS)'!J6</f>
        <v>18491.32</v>
      </c>
      <c r="G8" s="40">
        <f>'(IS)'!K6</f>
        <v>18283.32</v>
      </c>
      <c r="H8" s="88">
        <f>H5*Drivers!H19</f>
        <v>19330.291934622837</v>
      </c>
      <c r="I8" s="88">
        <f>I5*Drivers!I19</f>
        <v>22558.450687704855</v>
      </c>
      <c r="J8" s="88">
        <f>J5*Drivers!J19</f>
        <v>26100.127445674516</v>
      </c>
      <c r="K8" s="88">
        <f>K5*Drivers!K19</f>
        <v>29936.846180188673</v>
      </c>
      <c r="L8" s="88">
        <f>L5*Drivers!L19</f>
        <v>34038.194106874522</v>
      </c>
    </row>
    <row r="9" spans="2:12" x14ac:dyDescent="0.3">
      <c r="B9" s="1" t="s">
        <v>5</v>
      </c>
      <c r="C9" s="39">
        <f>'(IS)'!G8</f>
        <v>2522.64</v>
      </c>
      <c r="D9" s="39">
        <f>'(IS)'!H8</f>
        <v>2363.33</v>
      </c>
      <c r="E9" s="39">
        <f>'(IS)'!I8</f>
        <v>2545</v>
      </c>
      <c r="F9" s="39">
        <f>'(IS)'!J8</f>
        <v>2751.31</v>
      </c>
      <c r="G9" s="40">
        <f>'(IS)'!K8</f>
        <v>3051.99</v>
      </c>
      <c r="H9" s="88">
        <f>G9*(1+Drivers!H20)</f>
        <v>3323.8422482672413</v>
      </c>
      <c r="I9" s="88">
        <f>H9*(1+Drivers!I20)</f>
        <v>3619.9094005439824</v>
      </c>
      <c r="J9" s="88">
        <f>I9*(1+Drivers!J20)</f>
        <v>3942.348369564721</v>
      </c>
      <c r="K9" s="88">
        <f>J9*(1+Drivers!K20)</f>
        <v>4293.5081924078049</v>
      </c>
      <c r="L9" s="88">
        <f>K9*(1+Drivers!L20)</f>
        <v>4675.9471437346056</v>
      </c>
    </row>
    <row r="10" spans="2:12" x14ac:dyDescent="0.3">
      <c r="B10" s="1" t="s">
        <v>6</v>
      </c>
      <c r="C10" s="39">
        <f>'(IS)'!G9</f>
        <v>11237.32</v>
      </c>
      <c r="D10" s="39">
        <f>'(IS)'!H9</f>
        <v>11266.02</v>
      </c>
      <c r="E10" s="39">
        <f>'(IS)'!I9</f>
        <v>13282.22</v>
      </c>
      <c r="F10" s="39">
        <f>'(IS)'!J9</f>
        <v>15859.6</v>
      </c>
      <c r="G10" s="40">
        <f>'(IS)'!K9</f>
        <v>18066.95</v>
      </c>
      <c r="H10" s="88">
        <f>G10*(1+Drivers!H21)</f>
        <v>21151.526400080606</v>
      </c>
      <c r="I10" s="88">
        <f>H10*(1+Drivers!I21)</f>
        <v>24762.733557867086</v>
      </c>
      <c r="J10" s="88">
        <f>I10*(1+Drivers!J21)</f>
        <v>28990.483318290444</v>
      </c>
      <c r="K10" s="88">
        <f>J10*(1+Drivers!K21)</f>
        <v>33940.038205558587</v>
      </c>
      <c r="L10" s="88">
        <f>K10*(1+Drivers!L21)</f>
        <v>39734.632249749775</v>
      </c>
    </row>
    <row r="11" spans="2:12" x14ac:dyDescent="0.3">
      <c r="B11" s="1" t="s">
        <v>7</v>
      </c>
      <c r="C11" s="39">
        <f>'(IS)'!G10</f>
        <v>1345.73</v>
      </c>
      <c r="D11" s="39">
        <f>'(IS)'!H10</f>
        <v>1044.17</v>
      </c>
      <c r="E11" s="39">
        <f>'(IS)'!I10</f>
        <v>1265.3399999999999</v>
      </c>
      <c r="F11" s="39">
        <f>'(IS)'!J10</f>
        <v>1458.6</v>
      </c>
      <c r="G11" s="40">
        <f>'(IS)'!K10</f>
        <v>1736.23</v>
      </c>
      <c r="H11" s="88">
        <f>G11*(1+Drivers!H22)</f>
        <v>2057.3676571946789</v>
      </c>
      <c r="I11" s="88">
        <f>H11*(1+Drivers!I22)</f>
        <v>2437.9037782268033</v>
      </c>
      <c r="J11" s="88">
        <f>I11*(1+Drivers!J22)</f>
        <v>2888.8248588473502</v>
      </c>
      <c r="K11" s="88">
        <f>J11*(1+Drivers!K22)</f>
        <v>3423.1494858932992</v>
      </c>
      <c r="L11" s="88">
        <f>K11*(1+Drivers!L22)</f>
        <v>4056.3041981877213</v>
      </c>
    </row>
    <row r="12" spans="2:12" x14ac:dyDescent="0.3">
      <c r="B12" t="s">
        <v>8</v>
      </c>
      <c r="C12" s="39">
        <f>'(IS)'!G11</f>
        <v>651.05999999999995</v>
      </c>
      <c r="D12" s="39">
        <f>'(IS)'!H11</f>
        <v>618.52</v>
      </c>
      <c r="E12" s="39">
        <f>'(IS)'!I11</f>
        <v>669.43</v>
      </c>
      <c r="F12" s="39">
        <f>'(IS)'!J11</f>
        <v>507.11</v>
      </c>
      <c r="G12" s="40">
        <f>'(IS)'!K11</f>
        <v>566.96</v>
      </c>
      <c r="H12" s="88">
        <f>AVERAGE(C12:G12)</f>
        <v>602.61599999999999</v>
      </c>
      <c r="I12" s="88">
        <f t="shared" ref="I12:L12" si="2">AVERAGE(D12:H12)</f>
        <v>592.92719999999997</v>
      </c>
      <c r="J12" s="88">
        <f t="shared" si="2"/>
        <v>587.80863999999997</v>
      </c>
      <c r="K12" s="88">
        <f t="shared" si="2"/>
        <v>571.48436800000002</v>
      </c>
      <c r="L12" s="88">
        <f t="shared" si="2"/>
        <v>584.35924160000002</v>
      </c>
    </row>
    <row r="13" spans="2:12" ht="15" thickBot="1" x14ac:dyDescent="0.35">
      <c r="B13" s="36" t="s">
        <v>90</v>
      </c>
      <c r="C13" s="41">
        <f>C7-C8-C9-C10-C11+C12</f>
        <v>9897.029999999997</v>
      </c>
      <c r="D13" s="41">
        <f t="shared" ref="D13:G13" si="3">D7-D8-D9-D10-D11+D12</f>
        <v>12186.429999999998</v>
      </c>
      <c r="E13" s="41">
        <f t="shared" si="3"/>
        <v>12183.779999999997</v>
      </c>
      <c r="F13" s="41">
        <f t="shared" si="3"/>
        <v>11126.960000000006</v>
      </c>
      <c r="G13" s="42">
        <f t="shared" si="3"/>
        <v>13535.520000000004</v>
      </c>
      <c r="H13" s="89">
        <f>H7-H8-H9-H10-H11+H12</f>
        <v>18672.220921435073</v>
      </c>
      <c r="I13" s="89">
        <f t="shared" ref="I13:L13" si="4">I7-I8-I9-I10-I11+I12</f>
        <v>21823.312675244983</v>
      </c>
      <c r="J13" s="89">
        <f t="shared" si="4"/>
        <v>24989.080662445936</v>
      </c>
      <c r="K13" s="89">
        <f t="shared" si="4"/>
        <v>27990.487552953589</v>
      </c>
      <c r="L13" s="89">
        <f t="shared" si="4"/>
        <v>30656.545491168603</v>
      </c>
    </row>
    <row r="14" spans="2:12" x14ac:dyDescent="0.3">
      <c r="B14" t="s">
        <v>91</v>
      </c>
      <c r="C14" s="39">
        <f>'(IS)'!G12</f>
        <v>2722.66</v>
      </c>
      <c r="D14" s="39">
        <f>'(IS)'!H12</f>
        <v>2700.23</v>
      </c>
      <c r="E14" s="39">
        <f>'(IS)'!I12</f>
        <v>2714.75</v>
      </c>
      <c r="F14" s="39">
        <f>'(IS)'!J12</f>
        <v>2887.99</v>
      </c>
      <c r="G14" s="40">
        <f>'(IS)'!K12</f>
        <v>3145.3</v>
      </c>
      <c r="H14" s="88">
        <f>PPE!H16</f>
        <v>3511.2171412192315</v>
      </c>
      <c r="I14" s="88">
        <f>PPE!I16</f>
        <v>3731.645436268811</v>
      </c>
      <c r="J14" s="88">
        <f>PPE!J16</f>
        <v>4048.2709508027042</v>
      </c>
      <c r="K14" s="88">
        <f>PPE!K16</f>
        <v>4409.7500587953637</v>
      </c>
      <c r="L14" s="88">
        <f>PPE!L16</f>
        <v>4793.6612778887102</v>
      </c>
    </row>
    <row r="15" spans="2:12" ht="15" thickBot="1" x14ac:dyDescent="0.35">
      <c r="B15" s="36" t="s">
        <v>92</v>
      </c>
      <c r="C15" s="41">
        <f>C13-C14</f>
        <v>7174.3699999999972</v>
      </c>
      <c r="D15" s="41">
        <f t="shared" ref="D15:G15" si="5">D13-D14</f>
        <v>9486.1999999999989</v>
      </c>
      <c r="E15" s="41">
        <f t="shared" si="5"/>
        <v>9469.029999999997</v>
      </c>
      <c r="F15" s="41">
        <f t="shared" si="5"/>
        <v>8238.9700000000066</v>
      </c>
      <c r="G15" s="42">
        <f t="shared" si="5"/>
        <v>10390.220000000005</v>
      </c>
      <c r="H15" s="89">
        <f>H13-H14</f>
        <v>15161.003780215842</v>
      </c>
      <c r="I15" s="89">
        <f t="shared" ref="I15:L15" si="6">I13-I14</f>
        <v>18091.667238976173</v>
      </c>
      <c r="J15" s="89">
        <f t="shared" si="6"/>
        <v>20940.809711643233</v>
      </c>
      <c r="K15" s="89">
        <f t="shared" si="6"/>
        <v>23580.737494158224</v>
      </c>
      <c r="L15" s="89">
        <f t="shared" si="6"/>
        <v>25862.884213279893</v>
      </c>
    </row>
    <row r="16" spans="2:12" x14ac:dyDescent="0.3">
      <c r="B16" t="s">
        <v>10</v>
      </c>
      <c r="C16" s="39">
        <f>'(IS)'!G13</f>
        <v>1991.65</v>
      </c>
      <c r="D16" s="39">
        <f>'(IS)'!H13</f>
        <v>1485.65</v>
      </c>
      <c r="E16" s="39">
        <f>'(IS)'!I13</f>
        <v>944.71</v>
      </c>
      <c r="F16" s="39">
        <f>'(IS)'!J13</f>
        <v>822.72</v>
      </c>
      <c r="G16" s="40">
        <f>'(IS)'!K13</f>
        <v>968</v>
      </c>
      <c r="H16" s="88">
        <f>Drivers!H34</f>
        <v>906.28642759745685</v>
      </c>
      <c r="I16" s="88">
        <f>Drivers!I34</f>
        <v>911.83891109852323</v>
      </c>
      <c r="J16" s="88">
        <f>Drivers!J34</f>
        <v>910.2205441643307</v>
      </c>
      <c r="K16" s="88">
        <f>Drivers!K34</f>
        <v>903.29161821019488</v>
      </c>
      <c r="L16" s="88">
        <f>Drivers!L34</f>
        <v>920.4591338508335</v>
      </c>
    </row>
    <row r="17" spans="2:12" x14ac:dyDescent="0.3">
      <c r="B17" s="46" t="s">
        <v>93</v>
      </c>
      <c r="C17" s="47">
        <f>C15-C16</f>
        <v>5182.7199999999975</v>
      </c>
      <c r="D17" s="47">
        <f t="shared" ref="D17:G17" si="7">D15-D16</f>
        <v>8000.5499999999993</v>
      </c>
      <c r="E17" s="47">
        <f t="shared" si="7"/>
        <v>8524.3199999999961</v>
      </c>
      <c r="F17" s="47">
        <f t="shared" si="7"/>
        <v>7416.2500000000064</v>
      </c>
      <c r="G17" s="90">
        <f t="shared" si="7"/>
        <v>9422.2200000000048</v>
      </c>
      <c r="H17" s="87">
        <f>H15-H16</f>
        <v>14254.717352618385</v>
      </c>
      <c r="I17" s="87">
        <f t="shared" ref="I17:L17" si="8">I15-I16</f>
        <v>17179.828327877651</v>
      </c>
      <c r="J17" s="87">
        <f t="shared" si="8"/>
        <v>20030.589167478902</v>
      </c>
      <c r="K17" s="87">
        <f t="shared" si="8"/>
        <v>22677.445875948029</v>
      </c>
      <c r="L17" s="87">
        <f t="shared" si="8"/>
        <v>24942.42507942906</v>
      </c>
    </row>
    <row r="18" spans="2:12" x14ac:dyDescent="0.3">
      <c r="B18" t="s">
        <v>94</v>
      </c>
      <c r="C18" s="39">
        <f>'(IS)'!G15</f>
        <v>-568.16</v>
      </c>
      <c r="D18" s="39">
        <f>'(IS)'!H15</f>
        <v>2538.6999999999998</v>
      </c>
      <c r="E18" s="39">
        <f>'(IS)'!I15</f>
        <v>1190.06</v>
      </c>
      <c r="F18" s="39">
        <f>'(IS)'!J15</f>
        <v>2342.85</v>
      </c>
      <c r="G18" s="40">
        <f>'(IS)'!K15</f>
        <v>2418.2600000000002</v>
      </c>
      <c r="H18" s="88">
        <f>H17*Drivers!H26</f>
        <v>3563.6793381545963</v>
      </c>
      <c r="I18" s="88">
        <f>I17*Drivers!I26</f>
        <v>4294.9570819694127</v>
      </c>
      <c r="J18" s="88">
        <f>J17*Drivers!J26</f>
        <v>5007.6472918697254</v>
      </c>
      <c r="K18" s="88">
        <f>K17*Drivers!K26</f>
        <v>5669.3614689870074</v>
      </c>
      <c r="L18" s="88">
        <f>L17*Drivers!L26</f>
        <v>6235.606269857265</v>
      </c>
    </row>
    <row r="19" spans="2:12" ht="15" thickBot="1" x14ac:dyDescent="0.35">
      <c r="B19" s="36" t="s">
        <v>95</v>
      </c>
      <c r="C19" s="41">
        <f>C17-C18</f>
        <v>5750.8799999999974</v>
      </c>
      <c r="D19" s="41">
        <f t="shared" ref="D19:G19" si="9">D17-D18</f>
        <v>5461.8499999999995</v>
      </c>
      <c r="E19" s="41">
        <f t="shared" si="9"/>
        <v>7334.2599999999966</v>
      </c>
      <c r="F19" s="41">
        <f t="shared" si="9"/>
        <v>5073.4000000000069</v>
      </c>
      <c r="G19" s="42">
        <f t="shared" si="9"/>
        <v>7003.9600000000046</v>
      </c>
      <c r="H19" s="89">
        <f>H17-H18</f>
        <v>10691.038014463789</v>
      </c>
      <c r="I19" s="89">
        <f t="shared" ref="I19:L19" si="10">I17-I18</f>
        <v>12884.871245908238</v>
      </c>
      <c r="J19" s="89">
        <f t="shared" si="10"/>
        <v>15022.941875609176</v>
      </c>
      <c r="K19" s="89">
        <f t="shared" si="10"/>
        <v>17008.084406961021</v>
      </c>
      <c r="L19" s="89">
        <f t="shared" si="10"/>
        <v>18706.818809571796</v>
      </c>
    </row>
    <row r="20" spans="2:12" x14ac:dyDescent="0.3">
      <c r="B20" t="s">
        <v>96</v>
      </c>
      <c r="C20" s="39">
        <f>'(IS)'!G17</f>
        <v>375.22</v>
      </c>
      <c r="D20" s="39">
        <f>'(IS)'!H17</f>
        <v>1068</v>
      </c>
      <c r="E20" s="39">
        <f>'(IS)'!I17</f>
        <v>1096.95</v>
      </c>
      <c r="F20" s="39">
        <f>'(IS)'!J17</f>
        <v>1097.02</v>
      </c>
      <c r="G20" s="40">
        <f>'(IS)'!K17</f>
        <v>2020.83</v>
      </c>
      <c r="H20" s="88">
        <f>Drivers!H40</f>
        <v>2271.4710088338334</v>
      </c>
      <c r="I20" s="88">
        <f>Drivers!I40</f>
        <v>2792.1086894102473</v>
      </c>
      <c r="J20" s="88">
        <f>Drivers!J40</f>
        <v>3507.5495493434742</v>
      </c>
      <c r="K20" s="88">
        <f>Drivers!K40</f>
        <v>4044.3861930904786</v>
      </c>
      <c r="L20" s="88">
        <f>Drivers!L40</f>
        <v>4211.0599970526637</v>
      </c>
    </row>
    <row r="21" spans="2:12" x14ac:dyDescent="0.3">
      <c r="B21" s="37" t="s">
        <v>97</v>
      </c>
      <c r="C21" s="43">
        <f>C19-C20</f>
        <v>5375.6599999999971</v>
      </c>
      <c r="D21" s="43">
        <f t="shared" ref="D21:G21" si="11">D19-D20</f>
        <v>4393.8499999999995</v>
      </c>
      <c r="E21" s="43">
        <f t="shared" si="11"/>
        <v>6237.3099999999968</v>
      </c>
      <c r="F21" s="43">
        <f t="shared" si="11"/>
        <v>3976.3800000000069</v>
      </c>
      <c r="G21" s="44">
        <f t="shared" si="11"/>
        <v>4983.1300000000047</v>
      </c>
      <c r="H21" s="139">
        <f>H19-H20</f>
        <v>8419.5670056299568</v>
      </c>
      <c r="I21" s="139">
        <f t="shared" ref="I21:L21" si="12">I19-I20</f>
        <v>10092.76255649799</v>
      </c>
      <c r="J21" s="139">
        <f t="shared" si="12"/>
        <v>11515.392326265703</v>
      </c>
      <c r="K21" s="139">
        <f t="shared" si="12"/>
        <v>12963.698213870543</v>
      </c>
      <c r="L21" s="139">
        <f t="shared" si="12"/>
        <v>14495.758812519132</v>
      </c>
    </row>
  </sheetData>
  <phoneticPr fontId="12" type="noConversion"/>
  <hyperlinks>
    <hyperlink ref="L2" location="'P&amp;L'!A1" display="'P&amp;L'!A1" xr:uid="{330E91DD-12CE-476B-BCDA-DE0FA8C8D06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5401-3C98-4F75-AFE3-7842E698DF16}">
  <dimension ref="C4:R13"/>
  <sheetViews>
    <sheetView tabSelected="1" workbookViewId="0">
      <selection activeCell="I5" sqref="I5:R6"/>
    </sheetView>
  </sheetViews>
  <sheetFormatPr defaultRowHeight="14.4" x14ac:dyDescent="0.3"/>
  <sheetData>
    <row r="4" spans="3:18" x14ac:dyDescent="0.3">
      <c r="C4">
        <v>2020</v>
      </c>
    </row>
    <row r="5" spans="3:18" x14ac:dyDescent="0.3">
      <c r="C5">
        <v>2021</v>
      </c>
      <c r="I5" s="34">
        <v>2020</v>
      </c>
      <c r="J5" s="34">
        <v>2021</v>
      </c>
      <c r="K5" s="34">
        <v>2022</v>
      </c>
      <c r="L5" s="34">
        <v>2023</v>
      </c>
      <c r="M5" s="38">
        <v>2024</v>
      </c>
      <c r="N5" s="35">
        <v>2025</v>
      </c>
      <c r="O5" s="35">
        <v>2026</v>
      </c>
      <c r="P5" s="35">
        <v>2027</v>
      </c>
      <c r="Q5" s="35">
        <v>2028</v>
      </c>
      <c r="R5" s="35">
        <v>2029</v>
      </c>
    </row>
    <row r="6" spans="3:18" x14ac:dyDescent="0.3">
      <c r="C6">
        <v>2022</v>
      </c>
      <c r="I6" s="39">
        <f>'(IS)'!M4</f>
        <v>0</v>
      </c>
      <c r="J6" s="39">
        <f>'(IS)'!N4</f>
        <v>0</v>
      </c>
      <c r="K6" s="39">
        <f>'(IS)'!O4</f>
        <v>0</v>
      </c>
      <c r="L6" s="39">
        <f>'(IS)'!P4</f>
        <v>0</v>
      </c>
      <c r="M6" s="40">
        <f>'(IS)'!Q4</f>
        <v>0</v>
      </c>
      <c r="N6" s="88">
        <f>Drivers!N8</f>
        <v>0</v>
      </c>
      <c r="O6" s="88">
        <f>Drivers!O8</f>
        <v>0</v>
      </c>
      <c r="P6" s="88">
        <f>Drivers!P8</f>
        <v>0</v>
      </c>
      <c r="Q6" s="88">
        <f>Drivers!Q8</f>
        <v>0</v>
      </c>
      <c r="R6" s="88">
        <f>Drivers!R8</f>
        <v>0</v>
      </c>
    </row>
    <row r="7" spans="3:18" x14ac:dyDescent="0.3">
      <c r="C7">
        <v>2023</v>
      </c>
    </row>
    <row r="8" spans="3:18" x14ac:dyDescent="0.3">
      <c r="C8">
        <v>2024</v>
      </c>
    </row>
    <row r="9" spans="3:18" x14ac:dyDescent="0.3">
      <c r="C9">
        <v>2025</v>
      </c>
    </row>
    <row r="10" spans="3:18" x14ac:dyDescent="0.3">
      <c r="C10">
        <v>2026</v>
      </c>
    </row>
    <row r="11" spans="3:18" x14ac:dyDescent="0.3">
      <c r="C11">
        <v>2027</v>
      </c>
    </row>
    <row r="12" spans="3:18" x14ac:dyDescent="0.3">
      <c r="C12">
        <v>2028</v>
      </c>
    </row>
    <row r="13" spans="3:18" x14ac:dyDescent="0.3">
      <c r="C13">
        <v>2029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4D1B-5296-4D63-83B0-079A1D6D832D}">
  <dimension ref="A2:XFC39"/>
  <sheetViews>
    <sheetView showGridLines="0" workbookViewId="0">
      <pane xSplit="2" ySplit="4" topLeftCell="C22" activePane="bottomRight" state="frozen"/>
      <selection pane="topRight" activeCell="C1" sqref="C1"/>
      <selection pane="bottomLeft" activeCell="A5" sqref="A5"/>
      <selection pane="bottomRight" activeCell="L2" sqref="L2"/>
    </sheetView>
  </sheetViews>
  <sheetFormatPr defaultColWidth="0" defaultRowHeight="14.4" x14ac:dyDescent="0.3"/>
  <cols>
    <col min="1" max="1" width="1.88671875" customWidth="1"/>
    <col min="2" max="2" width="27" customWidth="1"/>
    <col min="3" max="12" width="12.5546875" customWidth="1"/>
    <col min="13" max="16383" width="8.88671875" hidden="1"/>
    <col min="16384" max="16384" width="4.109375" hidden="1" customWidth="1"/>
  </cols>
  <sheetData>
    <row r="2" spans="2:12" ht="25.8" x14ac:dyDescent="0.5">
      <c r="B2" s="31" t="s">
        <v>15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s="52" t="s">
        <v>44</v>
      </c>
      <c r="C5" s="49">
        <f>'(BS)'!G36</f>
        <v>4183</v>
      </c>
      <c r="D5" s="39">
        <f>'(BS)'!H36</f>
        <v>4018</v>
      </c>
      <c r="E5" s="39">
        <f>'(BS)'!I36</f>
        <v>5596</v>
      </c>
      <c r="F5" s="39">
        <f>'(BS)'!J36</f>
        <v>6612</v>
      </c>
      <c r="G5" s="39">
        <f>'(BS)'!K36</f>
        <v>8330</v>
      </c>
      <c r="H5" s="136">
        <f>WC!H5</f>
        <v>8548.1616423531596</v>
      </c>
      <c r="I5" s="136">
        <f>WC!I5</f>
        <v>9975.7046366261384</v>
      </c>
      <c r="J5" s="136">
        <f>WC!J5</f>
        <v>11541.890264576443</v>
      </c>
      <c r="K5" s="136">
        <f>WC!K5</f>
        <v>13238.548133469181</v>
      </c>
      <c r="L5" s="136">
        <f>WC!L5</f>
        <v>15052.229227754457</v>
      </c>
    </row>
    <row r="6" spans="2:12" x14ac:dyDescent="0.3">
      <c r="B6" s="52" t="s">
        <v>45</v>
      </c>
      <c r="C6" s="49">
        <f>'(BS)'!G37</f>
        <v>2383</v>
      </c>
      <c r="D6" s="39">
        <f>'(BS)'!H37</f>
        <v>2572</v>
      </c>
      <c r="E6" s="39">
        <f>'(BS)'!I37</f>
        <v>3072</v>
      </c>
      <c r="F6" s="39">
        <f>'(BS)'!J37</f>
        <v>3867</v>
      </c>
      <c r="G6" s="39">
        <f>'(BS)'!K37</f>
        <v>4278</v>
      </c>
      <c r="H6" s="136">
        <f>WC!H6</f>
        <v>4858.2927288407718</v>
      </c>
      <c r="I6" s="136">
        <f>WC!I6</f>
        <v>5669.6276145571819</v>
      </c>
      <c r="J6" s="136">
        <f>WC!J6</f>
        <v>6559.7591500426597</v>
      </c>
      <c r="K6" s="136">
        <f>WC!K6</f>
        <v>7524.0437450989302</v>
      </c>
      <c r="L6" s="136">
        <f>WC!L6</f>
        <v>8554.8377381774844</v>
      </c>
    </row>
    <row r="7" spans="2:12" x14ac:dyDescent="0.3">
      <c r="B7" s="52" t="s">
        <v>46</v>
      </c>
      <c r="C7" s="49">
        <f>'(BS)'!G38</f>
        <v>540</v>
      </c>
      <c r="D7" s="39">
        <f>'(BS)'!H38</f>
        <v>2008</v>
      </c>
      <c r="E7" s="39">
        <f>'(BS)'!I38</f>
        <v>359</v>
      </c>
      <c r="F7" s="39">
        <f>'(BS)'!J38</f>
        <v>1150</v>
      </c>
      <c r="G7" s="39">
        <f>'(BS)'!K38</f>
        <v>783</v>
      </c>
      <c r="H7" s="88">
        <f>G7+'Cash Flow'!H30</f>
        <v>4637.1043491178398</v>
      </c>
      <c r="I7" s="88">
        <f>H7+'Cash Flow'!I30</f>
        <v>7815.4310768883934</v>
      </c>
      <c r="J7" s="88">
        <f>I7+'Cash Flow'!J30</f>
        <v>10624.986216596353</v>
      </c>
      <c r="K7" s="88">
        <f>J7+'Cash Flow'!K30</f>
        <v>14964.085894189891</v>
      </c>
      <c r="L7" s="88">
        <f>K7+'Cash Flow'!L30</f>
        <v>20652.413602638175</v>
      </c>
    </row>
    <row r="8" spans="2:12" x14ac:dyDescent="0.3">
      <c r="B8" s="52" t="s">
        <v>47</v>
      </c>
      <c r="C8" s="49">
        <f>'(BS)'!G39</f>
        <v>796</v>
      </c>
      <c r="D8" s="39">
        <f>'(BS)'!H39</f>
        <v>660</v>
      </c>
      <c r="E8" s="39">
        <f>'(BS)'!I39</f>
        <v>873</v>
      </c>
      <c r="F8" s="39">
        <f>'(BS)'!J39</f>
        <v>951</v>
      </c>
      <c r="G8" s="39">
        <f>'(BS)'!K39</f>
        <v>985</v>
      </c>
      <c r="H8" s="88">
        <f>WC!H7</f>
        <v>1308.1657254770562</v>
      </c>
      <c r="I8" s="88">
        <f>WC!I7</f>
        <v>1526.6294016317247</v>
      </c>
      <c r="J8" s="88">
        <f>WC!J7</f>
        <v>1766.3102176879056</v>
      </c>
      <c r="K8" s="88">
        <f>WC!K7</f>
        <v>2025.9578196880279</v>
      </c>
      <c r="L8" s="88">
        <f>WC!L7</f>
        <v>2303.5140409852875</v>
      </c>
    </row>
    <row r="9" spans="2:12" x14ac:dyDescent="0.3">
      <c r="B9" s="52" t="s">
        <v>48</v>
      </c>
      <c r="C9" s="49">
        <f>'(BS)'!G40</f>
        <v>7312</v>
      </c>
      <c r="D9" s="39">
        <f>'(BS)'!H40</f>
        <v>7642</v>
      </c>
      <c r="E9" s="39">
        <f>'(BS)'!I40</f>
        <v>7304</v>
      </c>
      <c r="F9" s="39">
        <f>'(BS)'!J40</f>
        <v>7885</v>
      </c>
      <c r="G9" s="39">
        <f>'(BS)'!K40</f>
        <v>8483</v>
      </c>
      <c r="H9" s="88">
        <f>WC!H8</f>
        <v>7725.2</v>
      </c>
      <c r="I9" s="88">
        <f>WC!I8</f>
        <v>7807.8399999999992</v>
      </c>
      <c r="J9" s="88">
        <f>WC!J8</f>
        <v>7841.0079999999998</v>
      </c>
      <c r="K9" s="88">
        <f>WC!K8</f>
        <v>7948.4096000000009</v>
      </c>
      <c r="L9" s="88">
        <f>WC!L8</f>
        <v>7961.0915199999999</v>
      </c>
    </row>
    <row r="10" spans="2:12" x14ac:dyDescent="0.3">
      <c r="B10" s="50" t="s">
        <v>98</v>
      </c>
      <c r="C10" s="51">
        <f>SUM(C5:C9)</f>
        <v>15214</v>
      </c>
      <c r="D10" s="43">
        <f t="shared" ref="D10:G10" si="0">SUM(D5:D9)</f>
        <v>16900</v>
      </c>
      <c r="E10" s="43">
        <f t="shared" si="0"/>
        <v>17204</v>
      </c>
      <c r="F10" s="43">
        <f t="shared" si="0"/>
        <v>20465</v>
      </c>
      <c r="G10" s="43">
        <f t="shared" si="0"/>
        <v>22859</v>
      </c>
      <c r="H10" s="151">
        <f>SUM(H5:H9)</f>
        <v>27076.924445788831</v>
      </c>
      <c r="I10" s="151">
        <f t="shared" ref="I10:L10" si="1">SUM(I5:I9)</f>
        <v>32795.232729703435</v>
      </c>
      <c r="J10" s="151">
        <f t="shared" si="1"/>
        <v>38333.953848903366</v>
      </c>
      <c r="K10" s="151">
        <f t="shared" si="1"/>
        <v>45701.045192446029</v>
      </c>
      <c r="L10" s="151">
        <f t="shared" si="1"/>
        <v>54524.086129555406</v>
      </c>
    </row>
    <row r="11" spans="2:12" x14ac:dyDescent="0.3">
      <c r="B11" s="1"/>
      <c r="C11" s="39"/>
      <c r="D11" s="39"/>
      <c r="E11" s="39"/>
      <c r="F11" s="39"/>
      <c r="G11" s="39"/>
      <c r="H11" s="45"/>
      <c r="I11" s="45"/>
      <c r="J11" s="45"/>
      <c r="K11" s="45"/>
      <c r="L11" s="45"/>
    </row>
    <row r="12" spans="2:12" x14ac:dyDescent="0.3">
      <c r="B12" s="52" t="s">
        <v>99</v>
      </c>
      <c r="C12" s="49">
        <f>SUM('(BS)'!G20:G27)</f>
        <v>53945</v>
      </c>
      <c r="D12" s="39">
        <f>SUM('(BS)'!H20:H27)</f>
        <v>54668</v>
      </c>
      <c r="E12" s="39">
        <f>SUM('(BS)'!I20:I27)</f>
        <v>57210</v>
      </c>
      <c r="F12" s="39">
        <f>SUM('(BS)'!J20:J27)</f>
        <v>63776</v>
      </c>
      <c r="G12" s="39">
        <f>SUM('(BS)'!K20:K27)</f>
        <v>70143</v>
      </c>
      <c r="H12" s="88">
        <f>G12+PPE!H6</f>
        <v>78236.247315222688</v>
      </c>
      <c r="I12" s="88">
        <f>H12+PPE!I6</f>
        <v>87910.647695560881</v>
      </c>
      <c r="J12" s="88">
        <f>I12+PPE!J6</f>
        <v>99114.1324950813</v>
      </c>
      <c r="K12" s="88">
        <f>J12+PPE!K6</f>
        <v>110815.79030501218</v>
      </c>
      <c r="L12" s="88">
        <f>K12+PPE!L6</f>
        <v>123184.82079760426</v>
      </c>
    </row>
    <row r="13" spans="2:12" x14ac:dyDescent="0.3">
      <c r="B13" s="52" t="s">
        <v>100</v>
      </c>
      <c r="C13" s="39">
        <f>'(BS)'!G32</f>
        <v>920</v>
      </c>
      <c r="D13" s="39">
        <f>'(BS)'!H32</f>
        <v>1687</v>
      </c>
      <c r="E13" s="39">
        <f>'(BS)'!I32</f>
        <v>4785</v>
      </c>
      <c r="F13" s="39">
        <f>'(BS)'!J32</f>
        <v>4040</v>
      </c>
      <c r="G13" s="39">
        <f>'(BS)'!K32</f>
        <v>6811</v>
      </c>
      <c r="H13" s="45">
        <f>G13</f>
        <v>6811</v>
      </c>
      <c r="I13" s="45">
        <f t="shared" ref="I13:L13" si="2">H13</f>
        <v>6811</v>
      </c>
      <c r="J13" s="45">
        <f t="shared" si="2"/>
        <v>6811</v>
      </c>
      <c r="K13" s="45">
        <f t="shared" si="2"/>
        <v>6811</v>
      </c>
      <c r="L13" s="45">
        <f t="shared" si="2"/>
        <v>6811</v>
      </c>
    </row>
    <row r="14" spans="2:12" x14ac:dyDescent="0.3">
      <c r="B14" s="52" t="s">
        <v>37</v>
      </c>
      <c r="C14" s="49">
        <f>'(BS)'!G28</f>
        <v>6680</v>
      </c>
      <c r="D14" s="39">
        <f>'(BS)'!H28</f>
        <v>6375</v>
      </c>
      <c r="E14" s="39">
        <f>'(BS)'!I28</f>
        <v>6405</v>
      </c>
      <c r="F14" s="39">
        <f>'(BS)'!J28</f>
        <v>6484</v>
      </c>
      <c r="G14" s="39">
        <f>'(BS)'!K28</f>
        <v>6501</v>
      </c>
      <c r="H14" s="88">
        <f>G14+PPE!H24</f>
        <v>6638.8755873909977</v>
      </c>
      <c r="I14" s="88">
        <f>H14+PPE!I24</f>
        <v>6845.4756483421752</v>
      </c>
      <c r="J14" s="88">
        <f>I14+PPE!J24</f>
        <v>7051.8375591415661</v>
      </c>
      <c r="K14" s="88">
        <f>J14+PPE!K24</f>
        <v>7239.9505359643299</v>
      </c>
      <c r="L14" s="88">
        <f>K14+PPE!L24</f>
        <v>7419.7742695781635</v>
      </c>
    </row>
    <row r="15" spans="2:12" x14ac:dyDescent="0.3">
      <c r="B15" s="52" t="s">
        <v>101</v>
      </c>
      <c r="C15" s="49">
        <f>'(BS)'!G33</f>
        <v>5929</v>
      </c>
      <c r="D15" s="39">
        <f>'(BS)'!H33</f>
        <v>12178</v>
      </c>
      <c r="E15" s="39">
        <f>'(BS)'!I33</f>
        <v>6336</v>
      </c>
      <c r="F15" s="39">
        <f>'(BS)'!J33</f>
        <v>7297</v>
      </c>
      <c r="G15" s="39">
        <f>'(BS)'!K33</f>
        <v>8249</v>
      </c>
      <c r="H15" s="45">
        <f>G15</f>
        <v>8249</v>
      </c>
      <c r="I15" s="45">
        <f t="shared" ref="I15:L15" si="3">H15</f>
        <v>8249</v>
      </c>
      <c r="J15" s="45">
        <f t="shared" si="3"/>
        <v>8249</v>
      </c>
      <c r="K15" s="45">
        <f t="shared" si="3"/>
        <v>8249</v>
      </c>
      <c r="L15" s="45">
        <f t="shared" si="3"/>
        <v>8249</v>
      </c>
    </row>
    <row r="16" spans="2:12" x14ac:dyDescent="0.3">
      <c r="B16" s="52" t="s">
        <v>102</v>
      </c>
      <c r="C16" s="49">
        <f>'(BS)'!G29</f>
        <v>5927</v>
      </c>
      <c r="D16" s="39">
        <f>'(BS)'!H29</f>
        <v>6289</v>
      </c>
      <c r="E16" s="39">
        <f>'(BS)'!I29</f>
        <v>6387</v>
      </c>
      <c r="F16" s="39">
        <f>'(BS)'!J29</f>
        <v>6695</v>
      </c>
      <c r="G16" s="39">
        <f>'(BS)'!K29</f>
        <v>6637</v>
      </c>
      <c r="H16" s="45">
        <f>G16</f>
        <v>6637</v>
      </c>
      <c r="I16" s="45">
        <f t="shared" ref="I16:L16" si="4">H16</f>
        <v>6637</v>
      </c>
      <c r="J16" s="45">
        <f t="shared" si="4"/>
        <v>6637</v>
      </c>
      <c r="K16" s="45">
        <f t="shared" si="4"/>
        <v>6637</v>
      </c>
      <c r="L16" s="45">
        <f t="shared" si="4"/>
        <v>6637</v>
      </c>
    </row>
    <row r="17" spans="2:12" x14ac:dyDescent="0.3">
      <c r="B17" s="52" t="s">
        <v>40</v>
      </c>
      <c r="C17" s="49">
        <f>'(BS)'!G31</f>
        <v>9399</v>
      </c>
      <c r="D17" s="39">
        <f>'(BS)'!H31</f>
        <v>11921</v>
      </c>
      <c r="E17" s="39">
        <f>'(BS)'!I31</f>
        <v>14514</v>
      </c>
      <c r="F17" s="39">
        <f>'(BS)'!J31</f>
        <v>17378</v>
      </c>
      <c r="G17" s="39">
        <f>'(BS)'!K31</f>
        <v>20403</v>
      </c>
      <c r="H17" s="88">
        <f>G17+PPE!H16</f>
        <v>23914.217141219233</v>
      </c>
      <c r="I17" s="88">
        <f>H17+PPE!I16</f>
        <v>27645.862577488042</v>
      </c>
      <c r="J17" s="88">
        <f>I17+PPE!J16</f>
        <v>31694.133528290746</v>
      </c>
      <c r="K17" s="88">
        <f>J17+PPE!K16</f>
        <v>36103.883587086108</v>
      </c>
      <c r="L17" s="88">
        <f>K17+PPE!L16</f>
        <v>40897.544864974814</v>
      </c>
    </row>
    <row r="18" spans="2:12" x14ac:dyDescent="0.3">
      <c r="B18" s="53" t="s">
        <v>103</v>
      </c>
      <c r="C18" s="51">
        <f>SUM(C12:C16)-C17</f>
        <v>64002</v>
      </c>
      <c r="D18" s="43">
        <f t="shared" ref="D18:G18" si="5">SUM(D12:D16)-D17</f>
        <v>69276</v>
      </c>
      <c r="E18" s="43">
        <f t="shared" si="5"/>
        <v>66609</v>
      </c>
      <c r="F18" s="43">
        <f t="shared" si="5"/>
        <v>70914</v>
      </c>
      <c r="G18" s="43">
        <f t="shared" si="5"/>
        <v>77938</v>
      </c>
      <c r="H18" s="139">
        <f>H12+H13+H14+H15+H16-H17</f>
        <v>82657.905761394446</v>
      </c>
      <c r="I18" s="139">
        <f t="shared" ref="I18:L18" si="6">I12+I13+I14+I15+I16-I17</f>
        <v>88807.260766415013</v>
      </c>
      <c r="J18" s="139">
        <f t="shared" si="6"/>
        <v>96168.836525932129</v>
      </c>
      <c r="K18" s="139">
        <f t="shared" si="6"/>
        <v>103648.8572538904</v>
      </c>
      <c r="L18" s="139">
        <f t="shared" si="6"/>
        <v>111404.05020220763</v>
      </c>
    </row>
    <row r="19" spans="2:12" ht="15" thickBot="1" x14ac:dyDescent="0.35">
      <c r="B19" s="36" t="s">
        <v>49</v>
      </c>
      <c r="C19" s="54">
        <f>C10+C18</f>
        <v>79216</v>
      </c>
      <c r="D19" s="41">
        <f t="shared" ref="D19:G19" si="7">D10+D18</f>
        <v>86176</v>
      </c>
      <c r="E19" s="41">
        <f t="shared" si="7"/>
        <v>83813</v>
      </c>
      <c r="F19" s="41">
        <f t="shared" si="7"/>
        <v>91379</v>
      </c>
      <c r="G19" s="41">
        <f t="shared" si="7"/>
        <v>100797</v>
      </c>
      <c r="H19" s="152">
        <f>H10+H18</f>
        <v>109734.83020718327</v>
      </c>
      <c r="I19" s="152">
        <f t="shared" ref="I19:L19" si="8">I10+I18</f>
        <v>121602.49349611845</v>
      </c>
      <c r="J19" s="152">
        <f t="shared" si="8"/>
        <v>134502.79037483549</v>
      </c>
      <c r="K19" s="152">
        <f t="shared" si="8"/>
        <v>149349.90244633643</v>
      </c>
      <c r="L19" s="152">
        <f t="shared" si="8"/>
        <v>165928.13633176303</v>
      </c>
    </row>
    <row r="20" spans="2:12" x14ac:dyDescent="0.3">
      <c r="B20" s="46"/>
      <c r="C20" s="47"/>
      <c r="D20" s="47"/>
      <c r="E20" s="47"/>
      <c r="F20" s="47"/>
      <c r="G20" s="47"/>
      <c r="H20" s="48"/>
      <c r="I20" s="48"/>
      <c r="J20" s="48"/>
      <c r="K20" s="48"/>
      <c r="L20" s="48"/>
    </row>
    <row r="21" spans="2:12" x14ac:dyDescent="0.3">
      <c r="B21" s="55" t="s">
        <v>25</v>
      </c>
      <c r="C21" s="49">
        <f>'(BS)'!G14</f>
        <v>3363</v>
      </c>
      <c r="D21" s="39">
        <f>'(BS)'!H14</f>
        <v>4548</v>
      </c>
      <c r="E21" s="39">
        <f>'(BS)'!I14</f>
        <v>5863</v>
      </c>
      <c r="F21" s="39">
        <f>'(BS)'!J14</f>
        <v>7209</v>
      </c>
      <c r="G21" s="39">
        <f>'(BS)'!K14</f>
        <v>8478</v>
      </c>
      <c r="H21" s="88">
        <f>WC!H11</f>
        <v>8699.5766860522726</v>
      </c>
      <c r="I21" s="88">
        <f>WC!I11</f>
        <v>10152.405992623004</v>
      </c>
      <c r="J21" s="88">
        <f>WC!J11</f>
        <v>11746.333733464815</v>
      </c>
      <c r="K21" s="88">
        <f>WC!K11</f>
        <v>13473.044792284143</v>
      </c>
      <c r="L21" s="88">
        <f>WC!L11</f>
        <v>15318.851928827069</v>
      </c>
    </row>
    <row r="22" spans="2:12" x14ac:dyDescent="0.3">
      <c r="B22" s="55" t="s">
        <v>26</v>
      </c>
      <c r="C22" s="49">
        <f>'(BS)'!G15</f>
        <v>464</v>
      </c>
      <c r="D22" s="39">
        <f>'(BS)'!H15</f>
        <v>415</v>
      </c>
      <c r="E22" s="39">
        <f>'(BS)'!I15</f>
        <v>465</v>
      </c>
      <c r="F22" s="39">
        <f>'(BS)'!J15</f>
        <v>384</v>
      </c>
      <c r="G22" s="39">
        <f>'(BS)'!K15</f>
        <v>527</v>
      </c>
      <c r="H22" s="88">
        <f>WC!H12</f>
        <v>704.35318216771986</v>
      </c>
      <c r="I22" s="88">
        <f>WC!I12</f>
        <v>821.98016358972916</v>
      </c>
      <c r="J22" s="88">
        <f>WC!J12</f>
        <v>951.03104927331663</v>
      </c>
      <c r="K22" s="88">
        <f>WC!K12</f>
        <v>1090.8326135164943</v>
      </c>
      <c r="L22" s="88">
        <f>WC!L12</f>
        <v>1240.2766815682539</v>
      </c>
    </row>
    <row r="23" spans="2:12" x14ac:dyDescent="0.3">
      <c r="B23" s="55" t="s">
        <v>27</v>
      </c>
      <c r="C23" s="49">
        <f>'(BS)'!G16</f>
        <v>13316</v>
      </c>
      <c r="D23" s="39">
        <f>'(BS)'!H16</f>
        <v>15313</v>
      </c>
      <c r="E23" s="39">
        <f>'(BS)'!I16</f>
        <v>15753</v>
      </c>
      <c r="F23" s="39">
        <f>'(BS)'!J16</f>
        <v>18349</v>
      </c>
      <c r="G23" s="39">
        <f>'(BS)'!K16</f>
        <v>20106</v>
      </c>
      <c r="H23" s="88">
        <f>WC!H13</f>
        <v>20106</v>
      </c>
      <c r="I23" s="88">
        <f>WC!I13</f>
        <v>20106</v>
      </c>
      <c r="J23" s="88">
        <f>WC!J13</f>
        <v>20106</v>
      </c>
      <c r="K23" s="88">
        <f>WC!K13</f>
        <v>20106</v>
      </c>
      <c r="L23" s="88">
        <f>WC!L13</f>
        <v>20106</v>
      </c>
    </row>
    <row r="24" spans="2:12" x14ac:dyDescent="0.3">
      <c r="B24" s="55" t="s">
        <v>20</v>
      </c>
      <c r="C24" s="49">
        <f>'(BS)'!G8</f>
        <v>4106</v>
      </c>
      <c r="D24" s="39">
        <f>'(BS)'!H8</f>
        <v>6939</v>
      </c>
      <c r="E24" s="39">
        <f>'(BS)'!I8</f>
        <v>4900</v>
      </c>
      <c r="F24" s="39">
        <f>'(BS)'!J8</f>
        <v>4544</v>
      </c>
      <c r="G24" s="39">
        <f>'(BS)'!K8</f>
        <v>4991</v>
      </c>
      <c r="H24" s="136">
        <f>Drivers!H32</f>
        <v>5096</v>
      </c>
      <c r="I24" s="136">
        <f>Drivers!I32</f>
        <v>5294</v>
      </c>
      <c r="J24" s="136">
        <f>Drivers!J32</f>
        <v>4965</v>
      </c>
      <c r="K24" s="136">
        <f>Drivers!K32</f>
        <v>4978</v>
      </c>
      <c r="L24" s="136">
        <f>Drivers!L32</f>
        <v>5064.8</v>
      </c>
    </row>
    <row r="25" spans="2:12" x14ac:dyDescent="0.3">
      <c r="B25" s="37" t="s">
        <v>104</v>
      </c>
      <c r="C25" s="51">
        <f>SUM(C21:C24)</f>
        <v>21249</v>
      </c>
      <c r="D25" s="43">
        <f t="shared" ref="D25:G25" si="9">SUM(D21:D24)</f>
        <v>27215</v>
      </c>
      <c r="E25" s="43">
        <f t="shared" si="9"/>
        <v>26981</v>
      </c>
      <c r="F25" s="43">
        <f t="shared" si="9"/>
        <v>30486</v>
      </c>
      <c r="G25" s="43">
        <f t="shared" si="9"/>
        <v>34102</v>
      </c>
      <c r="H25" s="139">
        <f>SUM(H21:H24)</f>
        <v>34605.929868219995</v>
      </c>
      <c r="I25" s="139">
        <f t="shared" ref="I25:L25" si="10">SUM(I21:I24)</f>
        <v>36374.386156212735</v>
      </c>
      <c r="J25" s="139">
        <f t="shared" si="10"/>
        <v>37768.364782738136</v>
      </c>
      <c r="K25" s="139">
        <f t="shared" si="10"/>
        <v>39647.877405800638</v>
      </c>
      <c r="L25" s="139">
        <f t="shared" si="10"/>
        <v>41729.928610395327</v>
      </c>
    </row>
    <row r="26" spans="2:12" x14ac:dyDescent="0.3">
      <c r="B26" s="46"/>
      <c r="C26" s="47"/>
      <c r="D26" s="47"/>
      <c r="E26" s="47"/>
      <c r="F26" s="47"/>
      <c r="G26" s="47"/>
      <c r="H26" s="48"/>
      <c r="I26" s="48"/>
      <c r="J26" s="48"/>
      <c r="K26" s="48"/>
      <c r="L26" s="48"/>
    </row>
    <row r="27" spans="2:12" x14ac:dyDescent="0.3">
      <c r="B27" s="55" t="s">
        <v>19</v>
      </c>
      <c r="C27" s="49">
        <f>'(BS)'!G7</f>
        <v>17368</v>
      </c>
      <c r="D27" s="39">
        <f>'(BS)'!H7</f>
        <v>13548</v>
      </c>
      <c r="E27" s="39">
        <f>'(BS)'!I7</f>
        <v>5303</v>
      </c>
      <c r="F27" s="39">
        <f>'(BS)'!J7</f>
        <v>5356</v>
      </c>
      <c r="G27" s="39">
        <f>'(BS)'!K7</f>
        <v>5308</v>
      </c>
      <c r="H27" s="136">
        <f>Drivers!H33</f>
        <v>5322.333333333333</v>
      </c>
      <c r="I27" s="136">
        <f>Drivers!I33</f>
        <v>5328.7777777777774</v>
      </c>
      <c r="J27" s="136">
        <f>Drivers!J33</f>
        <v>5319.7037037037035</v>
      </c>
      <c r="K27" s="136">
        <f>Drivers!K33</f>
        <v>5323.6049382716046</v>
      </c>
      <c r="L27" s="136">
        <f>Drivers!L33</f>
        <v>5324.0288065843624</v>
      </c>
    </row>
    <row r="28" spans="2:12" x14ac:dyDescent="0.3">
      <c r="B28" s="55" t="s">
        <v>21</v>
      </c>
      <c r="C28" s="39">
        <f>'(BS)'!G9</f>
        <v>0</v>
      </c>
      <c r="D28" s="39">
        <f>'(BS)'!H9</f>
        <v>1232</v>
      </c>
      <c r="E28" s="39">
        <f>'(BS)'!I9</f>
        <v>1096</v>
      </c>
      <c r="F28" s="39">
        <f>'(BS)'!J9</f>
        <v>1157</v>
      </c>
      <c r="G28" s="39">
        <f>'(BS)'!K9</f>
        <v>1103</v>
      </c>
      <c r="H28" s="45">
        <f>G28</f>
        <v>1103</v>
      </c>
      <c r="I28" s="45">
        <f t="shared" ref="I28:L28" si="11">H28</f>
        <v>1103</v>
      </c>
      <c r="J28" s="45">
        <f t="shared" si="11"/>
        <v>1103</v>
      </c>
      <c r="K28" s="45">
        <f t="shared" si="11"/>
        <v>1103</v>
      </c>
      <c r="L28" s="45">
        <f t="shared" si="11"/>
        <v>1103</v>
      </c>
    </row>
    <row r="29" spans="2:12" x14ac:dyDescent="0.3">
      <c r="B29" s="55" t="s">
        <v>22</v>
      </c>
      <c r="C29" s="39">
        <f>'(BS)'!G10</f>
        <v>1545</v>
      </c>
      <c r="D29" s="39">
        <f>'(BS)'!H10</f>
        <v>0</v>
      </c>
      <c r="E29" s="39">
        <f>'(BS)'!I10</f>
        <v>0</v>
      </c>
      <c r="F29" s="39">
        <f>'(BS)'!J10</f>
        <v>0</v>
      </c>
      <c r="G29" s="39">
        <f>'(BS)'!K10</f>
        <v>0</v>
      </c>
      <c r="H29" s="45">
        <f>G29</f>
        <v>0</v>
      </c>
      <c r="I29" s="45">
        <f t="shared" ref="I29:L29" si="12">H29</f>
        <v>0</v>
      </c>
      <c r="J29" s="45">
        <f t="shared" si="12"/>
        <v>0</v>
      </c>
      <c r="K29" s="45">
        <f t="shared" si="12"/>
        <v>0</v>
      </c>
      <c r="L29" s="45">
        <f t="shared" si="12"/>
        <v>0</v>
      </c>
    </row>
    <row r="30" spans="2:12" x14ac:dyDescent="0.3">
      <c r="B30" s="37" t="s">
        <v>105</v>
      </c>
      <c r="C30" s="51">
        <f>SUM(C27:C29)</f>
        <v>18913</v>
      </c>
      <c r="D30" s="43">
        <f t="shared" ref="D30:G30" si="13">SUM(D27:D29)</f>
        <v>14780</v>
      </c>
      <c r="E30" s="43">
        <f t="shared" si="13"/>
        <v>6399</v>
      </c>
      <c r="F30" s="43">
        <f t="shared" si="13"/>
        <v>6513</v>
      </c>
      <c r="G30" s="43">
        <f t="shared" si="13"/>
        <v>6411</v>
      </c>
      <c r="H30" s="139">
        <f>SUM(H27:H29)</f>
        <v>6425.333333333333</v>
      </c>
      <c r="I30" s="139">
        <f t="shared" ref="I30:L30" si="14">SUM(I27:I29)</f>
        <v>6431.7777777777774</v>
      </c>
      <c r="J30" s="139">
        <f t="shared" si="14"/>
        <v>6422.7037037037035</v>
      </c>
      <c r="K30" s="139">
        <f t="shared" si="14"/>
        <v>6426.6049382716046</v>
      </c>
      <c r="L30" s="139">
        <f t="shared" si="14"/>
        <v>6427.0288065843624</v>
      </c>
    </row>
    <row r="31" spans="2:12" ht="15" thickBot="1" x14ac:dyDescent="0.35">
      <c r="B31" s="36" t="s">
        <v>106</v>
      </c>
      <c r="C31" s="54">
        <f>C30+C25</f>
        <v>40162</v>
      </c>
      <c r="D31" s="41">
        <f t="shared" ref="D31:G31" si="15">D30+D25</f>
        <v>41995</v>
      </c>
      <c r="E31" s="41">
        <f t="shared" si="15"/>
        <v>33380</v>
      </c>
      <c r="F31" s="41">
        <f t="shared" si="15"/>
        <v>36999</v>
      </c>
      <c r="G31" s="41">
        <f t="shared" si="15"/>
        <v>40513</v>
      </c>
      <c r="H31" s="89">
        <f>H30+H25</f>
        <v>41031.263201553331</v>
      </c>
      <c r="I31" s="89">
        <f t="shared" ref="I31:L31" si="16">I30+I25</f>
        <v>42806.163933990509</v>
      </c>
      <c r="J31" s="89">
        <f t="shared" si="16"/>
        <v>44191.068486441836</v>
      </c>
      <c r="K31" s="89">
        <f t="shared" si="16"/>
        <v>46074.482344072239</v>
      </c>
      <c r="L31" s="89">
        <f t="shared" si="16"/>
        <v>48156.957416979691</v>
      </c>
    </row>
    <row r="32" spans="2:12" x14ac:dyDescent="0.3">
      <c r="B32" s="46"/>
      <c r="C32" s="47"/>
      <c r="D32" s="47"/>
      <c r="E32" s="47"/>
      <c r="F32" s="47"/>
      <c r="G32" s="47"/>
      <c r="H32" s="48"/>
      <c r="I32" s="48"/>
      <c r="J32" s="48"/>
      <c r="K32" s="48"/>
      <c r="L32" s="48"/>
    </row>
    <row r="33" spans="2:12" x14ac:dyDescent="0.3">
      <c r="B33" s="55" t="s">
        <v>16</v>
      </c>
      <c r="C33" s="39">
        <f>'(BS)'!G3</f>
        <v>289</v>
      </c>
      <c r="D33" s="39">
        <f>'(BS)'!H3</f>
        <v>289</v>
      </c>
      <c r="E33" s="39">
        <f>'(BS)'!I3</f>
        <v>289</v>
      </c>
      <c r="F33" s="39">
        <f>'(BS)'!J3</f>
        <v>289</v>
      </c>
      <c r="G33" s="39">
        <f>'(BS)'!K3</f>
        <v>289</v>
      </c>
      <c r="H33" s="45">
        <f>G33</f>
        <v>289</v>
      </c>
      <c r="I33" s="45">
        <f t="shared" ref="I33:L33" si="17">H33</f>
        <v>289</v>
      </c>
      <c r="J33" s="45">
        <f t="shared" si="17"/>
        <v>289</v>
      </c>
      <c r="K33" s="45">
        <f t="shared" si="17"/>
        <v>289</v>
      </c>
      <c r="L33" s="45">
        <f t="shared" si="17"/>
        <v>289</v>
      </c>
    </row>
    <row r="34" spans="2:12" x14ac:dyDescent="0.3">
      <c r="B34" s="55" t="s">
        <v>17</v>
      </c>
      <c r="C34" s="39">
        <f>'(BS)'!G4</f>
        <v>38755</v>
      </c>
      <c r="D34" s="39">
        <f>'(BS)'!H4</f>
        <v>43886</v>
      </c>
      <c r="E34" s="39">
        <f>'(BS)'!I4</f>
        <v>50147</v>
      </c>
      <c r="F34" s="39">
        <f>'(BS)'!J4</f>
        <v>54036</v>
      </c>
      <c r="G34" s="39">
        <f>'(BS)'!K4</f>
        <v>59939</v>
      </c>
      <c r="H34" s="88">
        <f>G34+'P&amp;L'!H21</f>
        <v>68358.567005629957</v>
      </c>
      <c r="I34" s="88">
        <f>H34+'P&amp;L'!I21</f>
        <v>78451.329562127939</v>
      </c>
      <c r="J34" s="88">
        <f>I34+'P&amp;L'!J21</f>
        <v>89966.721888393644</v>
      </c>
      <c r="K34" s="88">
        <f>J34+'P&amp;L'!K21</f>
        <v>102930.42010226418</v>
      </c>
      <c r="L34" s="88">
        <f>K34+'P&amp;L'!L21</f>
        <v>117426.17891478332</v>
      </c>
    </row>
    <row r="35" spans="2:12" x14ac:dyDescent="0.3">
      <c r="B35" s="55" t="s">
        <v>170</v>
      </c>
      <c r="C35" s="39">
        <f>'(BS)'!G13</f>
        <v>10</v>
      </c>
      <c r="D35" s="39">
        <f>'(BS)'!H13</f>
        <v>6</v>
      </c>
      <c r="E35" s="39">
        <f>'(BS)'!I13</f>
        <v>-3</v>
      </c>
      <c r="F35" s="39">
        <f>'(BS)'!J13</f>
        <v>55</v>
      </c>
      <c r="G35" s="39">
        <f>'(BS)'!K13</f>
        <v>56</v>
      </c>
      <c r="H35" s="45">
        <f>G35</f>
        <v>56</v>
      </c>
      <c r="I35" s="45">
        <f t="shared" ref="I35:L35" si="18">H35</f>
        <v>56</v>
      </c>
      <c r="J35" s="45">
        <f t="shared" si="18"/>
        <v>56</v>
      </c>
      <c r="K35" s="45">
        <f t="shared" si="18"/>
        <v>56</v>
      </c>
      <c r="L35" s="45">
        <f t="shared" si="18"/>
        <v>56</v>
      </c>
    </row>
    <row r="36" spans="2:12" x14ac:dyDescent="0.3">
      <c r="B36" s="56" t="s">
        <v>107</v>
      </c>
      <c r="C36" s="43">
        <f>SUM(C33:C35)</f>
        <v>39054</v>
      </c>
      <c r="D36" s="43">
        <f t="shared" ref="D36:G36" si="19">SUM(D33:D35)</f>
        <v>44181</v>
      </c>
      <c r="E36" s="43">
        <f t="shared" si="19"/>
        <v>50433</v>
      </c>
      <c r="F36" s="43">
        <f t="shared" si="19"/>
        <v>54380</v>
      </c>
      <c r="G36" s="43">
        <f t="shared" si="19"/>
        <v>60284</v>
      </c>
      <c r="H36" s="139">
        <f>SUM(H33:H35)</f>
        <v>68703.567005629957</v>
      </c>
      <c r="I36" s="139">
        <f t="shared" ref="I36:L36" si="20">SUM(I33:I35)</f>
        <v>78796.329562127939</v>
      </c>
      <c r="J36" s="139">
        <f t="shared" si="20"/>
        <v>90311.721888393644</v>
      </c>
      <c r="K36" s="139">
        <f t="shared" si="20"/>
        <v>103275.42010226418</v>
      </c>
      <c r="L36" s="139">
        <f t="shared" si="20"/>
        <v>117771.17891478332</v>
      </c>
    </row>
    <row r="37" spans="2:12" ht="15" thickBot="1" x14ac:dyDescent="0.35">
      <c r="B37" s="36" t="s">
        <v>82</v>
      </c>
      <c r="C37" s="54">
        <f>C36+C31</f>
        <v>79216</v>
      </c>
      <c r="D37" s="41">
        <f t="shared" ref="D37:G37" si="21">D36+D31</f>
        <v>86176</v>
      </c>
      <c r="E37" s="41">
        <f t="shared" si="21"/>
        <v>83813</v>
      </c>
      <c r="F37" s="41">
        <f t="shared" si="21"/>
        <v>91379</v>
      </c>
      <c r="G37" s="41">
        <f t="shared" si="21"/>
        <v>100797</v>
      </c>
      <c r="H37" s="89">
        <f>H36+H31</f>
        <v>109734.83020718329</v>
      </c>
      <c r="I37" s="89">
        <f t="shared" ref="I37:L37" si="22">I36+I31</f>
        <v>121602.49349611845</v>
      </c>
      <c r="J37" s="89">
        <f t="shared" si="22"/>
        <v>134502.79037483549</v>
      </c>
      <c r="K37" s="89">
        <f t="shared" si="22"/>
        <v>149349.9024463364</v>
      </c>
      <c r="L37" s="89">
        <f t="shared" si="22"/>
        <v>165928.136331763</v>
      </c>
    </row>
    <row r="39" spans="2:12" x14ac:dyDescent="0.3">
      <c r="B39" t="s">
        <v>108</v>
      </c>
      <c r="C39" s="57" t="str">
        <f>IF(C19=C37,"TRUE","FALSE")</f>
        <v>TRUE</v>
      </c>
      <c r="D39" s="57" t="str">
        <f t="shared" ref="D39:L39" si="23">IF(D19=D37,"TRUE","FALSE")</f>
        <v>TRUE</v>
      </c>
      <c r="E39" s="57" t="str">
        <f t="shared" si="23"/>
        <v>TRUE</v>
      </c>
      <c r="F39" s="57" t="str">
        <f t="shared" si="23"/>
        <v>TRUE</v>
      </c>
      <c r="G39" s="57" t="str">
        <f t="shared" si="23"/>
        <v>TRUE</v>
      </c>
      <c r="H39" s="57" t="str">
        <f t="shared" si="23"/>
        <v>TRUE</v>
      </c>
      <c r="I39" s="57" t="str">
        <f t="shared" si="23"/>
        <v>TRUE</v>
      </c>
      <c r="J39" s="57" t="str">
        <f t="shared" si="23"/>
        <v>TRUE</v>
      </c>
      <c r="K39" s="57" t="str">
        <f t="shared" si="23"/>
        <v>TRUE</v>
      </c>
      <c r="L39" s="57" t="str">
        <f t="shared" si="23"/>
        <v>TRUE</v>
      </c>
    </row>
  </sheetData>
  <conditionalFormatting sqref="C39:L39">
    <cfRule type="containsText" dxfId="3" priority="1" operator="containsText" text="FALSE">
      <formula>NOT(ISERROR(SEARCH("FALSE",C39)))</formula>
    </cfRule>
    <cfRule type="containsText" dxfId="2" priority="2" operator="containsText" text="TRUE">
      <formula>NOT(ISERROR(SEARCH("TRUE",C39)))</formula>
    </cfRule>
  </conditionalFormatting>
  <hyperlinks>
    <hyperlink ref="L2" location="'Balance Sheet'!A1" display="'Balance Sheet'!A1" xr:uid="{98413290-5BBF-4821-979D-4B4F1C7871A4}"/>
  </hyperlinks>
  <pageMargins left="0.7" right="0.7" top="0.75" bottom="0.75" header="0.3" footer="0.3"/>
  <ignoredErrors>
    <ignoredError sqref="C12 D12:G12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179F-2449-4ECB-96E0-E6C3340274F5}">
  <dimension ref="A2:L30"/>
  <sheetViews>
    <sheetView showGridLines="0" zoomScale="99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L2" sqref="L2"/>
    </sheetView>
  </sheetViews>
  <sheetFormatPr defaultColWidth="0" defaultRowHeight="14.4" x14ac:dyDescent="0.3"/>
  <cols>
    <col min="1" max="1" width="1.88671875" customWidth="1"/>
    <col min="2" max="2" width="42.77734375" customWidth="1"/>
    <col min="3" max="12" width="14.88671875" customWidth="1"/>
    <col min="13" max="16384" width="8.88671875" hidden="1"/>
  </cols>
  <sheetData>
    <row r="2" spans="2:12" ht="25.8" x14ac:dyDescent="0.5">
      <c r="B2" s="31" t="s">
        <v>109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s="46" t="s">
        <v>110</v>
      </c>
      <c r="C5" s="39"/>
      <c r="D5" s="39"/>
      <c r="E5" s="39"/>
      <c r="F5" s="39"/>
      <c r="G5" s="39"/>
      <c r="H5" s="45"/>
      <c r="I5" s="45"/>
      <c r="J5" s="45"/>
      <c r="K5" s="45"/>
      <c r="L5" s="45"/>
    </row>
    <row r="6" spans="2:12" x14ac:dyDescent="0.3">
      <c r="B6" s="55" t="s">
        <v>169</v>
      </c>
      <c r="C6" s="59">
        <f>'(CFS)'!G4</f>
        <v>9348</v>
      </c>
      <c r="D6" s="59">
        <f>'(CFS)'!H4</f>
        <v>11465</v>
      </c>
      <c r="E6" s="59">
        <f>'(CFS)'!I4</f>
        <v>11311</v>
      </c>
      <c r="F6" s="59">
        <f>'(CFS)'!J4</f>
        <v>10530</v>
      </c>
      <c r="G6" s="59">
        <f>'(CFS)'!K4</f>
        <v>13029</v>
      </c>
      <c r="H6" s="60">
        <f>'P&amp;L'!H13</f>
        <v>18672.220921435073</v>
      </c>
      <c r="I6" s="60">
        <f>'P&amp;L'!I13</f>
        <v>21823.312675244983</v>
      </c>
      <c r="J6" s="60">
        <f>'P&amp;L'!J13</f>
        <v>24989.080662445936</v>
      </c>
      <c r="K6" s="60">
        <f>'P&amp;L'!K13</f>
        <v>27990.487552953589</v>
      </c>
      <c r="L6" s="60">
        <f>'P&amp;L'!L13</f>
        <v>30656.545491168603</v>
      </c>
    </row>
    <row r="7" spans="2:12" x14ac:dyDescent="0.3">
      <c r="B7" s="55" t="s">
        <v>53</v>
      </c>
      <c r="C7" s="59">
        <f>'(CFS)'!G5</f>
        <v>473</v>
      </c>
      <c r="D7" s="59">
        <f>'(CFS)'!H5</f>
        <v>-201</v>
      </c>
      <c r="E7" s="59">
        <f>'(CFS)'!I5</f>
        <v>-495</v>
      </c>
      <c r="F7" s="59">
        <f>'(CFS)'!J5</f>
        <v>-752</v>
      </c>
      <c r="G7" s="59">
        <f>'(CFS)'!K5</f>
        <v>-421</v>
      </c>
      <c r="H7" s="60">
        <f>'Balance Sheet'!G6-'Balance Sheet'!H6</f>
        <v>-580.29272884077182</v>
      </c>
      <c r="I7" s="60">
        <f>'Balance Sheet'!H6-'Balance Sheet'!I6</f>
        <v>-811.3348857164101</v>
      </c>
      <c r="J7" s="60">
        <f>'Balance Sheet'!I6-'Balance Sheet'!J6</f>
        <v>-890.1315354854778</v>
      </c>
      <c r="K7" s="60">
        <f>'Balance Sheet'!J6-'Balance Sheet'!K6</f>
        <v>-964.28459505627052</v>
      </c>
      <c r="L7" s="60">
        <f>'Balance Sheet'!K6-'Balance Sheet'!L6</f>
        <v>-1030.7939930785542</v>
      </c>
    </row>
    <row r="8" spans="2:12" x14ac:dyDescent="0.3">
      <c r="B8" s="55" t="s">
        <v>54</v>
      </c>
      <c r="C8" s="59">
        <f>'(CFS)'!G6</f>
        <v>-64</v>
      </c>
      <c r="D8" s="59">
        <f>'(CFS)'!H6</f>
        <v>165</v>
      </c>
      <c r="E8" s="59">
        <f>'(CFS)'!I6</f>
        <v>-1579</v>
      </c>
      <c r="F8" s="59">
        <f>'(CFS)'!J6</f>
        <v>-992</v>
      </c>
      <c r="G8" s="59">
        <f>'(CFS)'!K6</f>
        <v>-1712</v>
      </c>
      <c r="H8" s="60">
        <f>'Balance Sheet'!G5-'Balance Sheet'!H5</f>
        <v>-218.16164235315955</v>
      </c>
      <c r="I8" s="60">
        <f>'Balance Sheet'!H5-'Balance Sheet'!I5</f>
        <v>-1427.5429942729788</v>
      </c>
      <c r="J8" s="60">
        <f>'Balance Sheet'!I5-'Balance Sheet'!J5</f>
        <v>-1566.1856279503045</v>
      </c>
      <c r="K8" s="60">
        <f>'Balance Sheet'!J5-'Balance Sheet'!K5</f>
        <v>-1696.6578688927384</v>
      </c>
      <c r="L8" s="60">
        <f>'Balance Sheet'!K5-'Balance Sheet'!L5</f>
        <v>-1813.6810942852753</v>
      </c>
    </row>
    <row r="9" spans="2:12" x14ac:dyDescent="0.3">
      <c r="B9" s="55" t="s">
        <v>55</v>
      </c>
      <c r="C9" s="59">
        <f>'(CFS)'!G7</f>
        <v>279</v>
      </c>
      <c r="D9" s="59">
        <f>'(CFS)'!H7</f>
        <v>2868</v>
      </c>
      <c r="E9" s="59">
        <f>'(CFS)'!I7</f>
        <v>2077</v>
      </c>
      <c r="F9" s="59">
        <f>'(CFS)'!J7</f>
        <v>1869</v>
      </c>
      <c r="G9" s="59">
        <f>'(CFS)'!K7</f>
        <v>1959</v>
      </c>
      <c r="H9" s="60">
        <f>'Balance Sheet'!H21-'Balance Sheet'!G21</f>
        <v>221.57668605227263</v>
      </c>
      <c r="I9" s="60">
        <f>'Balance Sheet'!I21-'Balance Sheet'!H21</f>
        <v>1452.8293065707312</v>
      </c>
      <c r="J9" s="60">
        <f>'Balance Sheet'!J21-'Balance Sheet'!I21</f>
        <v>1593.9277408418111</v>
      </c>
      <c r="K9" s="60">
        <f>'Balance Sheet'!K21-'Balance Sheet'!J21</f>
        <v>1726.7110588193282</v>
      </c>
      <c r="L9" s="60">
        <f>'Balance Sheet'!L21-'Balance Sheet'!K21</f>
        <v>1845.8071365429259</v>
      </c>
    </row>
    <row r="10" spans="2:12" x14ac:dyDescent="0.3">
      <c r="B10" s="55" t="s">
        <v>57</v>
      </c>
      <c r="C10" s="59">
        <f>'(CFS)'!G9</f>
        <v>-172</v>
      </c>
      <c r="D10" s="59">
        <f>'(CFS)'!H9</f>
        <v>-505</v>
      </c>
      <c r="E10" s="59">
        <f>'(CFS)'!I9</f>
        <v>-476</v>
      </c>
      <c r="F10" s="59">
        <f>'(CFS)'!J9</f>
        <v>-461</v>
      </c>
      <c r="G10" s="59">
        <f>'(CFS)'!K9</f>
        <v>-308</v>
      </c>
      <c r="H10" s="155">
        <f>WC!H22</f>
        <v>611.98745669066386</v>
      </c>
      <c r="I10" s="155">
        <f>WC!I22</f>
        <v>-183.47669473265864</v>
      </c>
      <c r="J10" s="155">
        <f>WC!J22</f>
        <v>-143.79793037259401</v>
      </c>
      <c r="K10" s="155">
        <f>WC!K22</f>
        <v>-227.24763775694566</v>
      </c>
      <c r="L10" s="155">
        <f>WC!L22</f>
        <v>-140.79407324549902</v>
      </c>
    </row>
    <row r="11" spans="2:12" x14ac:dyDescent="0.3">
      <c r="B11" s="55" t="s">
        <v>59</v>
      </c>
      <c r="C11" s="59">
        <f>'(CFS)'!G11</f>
        <v>-891</v>
      </c>
      <c r="D11" s="59">
        <f>'(CFS)'!H11</f>
        <v>-1291</v>
      </c>
      <c r="E11" s="59">
        <f>'(CFS)'!I11</f>
        <v>-1555</v>
      </c>
      <c r="F11" s="59">
        <f>'(CFS)'!J11</f>
        <v>-1124</v>
      </c>
      <c r="G11" s="59">
        <f>'(CFS)'!K11</f>
        <v>-1651</v>
      </c>
      <c r="H11" s="60">
        <f>-'P&amp;L'!H18</f>
        <v>-3563.6793381545963</v>
      </c>
      <c r="I11" s="60">
        <f>-'P&amp;L'!I18</f>
        <v>-4294.9570819694127</v>
      </c>
      <c r="J11" s="60">
        <f>-'P&amp;L'!J18</f>
        <v>-5007.6472918697254</v>
      </c>
      <c r="K11" s="60">
        <f>-'P&amp;L'!K18</f>
        <v>-5669.3614689870074</v>
      </c>
      <c r="L11" s="60">
        <f>-'P&amp;L'!L18</f>
        <v>-6235.606269857265</v>
      </c>
    </row>
    <row r="12" spans="2:12" x14ac:dyDescent="0.3">
      <c r="B12" s="56" t="s">
        <v>111</v>
      </c>
      <c r="C12" s="62">
        <f>SUM(C6:C11)</f>
        <v>8973</v>
      </c>
      <c r="D12" s="62">
        <f t="shared" ref="D12:F12" si="0">SUM(D6:D11)</f>
        <v>12501</v>
      </c>
      <c r="E12" s="62">
        <f t="shared" si="0"/>
        <v>9283</v>
      </c>
      <c r="F12" s="62">
        <f t="shared" si="0"/>
        <v>9070</v>
      </c>
      <c r="G12" s="62">
        <f>SUM(G6:G11)</f>
        <v>10896</v>
      </c>
      <c r="H12" s="156">
        <f>SUM(H6:H11)</f>
        <v>15143.651354829481</v>
      </c>
      <c r="I12" s="156">
        <f t="shared" ref="I12:L12" si="1">SUM(I6:I11)</f>
        <v>16558.830325124254</v>
      </c>
      <c r="J12" s="156">
        <f t="shared" si="1"/>
        <v>18975.246017609643</v>
      </c>
      <c r="K12" s="156">
        <f t="shared" si="1"/>
        <v>21159.647041079956</v>
      </c>
      <c r="L12" s="156">
        <f t="shared" si="1"/>
        <v>23281.477197244934</v>
      </c>
    </row>
    <row r="13" spans="2:12" x14ac:dyDescent="0.3">
      <c r="B13" s="46"/>
      <c r="C13" s="63"/>
      <c r="D13" s="63"/>
      <c r="E13" s="63"/>
      <c r="F13" s="63"/>
      <c r="G13" s="63"/>
      <c r="H13" s="61"/>
      <c r="I13" s="61"/>
      <c r="J13" s="61"/>
      <c r="K13" s="61"/>
      <c r="L13" s="61"/>
    </row>
    <row r="14" spans="2:12" x14ac:dyDescent="0.3">
      <c r="B14" s="58" t="s">
        <v>112</v>
      </c>
      <c r="C14" s="59"/>
      <c r="D14" s="59"/>
      <c r="E14" s="59"/>
      <c r="F14" s="59"/>
      <c r="G14" s="59"/>
      <c r="H14" s="60"/>
      <c r="I14" s="60"/>
      <c r="J14" s="60"/>
      <c r="K14" s="60"/>
      <c r="L14" s="60"/>
    </row>
    <row r="15" spans="2:12" x14ac:dyDescent="0.3">
      <c r="B15" s="55" t="s">
        <v>62</v>
      </c>
      <c r="C15" s="59">
        <f>'(CFS)'!G15</f>
        <v>-1766</v>
      </c>
      <c r="D15" s="59">
        <f>'(CFS)'!H15</f>
        <v>-1925</v>
      </c>
      <c r="E15" s="59">
        <f>'(CFS)'!I15</f>
        <v>-5613</v>
      </c>
      <c r="F15" s="59">
        <f>'(CFS)'!J15</f>
        <v>-6200</v>
      </c>
      <c r="G15" s="59">
        <f>'(CFS)'!K15</f>
        <v>-9006</v>
      </c>
      <c r="H15" s="155">
        <f>-(PPE!H6+PPE!H24)</f>
        <v>-8231.1229026136825</v>
      </c>
      <c r="I15" s="155">
        <f>-(PPE!I6+PPE!I24)</f>
        <v>-9881.0004412893759</v>
      </c>
      <c r="J15" s="155">
        <f>-(PPE!J6+PPE!J24)</f>
        <v>-11409.846710319807</v>
      </c>
      <c r="K15" s="155">
        <f>-(PPE!K6+PPE!K24)</f>
        <v>-11889.770786753643</v>
      </c>
      <c r="L15" s="155">
        <f>-(PPE!L6+PPE!L24)</f>
        <v>-12548.854226205911</v>
      </c>
    </row>
    <row r="16" spans="2:12" x14ac:dyDescent="0.3">
      <c r="B16" s="55" t="s">
        <v>63</v>
      </c>
      <c r="C16" s="59">
        <f>'(CFS)'!G16</f>
        <v>79</v>
      </c>
      <c r="D16" s="59">
        <f>'(CFS)'!H16</f>
        <v>86</v>
      </c>
      <c r="E16" s="59">
        <f>'(CFS)'!I16</f>
        <v>73</v>
      </c>
      <c r="F16" s="59">
        <f>'(CFS)'!J16</f>
        <v>95</v>
      </c>
      <c r="G16" s="59">
        <f>'(CFS)'!K16</f>
        <v>122</v>
      </c>
      <c r="H16" s="155">
        <f>G16</f>
        <v>122</v>
      </c>
      <c r="I16" s="155">
        <f t="shared" ref="I16:L16" si="2">H16</f>
        <v>122</v>
      </c>
      <c r="J16" s="155">
        <f t="shared" si="2"/>
        <v>122</v>
      </c>
      <c r="K16" s="155">
        <f t="shared" si="2"/>
        <v>122</v>
      </c>
      <c r="L16" s="155">
        <f t="shared" si="2"/>
        <v>122</v>
      </c>
    </row>
    <row r="17" spans="2:12" x14ac:dyDescent="0.3">
      <c r="B17" s="55" t="s">
        <v>64</v>
      </c>
      <c r="C17" s="59">
        <f>'(CFS)'!G17</f>
        <v>-6086</v>
      </c>
      <c r="D17" s="59">
        <f>'(CFS)'!H17</f>
        <v>-12689</v>
      </c>
      <c r="E17" s="59">
        <f>'(CFS)'!I17</f>
        <v>-7795</v>
      </c>
      <c r="F17" s="59">
        <f>'(CFS)'!J17</f>
        <v>-7260</v>
      </c>
      <c r="G17" s="59">
        <f>'(CFS)'!K17</f>
        <v>-7750</v>
      </c>
      <c r="H17" s="155">
        <f>G17</f>
        <v>-7750</v>
      </c>
      <c r="I17" s="155">
        <f t="shared" ref="I17:L17" si="3">H17</f>
        <v>-7750</v>
      </c>
      <c r="J17" s="155">
        <f t="shared" si="3"/>
        <v>-7750</v>
      </c>
      <c r="K17" s="155">
        <f t="shared" si="3"/>
        <v>-7750</v>
      </c>
      <c r="L17" s="155">
        <f t="shared" si="3"/>
        <v>-7750</v>
      </c>
    </row>
    <row r="18" spans="2:12" x14ac:dyDescent="0.3">
      <c r="B18" s="55" t="s">
        <v>65</v>
      </c>
      <c r="C18" s="59">
        <f>'(CFS)'!G18</f>
        <v>3443</v>
      </c>
      <c r="D18" s="59">
        <f>'(CFS)'!H18</f>
        <v>7101</v>
      </c>
      <c r="E18" s="59">
        <f>'(CFS)'!I18</f>
        <v>13965</v>
      </c>
      <c r="F18" s="59">
        <f>'(CFS)'!J18</f>
        <v>7156</v>
      </c>
      <c r="G18" s="59">
        <f>'(CFS)'!K18</f>
        <v>7164</v>
      </c>
      <c r="H18" s="155">
        <f>G18</f>
        <v>7164</v>
      </c>
      <c r="I18" s="155">
        <f t="shared" ref="I18:L18" si="4">H18</f>
        <v>7164</v>
      </c>
      <c r="J18" s="155">
        <f t="shared" si="4"/>
        <v>7164</v>
      </c>
      <c r="K18" s="155">
        <f t="shared" si="4"/>
        <v>7164</v>
      </c>
      <c r="L18" s="155">
        <f t="shared" si="4"/>
        <v>7164</v>
      </c>
    </row>
    <row r="19" spans="2:12" x14ac:dyDescent="0.3">
      <c r="B19" t="s">
        <v>72</v>
      </c>
      <c r="C19" s="59">
        <f>SUM('(CFS)'!G19:G25)</f>
        <v>137</v>
      </c>
      <c r="D19" s="59">
        <f>SUM('(CFS)'!H19:H25)</f>
        <v>-1429</v>
      </c>
      <c r="E19" s="59">
        <f>SUM('(CFS)'!I19:I25)</f>
        <v>1692</v>
      </c>
      <c r="F19" s="59">
        <f>SUM('(CFS)'!J19:J25)</f>
        <v>-978</v>
      </c>
      <c r="G19" s="59">
        <f>SUM('(CFS)'!K19:K25)</f>
        <v>682</v>
      </c>
      <c r="H19" s="60">
        <f>G19</f>
        <v>682</v>
      </c>
      <c r="I19" s="60">
        <f t="shared" ref="I19:L19" si="5">H19</f>
        <v>682</v>
      </c>
      <c r="J19" s="60">
        <f t="shared" si="5"/>
        <v>682</v>
      </c>
      <c r="K19" s="60">
        <f t="shared" si="5"/>
        <v>682</v>
      </c>
      <c r="L19" s="60">
        <f t="shared" si="5"/>
        <v>682</v>
      </c>
    </row>
    <row r="20" spans="2:12" x14ac:dyDescent="0.3">
      <c r="B20" s="56" t="s">
        <v>113</v>
      </c>
      <c r="C20" s="62">
        <f>SUM(C15:C19)</f>
        <v>-4193</v>
      </c>
      <c r="D20" s="62">
        <f t="shared" ref="D20:F20" si="6">SUM(D15:D19)</f>
        <v>-8856</v>
      </c>
      <c r="E20" s="62">
        <f t="shared" si="6"/>
        <v>2322</v>
      </c>
      <c r="F20" s="62">
        <f t="shared" si="6"/>
        <v>-7187</v>
      </c>
      <c r="G20" s="62">
        <f>SUM(G15:G19)</f>
        <v>-8788</v>
      </c>
      <c r="H20" s="156">
        <f>SUM(H15:H19)</f>
        <v>-8013.1229026136825</v>
      </c>
      <c r="I20" s="156">
        <f t="shared" ref="I20:L20" si="7">SUM(I15:I19)</f>
        <v>-9663.0004412893759</v>
      </c>
      <c r="J20" s="156">
        <f t="shared" si="7"/>
        <v>-11191.846710319805</v>
      </c>
      <c r="K20" s="156">
        <f t="shared" si="7"/>
        <v>-11671.770786753645</v>
      </c>
      <c r="L20" s="156">
        <f t="shared" si="7"/>
        <v>-12330.854226205913</v>
      </c>
    </row>
    <row r="21" spans="2:12" x14ac:dyDescent="0.3">
      <c r="C21" s="63"/>
      <c r="D21" s="63"/>
      <c r="E21" s="63"/>
      <c r="F21" s="63"/>
      <c r="G21" s="63"/>
      <c r="H21" s="61"/>
      <c r="I21" s="61"/>
      <c r="J21" s="61"/>
      <c r="K21" s="61"/>
      <c r="L21" s="61"/>
    </row>
    <row r="22" spans="2:12" x14ac:dyDescent="0.3">
      <c r="B22" s="58" t="s">
        <v>114</v>
      </c>
      <c r="C22" s="63"/>
      <c r="D22" s="63"/>
      <c r="E22" s="63"/>
      <c r="F22" s="63"/>
      <c r="G22" s="63"/>
      <c r="H22" s="61"/>
      <c r="I22" s="61"/>
      <c r="J22" s="61"/>
      <c r="K22" s="61"/>
      <c r="L22" s="61"/>
    </row>
    <row r="23" spans="2:12" x14ac:dyDescent="0.3">
      <c r="B23" s="55" t="s">
        <v>74</v>
      </c>
      <c r="C23" s="59">
        <f>'(CFS)'!G28</f>
        <v>3</v>
      </c>
      <c r="D23" s="59">
        <f>'(CFS)'!H28</f>
        <v>14</v>
      </c>
      <c r="E23" s="59">
        <f>'(CFS)'!I28</f>
        <v>13</v>
      </c>
      <c r="F23" s="59">
        <f>'(CFS)'!J28</f>
        <v>13</v>
      </c>
      <c r="G23" s="59">
        <f>'(CFS)'!K28</f>
        <v>44</v>
      </c>
      <c r="H23" s="155">
        <f>G23</f>
        <v>44</v>
      </c>
      <c r="I23" s="155">
        <f t="shared" ref="I23:L23" si="8">H23</f>
        <v>44</v>
      </c>
      <c r="J23" s="155">
        <f t="shared" si="8"/>
        <v>44</v>
      </c>
      <c r="K23" s="155">
        <f t="shared" si="8"/>
        <v>44</v>
      </c>
      <c r="L23" s="155">
        <f t="shared" si="8"/>
        <v>44</v>
      </c>
    </row>
    <row r="24" spans="2:12" x14ac:dyDescent="0.3">
      <c r="B24" t="s">
        <v>115</v>
      </c>
      <c r="C24" s="59">
        <f>SUM('(CFS)'!G29:G30)</f>
        <v>-2644</v>
      </c>
      <c r="D24" s="59">
        <f>SUM('(CFS)'!H29:H30)</f>
        <v>-2396</v>
      </c>
      <c r="E24" s="59">
        <f>SUM('(CFS)'!I29:I30)</f>
        <v>-10171</v>
      </c>
      <c r="F24" s="59">
        <f>SUM('(CFS)'!J29:J30)</f>
        <v>453</v>
      </c>
      <c r="G24" s="59">
        <f>SUM('(CFS)'!K29:K30)</f>
        <v>330</v>
      </c>
      <c r="H24" s="155">
        <f>SUM(Drivers!H32:H33)-SUM(Drivers!G32:G33)</f>
        <v>119.33333333333212</v>
      </c>
      <c r="I24" s="155">
        <f>SUM(Drivers!I32:I33)-SUM(Drivers!H32:H33)</f>
        <v>204.44444444444525</v>
      </c>
      <c r="J24" s="155">
        <f>SUM(Drivers!J32:J33)-SUM(Drivers!I32:I33)</f>
        <v>-338.074074074073</v>
      </c>
      <c r="K24" s="155">
        <f>SUM(Drivers!K32:K33)-SUM(Drivers!J32:J33)</f>
        <v>16.901234567900246</v>
      </c>
      <c r="L24" s="155">
        <f>SUM(Drivers!L32:L33)-SUM(Drivers!K32:K33)</f>
        <v>87.223868312757986</v>
      </c>
    </row>
    <row r="25" spans="2:12" x14ac:dyDescent="0.3">
      <c r="B25" s="55" t="s">
        <v>77</v>
      </c>
      <c r="C25" s="59">
        <f>'(CFS)'!G31</f>
        <v>-1950</v>
      </c>
      <c r="D25" s="59">
        <f>'(CFS)'!H31</f>
        <v>-1481</v>
      </c>
      <c r="E25" s="59">
        <f>'(CFS)'!I31</f>
        <v>-1026</v>
      </c>
      <c r="F25" s="59">
        <f>'(CFS)'!J31</f>
        <v>-765</v>
      </c>
      <c r="G25" s="59">
        <f>'(CFS)'!K31</f>
        <v>-917</v>
      </c>
      <c r="H25" s="155">
        <f>-'P&amp;L'!H16</f>
        <v>-906.28642759745685</v>
      </c>
      <c r="I25" s="155">
        <f>-'P&amp;L'!I16</f>
        <v>-911.83891109852323</v>
      </c>
      <c r="J25" s="155">
        <f>-'P&amp;L'!J16</f>
        <v>-910.2205441643307</v>
      </c>
      <c r="K25" s="155">
        <f>-'P&amp;L'!K16</f>
        <v>-903.29161821019488</v>
      </c>
      <c r="L25" s="155">
        <f>-'P&amp;L'!L16</f>
        <v>-920.4591338508335</v>
      </c>
    </row>
    <row r="26" spans="2:12" x14ac:dyDescent="0.3">
      <c r="B26" s="55" t="s">
        <v>78</v>
      </c>
      <c r="C26" s="59">
        <f>'(CFS)'!G32</f>
        <v>-380</v>
      </c>
      <c r="D26" s="59">
        <f>'(CFS)'!H32</f>
        <v>-375</v>
      </c>
      <c r="E26" s="59">
        <f>'(CFS)'!I32</f>
        <v>-1065</v>
      </c>
      <c r="F26" s="59">
        <f>'(CFS)'!J32</f>
        <v>-1091</v>
      </c>
      <c r="G26" s="59">
        <f>'(CFS)'!K32</f>
        <v>-1094</v>
      </c>
      <c r="H26" s="155">
        <f>-'P&amp;L'!H20</f>
        <v>-2271.4710088338334</v>
      </c>
      <c r="I26" s="155">
        <f>-'P&amp;L'!I20</f>
        <v>-2792.1086894102473</v>
      </c>
      <c r="J26" s="155">
        <f>-'P&amp;L'!J20</f>
        <v>-3507.5495493434742</v>
      </c>
      <c r="K26" s="155">
        <f>-'P&amp;L'!K20</f>
        <v>-4044.3861930904786</v>
      </c>
      <c r="L26" s="155">
        <f>-'P&amp;L'!L20</f>
        <v>-4211.0599970526637</v>
      </c>
    </row>
    <row r="27" spans="2:12" x14ac:dyDescent="0.3">
      <c r="B27" t="s">
        <v>116</v>
      </c>
      <c r="C27" s="59">
        <f>SUM('(CFS)'!G33:G34)</f>
        <v>-105</v>
      </c>
      <c r="D27" s="59">
        <f>SUM('(CFS)'!H33:H34)</f>
        <v>-118</v>
      </c>
      <c r="E27" s="59">
        <f>SUM('(CFS)'!I33:I34)</f>
        <v>-248</v>
      </c>
      <c r="F27" s="59">
        <f>SUM('(CFS)'!J33:J34)</f>
        <v>-241</v>
      </c>
      <c r="G27" s="59">
        <f>SUM('(CFS)'!K33:K34)</f>
        <v>-262</v>
      </c>
      <c r="H27" s="155">
        <f>G27</f>
        <v>-262</v>
      </c>
      <c r="I27" s="155">
        <f t="shared" ref="I27:L27" si="9">H27</f>
        <v>-262</v>
      </c>
      <c r="J27" s="155">
        <f t="shared" si="9"/>
        <v>-262</v>
      </c>
      <c r="K27" s="155">
        <f t="shared" si="9"/>
        <v>-262</v>
      </c>
      <c r="L27" s="155">
        <f t="shared" si="9"/>
        <v>-262</v>
      </c>
    </row>
    <row r="28" spans="2:12" x14ac:dyDescent="0.3">
      <c r="B28" s="56" t="s">
        <v>117</v>
      </c>
      <c r="C28" s="62">
        <f>SUM(C23:C27)</f>
        <v>-5076</v>
      </c>
      <c r="D28" s="62">
        <f t="shared" ref="D28:L28" si="10">SUM(D23:D27)</f>
        <v>-4356</v>
      </c>
      <c r="E28" s="62">
        <f t="shared" si="10"/>
        <v>-12497</v>
      </c>
      <c r="F28" s="62">
        <f t="shared" si="10"/>
        <v>-1631</v>
      </c>
      <c r="G28" s="62">
        <f t="shared" si="10"/>
        <v>-1899</v>
      </c>
      <c r="H28" s="156">
        <f t="shared" si="10"/>
        <v>-3276.4241030979583</v>
      </c>
      <c r="I28" s="156">
        <f t="shared" si="10"/>
        <v>-3717.5031560643251</v>
      </c>
      <c r="J28" s="156">
        <f t="shared" si="10"/>
        <v>-4973.8441675818776</v>
      </c>
      <c r="K28" s="156">
        <f t="shared" si="10"/>
        <v>-5148.7765767327728</v>
      </c>
      <c r="L28" s="156">
        <f t="shared" si="10"/>
        <v>-5262.2952625907392</v>
      </c>
    </row>
    <row r="29" spans="2:12" x14ac:dyDescent="0.3">
      <c r="C29" s="59"/>
      <c r="D29" s="59"/>
      <c r="E29" s="59"/>
      <c r="F29" s="59"/>
      <c r="G29" s="59"/>
      <c r="H29" s="155"/>
      <c r="I29" s="155"/>
      <c r="J29" s="155"/>
      <c r="K29" s="155"/>
      <c r="L29" s="155"/>
    </row>
    <row r="30" spans="2:12" ht="15" thickBot="1" x14ac:dyDescent="0.35">
      <c r="B30" s="36" t="s">
        <v>118</v>
      </c>
      <c r="C30" s="64">
        <f>C12+C20+C28</f>
        <v>-296</v>
      </c>
      <c r="D30" s="64">
        <f t="shared" ref="D30:L30" si="11">D12+D20+D28</f>
        <v>-711</v>
      </c>
      <c r="E30" s="64">
        <f t="shared" si="11"/>
        <v>-892</v>
      </c>
      <c r="F30" s="64">
        <f t="shared" si="11"/>
        <v>252</v>
      </c>
      <c r="G30" s="64">
        <f t="shared" si="11"/>
        <v>209</v>
      </c>
      <c r="H30" s="157">
        <f t="shared" si="11"/>
        <v>3854.1043491178398</v>
      </c>
      <c r="I30" s="157">
        <f t="shared" si="11"/>
        <v>3178.3267277705531</v>
      </c>
      <c r="J30" s="157">
        <f t="shared" si="11"/>
        <v>2809.5551397079598</v>
      </c>
      <c r="K30" s="157">
        <f t="shared" si="11"/>
        <v>4339.0996775935382</v>
      </c>
      <c r="L30" s="157">
        <f t="shared" si="11"/>
        <v>5688.3277084482825</v>
      </c>
    </row>
  </sheetData>
  <hyperlinks>
    <hyperlink ref="L2" location="'Cash Flow'!A1" display="'Cash Flow'!A1" xr:uid="{C65649DD-B8B1-41E7-B59E-E7D1A1BD653A}"/>
  </hyperlinks>
  <pageMargins left="0.7" right="0.7" top="0.75" bottom="0.75" header="0.3" footer="0.3"/>
  <ignoredErrors>
    <ignoredError sqref="C19 C24 C27 D19:G19 D27:G27 D24:G24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E308-51EA-440C-A904-704C1F64E4C6}">
  <dimension ref="A2:L45"/>
  <sheetViews>
    <sheetView showGridLines="0" zoomScale="99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L2" sqref="L2"/>
    </sheetView>
  </sheetViews>
  <sheetFormatPr defaultColWidth="0" defaultRowHeight="14.4" x14ac:dyDescent="0.3"/>
  <cols>
    <col min="1" max="1" width="1.88671875" customWidth="1"/>
    <col min="2" max="2" width="42.77734375" customWidth="1"/>
    <col min="3" max="12" width="14.88671875" customWidth="1"/>
    <col min="13" max="16384" width="8.88671875" hidden="1"/>
  </cols>
  <sheetData>
    <row r="2" spans="2:12" ht="25.8" x14ac:dyDescent="0.5">
      <c r="B2" s="31" t="s">
        <v>109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s="46" t="s">
        <v>110</v>
      </c>
      <c r="C5" s="39"/>
      <c r="D5" s="39"/>
      <c r="E5" s="39"/>
      <c r="F5" s="39"/>
      <c r="G5" s="39"/>
      <c r="H5" s="45"/>
      <c r="I5" s="45"/>
      <c r="J5" s="45"/>
      <c r="K5" s="45"/>
      <c r="L5" s="45"/>
    </row>
    <row r="6" spans="2:12" x14ac:dyDescent="0.3">
      <c r="B6" s="159" t="s">
        <v>172</v>
      </c>
      <c r="C6" s="59"/>
      <c r="D6" s="59">
        <f>'P&amp;L'!D19</f>
        <v>5461.8499999999995</v>
      </c>
      <c r="E6" s="59">
        <f>'P&amp;L'!E19</f>
        <v>7334.2599999999966</v>
      </c>
      <c r="F6" s="59">
        <f>'P&amp;L'!F19</f>
        <v>5073.4000000000069</v>
      </c>
      <c r="G6" s="59">
        <f>'P&amp;L'!G19</f>
        <v>7003.9600000000046</v>
      </c>
      <c r="H6" s="60">
        <f>'P&amp;L'!H19</f>
        <v>10691.038014463789</v>
      </c>
      <c r="I6" s="60">
        <f>'P&amp;L'!I19</f>
        <v>12884.871245908238</v>
      </c>
      <c r="J6" s="60">
        <f>'P&amp;L'!J19</f>
        <v>15022.941875609176</v>
      </c>
      <c r="K6" s="60">
        <f>'P&amp;L'!K19</f>
        <v>17008.084406961021</v>
      </c>
      <c r="L6" s="60">
        <f>'P&amp;L'!L19</f>
        <v>18706.818809571796</v>
      </c>
    </row>
    <row r="7" spans="2:12" x14ac:dyDescent="0.3">
      <c r="B7" s="159" t="s">
        <v>91</v>
      </c>
      <c r="C7" s="59"/>
      <c r="D7" s="59">
        <f>'P&amp;L'!D14</f>
        <v>2700.23</v>
      </c>
      <c r="E7" s="59">
        <f>'P&amp;L'!E14</f>
        <v>2714.75</v>
      </c>
      <c r="F7" s="59">
        <f>'P&amp;L'!F14</f>
        <v>2887.99</v>
      </c>
      <c r="G7" s="59">
        <f>'P&amp;L'!G14</f>
        <v>3145.3</v>
      </c>
      <c r="H7" s="60">
        <f>'P&amp;L'!H14</f>
        <v>3511.2171412192315</v>
      </c>
      <c r="I7" s="60">
        <f>'P&amp;L'!I14</f>
        <v>3731.645436268811</v>
      </c>
      <c r="J7" s="60">
        <f>'P&amp;L'!J14</f>
        <v>4048.2709508027042</v>
      </c>
      <c r="K7" s="60">
        <f>'P&amp;L'!K14</f>
        <v>4409.7500587953637</v>
      </c>
      <c r="L7" s="60">
        <f>'P&amp;L'!L14</f>
        <v>4793.6612778887102</v>
      </c>
    </row>
    <row r="8" spans="2:12" x14ac:dyDescent="0.3">
      <c r="B8" s="165" t="s">
        <v>173</v>
      </c>
      <c r="C8" s="59"/>
      <c r="D8" s="59"/>
      <c r="E8" s="59"/>
      <c r="F8" s="59"/>
      <c r="G8" s="59"/>
      <c r="H8" s="60"/>
      <c r="I8" s="60"/>
      <c r="J8" s="60"/>
      <c r="K8" s="60"/>
      <c r="L8" s="60"/>
    </row>
    <row r="9" spans="2:12" x14ac:dyDescent="0.3">
      <c r="B9" s="160" t="s">
        <v>44</v>
      </c>
      <c r="C9" s="59"/>
      <c r="D9" s="59">
        <f>'Balance Sheet'!C5-'Balance Sheet'!D5</f>
        <v>165</v>
      </c>
      <c r="E9" s="59">
        <f>'Balance Sheet'!D5-'Balance Sheet'!E5</f>
        <v>-1578</v>
      </c>
      <c r="F9" s="59">
        <f>'Balance Sheet'!E5-'Balance Sheet'!F5</f>
        <v>-1016</v>
      </c>
      <c r="G9" s="59">
        <f>'Balance Sheet'!F5-'Balance Sheet'!G5</f>
        <v>-1718</v>
      </c>
      <c r="H9" s="60">
        <f>'Balance Sheet'!G5-'Balance Sheet'!H5</f>
        <v>-218.16164235315955</v>
      </c>
      <c r="I9" s="60">
        <f>'Balance Sheet'!H5-'Balance Sheet'!I5</f>
        <v>-1427.5429942729788</v>
      </c>
      <c r="J9" s="60">
        <f>'Balance Sheet'!I5-'Balance Sheet'!J5</f>
        <v>-1566.1856279503045</v>
      </c>
      <c r="K9" s="60">
        <f>'Balance Sheet'!J5-'Balance Sheet'!K5</f>
        <v>-1696.6578688927384</v>
      </c>
      <c r="L9" s="60">
        <f>'Balance Sheet'!K5-'Balance Sheet'!L5</f>
        <v>-1813.6810942852753</v>
      </c>
    </row>
    <row r="10" spans="2:12" x14ac:dyDescent="0.3">
      <c r="B10" s="160" t="s">
        <v>45</v>
      </c>
      <c r="C10" s="59"/>
      <c r="D10" s="59">
        <f>'Balance Sheet'!C6-'Balance Sheet'!D6</f>
        <v>-189</v>
      </c>
      <c r="E10" s="59">
        <f>'Balance Sheet'!D6-'Balance Sheet'!E6</f>
        <v>-500</v>
      </c>
      <c r="F10" s="59">
        <f>'Balance Sheet'!E6-'Balance Sheet'!F6</f>
        <v>-795</v>
      </c>
      <c r="G10" s="59">
        <f>'Balance Sheet'!F6-'Balance Sheet'!G6</f>
        <v>-411</v>
      </c>
      <c r="H10" s="60">
        <f>'Balance Sheet'!G6-'Balance Sheet'!H6</f>
        <v>-580.29272884077182</v>
      </c>
      <c r="I10" s="60">
        <f>'Balance Sheet'!H6-'Balance Sheet'!I6</f>
        <v>-811.3348857164101</v>
      </c>
      <c r="J10" s="60">
        <f>'Balance Sheet'!I6-'Balance Sheet'!J6</f>
        <v>-890.1315354854778</v>
      </c>
      <c r="K10" s="60">
        <f>'Balance Sheet'!J6-'Balance Sheet'!K6</f>
        <v>-964.28459505627052</v>
      </c>
      <c r="L10" s="60">
        <f>'Balance Sheet'!K6-'Balance Sheet'!L6</f>
        <v>-1030.7939930785542</v>
      </c>
    </row>
    <row r="11" spans="2:12" x14ac:dyDescent="0.3">
      <c r="B11" s="160" t="s">
        <v>48</v>
      </c>
      <c r="C11" s="59"/>
      <c r="D11" s="59">
        <f>'Balance Sheet'!C9-'Balance Sheet'!D9</f>
        <v>-330</v>
      </c>
      <c r="E11" s="59">
        <f>'Balance Sheet'!D9-'Balance Sheet'!E9</f>
        <v>338</v>
      </c>
      <c r="F11" s="59">
        <f>'Balance Sheet'!E9-'Balance Sheet'!F9</f>
        <v>-581</v>
      </c>
      <c r="G11" s="59">
        <f>'Balance Sheet'!F9-'Balance Sheet'!G9</f>
        <v>-598</v>
      </c>
      <c r="H11" s="60">
        <f>'Balance Sheet'!G9-'Balance Sheet'!H9</f>
        <v>757.80000000000018</v>
      </c>
      <c r="I11" s="60">
        <f>'Balance Sheet'!H9-'Balance Sheet'!I9</f>
        <v>-82.639999999999418</v>
      </c>
      <c r="J11" s="60">
        <f>'Balance Sheet'!I9-'Balance Sheet'!J9</f>
        <v>-33.168000000000575</v>
      </c>
      <c r="K11" s="60">
        <f>'Balance Sheet'!J9-'Balance Sheet'!K9</f>
        <v>-107.40160000000105</v>
      </c>
      <c r="L11" s="60">
        <f>'Balance Sheet'!K9-'Balance Sheet'!L9</f>
        <v>-12.681919999999081</v>
      </c>
    </row>
    <row r="12" spans="2:12" x14ac:dyDescent="0.3">
      <c r="B12" s="161" t="s">
        <v>25</v>
      </c>
      <c r="C12" s="59"/>
      <c r="D12" s="59">
        <f>'Balance Sheet'!D21-'Balance Sheet'!C21</f>
        <v>1185</v>
      </c>
      <c r="E12" s="59">
        <f>'Balance Sheet'!E21-'Balance Sheet'!D21</f>
        <v>1315</v>
      </c>
      <c r="F12" s="59">
        <f>'Balance Sheet'!F21-'Balance Sheet'!E21</f>
        <v>1346</v>
      </c>
      <c r="G12" s="59">
        <f>'Balance Sheet'!G21-'Balance Sheet'!F21</f>
        <v>1269</v>
      </c>
      <c r="H12" s="60">
        <f>'Balance Sheet'!H21-'Balance Sheet'!G21</f>
        <v>221.57668605227263</v>
      </c>
      <c r="I12" s="60">
        <f>'Balance Sheet'!I21-'Balance Sheet'!H21</f>
        <v>1452.8293065707312</v>
      </c>
      <c r="J12" s="60">
        <f>'Balance Sheet'!J21-'Balance Sheet'!I21</f>
        <v>1593.9277408418111</v>
      </c>
      <c r="K12" s="60">
        <f>'Balance Sheet'!K21-'Balance Sheet'!J21</f>
        <v>1726.7110588193282</v>
      </c>
      <c r="L12" s="60">
        <f>'Balance Sheet'!L21-'Balance Sheet'!K21</f>
        <v>1845.8071365429259</v>
      </c>
    </row>
    <row r="13" spans="2:12" x14ac:dyDescent="0.3">
      <c r="B13" s="161" t="s">
        <v>26</v>
      </c>
      <c r="C13" s="59"/>
      <c r="D13" s="59">
        <f>'Balance Sheet'!D22-'Balance Sheet'!C22</f>
        <v>-49</v>
      </c>
      <c r="E13" s="59">
        <f>'Balance Sheet'!E22-'Balance Sheet'!D22</f>
        <v>50</v>
      </c>
      <c r="F13" s="59">
        <f>'Balance Sheet'!F22-'Balance Sheet'!E22</f>
        <v>-81</v>
      </c>
      <c r="G13" s="59">
        <f>'Balance Sheet'!G22-'Balance Sheet'!F22</f>
        <v>143</v>
      </c>
      <c r="H13" s="60">
        <f>'Balance Sheet'!H22-'Balance Sheet'!G22</f>
        <v>177.35318216771986</v>
      </c>
      <c r="I13" s="60">
        <f>'Balance Sheet'!I22-'Balance Sheet'!H22</f>
        <v>117.62698142200929</v>
      </c>
      <c r="J13" s="60">
        <f>'Balance Sheet'!J22-'Balance Sheet'!I22</f>
        <v>129.05088568358747</v>
      </c>
      <c r="K13" s="60">
        <f>'Balance Sheet'!K22-'Balance Sheet'!J22</f>
        <v>139.80156424317772</v>
      </c>
      <c r="L13" s="60">
        <f>'Balance Sheet'!L22-'Balance Sheet'!K22</f>
        <v>149.44406805175959</v>
      </c>
    </row>
    <row r="14" spans="2:12" x14ac:dyDescent="0.3">
      <c r="B14" s="161" t="s">
        <v>27</v>
      </c>
      <c r="C14" s="59"/>
      <c r="D14" s="59">
        <f>'Balance Sheet'!D23-'Balance Sheet'!C23</f>
        <v>1997</v>
      </c>
      <c r="E14" s="59">
        <f>'Balance Sheet'!E23-'Balance Sheet'!D23</f>
        <v>440</v>
      </c>
      <c r="F14" s="59">
        <f>'Balance Sheet'!F23-'Balance Sheet'!E23</f>
        <v>2596</v>
      </c>
      <c r="G14" s="59">
        <f>'Balance Sheet'!G23-'Balance Sheet'!F23</f>
        <v>1757</v>
      </c>
      <c r="H14" s="60">
        <f>'Balance Sheet'!H23-'Balance Sheet'!G23</f>
        <v>0</v>
      </c>
      <c r="I14" s="60">
        <f>'Balance Sheet'!I23-'Balance Sheet'!H23</f>
        <v>0</v>
      </c>
      <c r="J14" s="60">
        <f>'Balance Sheet'!J23-'Balance Sheet'!I23</f>
        <v>0</v>
      </c>
      <c r="K14" s="60">
        <f>'Balance Sheet'!K23-'Balance Sheet'!J23</f>
        <v>0</v>
      </c>
      <c r="L14" s="60">
        <f>'Balance Sheet'!L23-'Balance Sheet'!K23</f>
        <v>0</v>
      </c>
    </row>
    <row r="15" spans="2:12" x14ac:dyDescent="0.3">
      <c r="B15" s="56" t="s">
        <v>111</v>
      </c>
      <c r="C15" s="62">
        <f>SUM(C6:C14)</f>
        <v>0</v>
      </c>
      <c r="D15" s="62">
        <f>SUM(D6:D14)</f>
        <v>10941.08</v>
      </c>
      <c r="E15" s="62">
        <f>SUM(E6:E14)</f>
        <v>10114.009999999997</v>
      </c>
      <c r="F15" s="62">
        <f>SUM(F6:F14)</f>
        <v>9430.3900000000067</v>
      </c>
      <c r="G15" s="62">
        <f>SUM(G6:G14)</f>
        <v>10591.260000000006</v>
      </c>
      <c r="H15" s="156">
        <f t="shared" ref="H15:L15" si="0">SUM(H6:H14)</f>
        <v>14560.530652709082</v>
      </c>
      <c r="I15" s="156">
        <f t="shared" si="0"/>
        <v>15865.4550901804</v>
      </c>
      <c r="J15" s="156">
        <f t="shared" si="0"/>
        <v>18304.706289501497</v>
      </c>
      <c r="K15" s="156">
        <f t="shared" si="0"/>
        <v>20516.003024869882</v>
      </c>
      <c r="L15" s="156">
        <f t="shared" si="0"/>
        <v>22638.574284691364</v>
      </c>
    </row>
    <row r="16" spans="2:12" x14ac:dyDescent="0.3">
      <c r="B16" s="46"/>
      <c r="C16" s="63"/>
      <c r="D16" s="63"/>
      <c r="E16" s="63"/>
      <c r="F16" s="63"/>
      <c r="G16" s="63"/>
      <c r="H16" s="61"/>
      <c r="I16" s="61"/>
      <c r="J16" s="61"/>
      <c r="K16" s="61"/>
      <c r="L16" s="61"/>
    </row>
    <row r="17" spans="2:12" x14ac:dyDescent="0.3">
      <c r="B17" s="58" t="s">
        <v>112</v>
      </c>
      <c r="C17" s="59"/>
      <c r="D17" s="59"/>
      <c r="E17" s="59"/>
      <c r="F17" s="59"/>
      <c r="G17" s="59"/>
      <c r="H17" s="60"/>
      <c r="I17" s="60"/>
      <c r="J17" s="60"/>
      <c r="K17" s="60"/>
      <c r="L17" s="60"/>
    </row>
    <row r="18" spans="2:12" x14ac:dyDescent="0.3">
      <c r="B18" s="159" t="s">
        <v>144</v>
      </c>
      <c r="C18" s="59"/>
      <c r="D18" s="59">
        <f>-PPE!D6</f>
        <v>-3271.45</v>
      </c>
      <c r="E18" s="59">
        <f>-PPE!E6</f>
        <v>-5084.04</v>
      </c>
      <c r="F18" s="59">
        <f>-PPE!F6</f>
        <v>-9259.07</v>
      </c>
      <c r="G18" s="59">
        <f>-PPE!G6</f>
        <v>-9313.99</v>
      </c>
      <c r="H18" s="155">
        <f>-PPE!H6</f>
        <v>-8093.2473152226858</v>
      </c>
      <c r="I18" s="155">
        <f>-PPE!I6</f>
        <v>-9674.4003803381984</v>
      </c>
      <c r="J18" s="155">
        <f>-PPE!J6</f>
        <v>-11203.484799520416</v>
      </c>
      <c r="K18" s="155">
        <f>-PPE!K6</f>
        <v>-11701.657809930879</v>
      </c>
      <c r="L18" s="155">
        <f>-PPE!L6</f>
        <v>-12369.030492592077</v>
      </c>
    </row>
    <row r="19" spans="2:12" x14ac:dyDescent="0.3">
      <c r="B19" s="162" t="s">
        <v>152</v>
      </c>
      <c r="C19" s="59"/>
      <c r="D19" s="59">
        <f>-PPE!D24</f>
        <v>153.22</v>
      </c>
      <c r="E19" s="59">
        <f>-PPE!E24</f>
        <v>-202.71</v>
      </c>
      <c r="F19" s="59">
        <f>-PPE!F24</f>
        <v>-273.91999999999996</v>
      </c>
      <c r="G19" s="59">
        <f>-PPE!G24</f>
        <v>-215.31</v>
      </c>
      <c r="H19" s="155">
        <f>-PPE!H24</f>
        <v>-137.87558739099737</v>
      </c>
      <c r="I19" s="155">
        <f>-PPE!I24</f>
        <v>-206.60006095117714</v>
      </c>
      <c r="J19" s="155">
        <f>-PPE!J24</f>
        <v>-206.36191079939127</v>
      </c>
      <c r="K19" s="155">
        <f>-PPE!K24</f>
        <v>-188.11297682276378</v>
      </c>
      <c r="L19" s="155">
        <f>-PPE!L24</f>
        <v>-179.8237336138333</v>
      </c>
    </row>
    <row r="20" spans="2:12" x14ac:dyDescent="0.3">
      <c r="B20" s="52" t="s">
        <v>100</v>
      </c>
      <c r="C20" s="59"/>
      <c r="D20" s="59">
        <f>'Balance Sheet'!C13-'Balance Sheet'!D13</f>
        <v>-767</v>
      </c>
      <c r="E20" s="59">
        <f>'Balance Sheet'!D13-'Balance Sheet'!E13</f>
        <v>-3098</v>
      </c>
      <c r="F20" s="59">
        <f>'Balance Sheet'!E13-'Balance Sheet'!F13</f>
        <v>745</v>
      </c>
      <c r="G20" s="59">
        <f>'Balance Sheet'!F13-'Balance Sheet'!G13</f>
        <v>-2771</v>
      </c>
      <c r="H20" s="155">
        <f>'Balance Sheet'!G13-'Balance Sheet'!H13</f>
        <v>0</v>
      </c>
      <c r="I20" s="155">
        <f>'Balance Sheet'!H13-'Balance Sheet'!I13</f>
        <v>0</v>
      </c>
      <c r="J20" s="155">
        <f>'Balance Sheet'!I13-'Balance Sheet'!J13</f>
        <v>0</v>
      </c>
      <c r="K20" s="155">
        <f>'Balance Sheet'!J13-'Balance Sheet'!K13</f>
        <v>0</v>
      </c>
      <c r="L20" s="155">
        <f>'Balance Sheet'!K13-'Balance Sheet'!L13</f>
        <v>0</v>
      </c>
    </row>
    <row r="21" spans="2:12" x14ac:dyDescent="0.3">
      <c r="B21" s="163" t="s">
        <v>101</v>
      </c>
      <c r="C21" s="59"/>
      <c r="D21" s="59">
        <f>-('Balance Sheet'!D15-'Balance Sheet'!C15)</f>
        <v>-6249</v>
      </c>
      <c r="E21" s="59">
        <f>-('Balance Sheet'!E15-'Balance Sheet'!D15)</f>
        <v>5842</v>
      </c>
      <c r="F21" s="59">
        <f>-('Balance Sheet'!F15-'Balance Sheet'!E15)</f>
        <v>-961</v>
      </c>
      <c r="G21" s="59">
        <f>-('Balance Sheet'!G15-'Balance Sheet'!F15)</f>
        <v>-952</v>
      </c>
      <c r="H21" s="155">
        <f>-('Balance Sheet'!H15-'Balance Sheet'!G15)</f>
        <v>0</v>
      </c>
      <c r="I21" s="155">
        <f>-('Balance Sheet'!I15-'Balance Sheet'!H15)</f>
        <v>0</v>
      </c>
      <c r="J21" s="155">
        <f>-('Balance Sheet'!J15-'Balance Sheet'!I15)</f>
        <v>0</v>
      </c>
      <c r="K21" s="155">
        <f>-('Balance Sheet'!K15-'Balance Sheet'!J15)</f>
        <v>0</v>
      </c>
      <c r="L21" s="155">
        <f>-('Balance Sheet'!L15-'Balance Sheet'!K15)</f>
        <v>0</v>
      </c>
    </row>
    <row r="22" spans="2:12" x14ac:dyDescent="0.3">
      <c r="B22" s="163" t="s">
        <v>102</v>
      </c>
      <c r="C22" s="59"/>
      <c r="D22" s="59">
        <f>-('Balance Sheet'!D16-'Balance Sheet'!C16)</f>
        <v>-362</v>
      </c>
      <c r="E22" s="59">
        <f>-('Balance Sheet'!E16-'Balance Sheet'!D16)</f>
        <v>-98</v>
      </c>
      <c r="F22" s="59">
        <f>-('Balance Sheet'!F16-'Balance Sheet'!E16)</f>
        <v>-308</v>
      </c>
      <c r="G22" s="59">
        <f>-('Balance Sheet'!G16-'Balance Sheet'!F16)</f>
        <v>58</v>
      </c>
      <c r="H22" s="155">
        <f>-('Balance Sheet'!H16-'Balance Sheet'!G16)</f>
        <v>0</v>
      </c>
      <c r="I22" s="155">
        <f>-('Balance Sheet'!I16-'Balance Sheet'!H16)</f>
        <v>0</v>
      </c>
      <c r="J22" s="155">
        <f>-('Balance Sheet'!J16-'Balance Sheet'!I16)</f>
        <v>0</v>
      </c>
      <c r="K22" s="155">
        <f>-('Balance Sheet'!K16-'Balance Sheet'!J16)</f>
        <v>0</v>
      </c>
      <c r="L22" s="155">
        <f>-('Balance Sheet'!L16-'Balance Sheet'!K16)</f>
        <v>0</v>
      </c>
    </row>
    <row r="23" spans="2:12" x14ac:dyDescent="0.3">
      <c r="B23" s="163" t="s">
        <v>40</v>
      </c>
      <c r="C23" s="59"/>
      <c r="D23" s="59">
        <f>'Balance Sheet'!D17-'Balance Sheet'!C17</f>
        <v>2522</v>
      </c>
      <c r="E23" s="59">
        <f>'Balance Sheet'!E17-'Balance Sheet'!D17</f>
        <v>2593</v>
      </c>
      <c r="F23" s="59">
        <f>'Balance Sheet'!F17-'Balance Sheet'!E17</f>
        <v>2864</v>
      </c>
      <c r="G23" s="59">
        <f>'Balance Sheet'!G17-'Balance Sheet'!F17</f>
        <v>3025</v>
      </c>
      <c r="H23" s="155">
        <f>'Balance Sheet'!H17-'Balance Sheet'!G17</f>
        <v>3511.2171412192329</v>
      </c>
      <c r="I23" s="155">
        <f>'Balance Sheet'!I17-'Balance Sheet'!H17</f>
        <v>3731.6454362688091</v>
      </c>
      <c r="J23" s="155">
        <f>'Balance Sheet'!J17-'Balance Sheet'!I17</f>
        <v>4048.2709508027037</v>
      </c>
      <c r="K23" s="155">
        <f>'Balance Sheet'!K17-'Balance Sheet'!J17</f>
        <v>4409.7500587953618</v>
      </c>
      <c r="L23" s="155">
        <f>'Balance Sheet'!L17-'Balance Sheet'!K17</f>
        <v>4793.6612778887065</v>
      </c>
    </row>
    <row r="24" spans="2:12" x14ac:dyDescent="0.3">
      <c r="B24" s="56" t="s">
        <v>113</v>
      </c>
      <c r="C24" s="62">
        <f>SUM(C18:C23)</f>
        <v>0</v>
      </c>
      <c r="D24" s="62">
        <f>SUM(D18:D23)</f>
        <v>-7974.23</v>
      </c>
      <c r="E24" s="62">
        <f>SUM(E18:E23)</f>
        <v>-47.75</v>
      </c>
      <c r="F24" s="62">
        <f>SUM(F18:F23)</f>
        <v>-7192.99</v>
      </c>
      <c r="G24" s="62">
        <f>SUM(G18:G23)</f>
        <v>-10169.299999999999</v>
      </c>
      <c r="H24" s="156">
        <f t="shared" ref="H24:L24" si="1">SUM(H18:H23)</f>
        <v>-4719.9057613944497</v>
      </c>
      <c r="I24" s="156">
        <f t="shared" si="1"/>
        <v>-6149.3550050205668</v>
      </c>
      <c r="J24" s="156">
        <f t="shared" si="1"/>
        <v>-7361.5757595171035</v>
      </c>
      <c r="K24" s="156">
        <f t="shared" si="1"/>
        <v>-7480.020727958281</v>
      </c>
      <c r="L24" s="156">
        <f t="shared" si="1"/>
        <v>-7755.1929483172044</v>
      </c>
    </row>
    <row r="25" spans="2:12" x14ac:dyDescent="0.3">
      <c r="C25" s="63"/>
      <c r="D25" s="63"/>
      <c r="E25" s="63"/>
      <c r="F25" s="63"/>
      <c r="G25" s="63"/>
      <c r="H25" s="61"/>
      <c r="I25" s="61"/>
      <c r="J25" s="61"/>
      <c r="K25" s="61"/>
      <c r="L25" s="61"/>
    </row>
    <row r="26" spans="2:12" x14ac:dyDescent="0.3">
      <c r="B26" s="58" t="s">
        <v>114</v>
      </c>
      <c r="C26" s="63"/>
      <c r="D26" s="63"/>
      <c r="E26" s="63"/>
      <c r="F26" s="63"/>
      <c r="G26" s="63"/>
      <c r="H26" s="61"/>
      <c r="I26" s="61"/>
      <c r="J26" s="61"/>
      <c r="K26" s="61"/>
      <c r="L26" s="61"/>
    </row>
    <row r="27" spans="2:12" x14ac:dyDescent="0.3">
      <c r="B27" s="159" t="s">
        <v>96</v>
      </c>
      <c r="C27" s="59"/>
      <c r="D27" s="59">
        <f>-'P&amp;L'!D20</f>
        <v>-1068</v>
      </c>
      <c r="E27" s="59">
        <f>-'P&amp;L'!E20</f>
        <v>-1096.95</v>
      </c>
      <c r="F27" s="59">
        <f>-'P&amp;L'!F20</f>
        <v>-1097.02</v>
      </c>
      <c r="G27" s="59">
        <f>-'P&amp;L'!G20</f>
        <v>-2020.83</v>
      </c>
      <c r="H27" s="155">
        <f>-'P&amp;L'!H20</f>
        <v>-2271.4710088338334</v>
      </c>
      <c r="I27" s="155">
        <f>-'P&amp;L'!I20</f>
        <v>-2792.1086894102473</v>
      </c>
      <c r="J27" s="155">
        <f>-'P&amp;L'!J20</f>
        <v>-3507.5495493434742</v>
      </c>
      <c r="K27" s="155">
        <f>-'P&amp;L'!K20</f>
        <v>-4044.3861930904786</v>
      </c>
      <c r="L27" s="155">
        <f>-'P&amp;L'!L20</f>
        <v>-4211.0599970526637</v>
      </c>
    </row>
    <row r="28" spans="2:12" x14ac:dyDescent="0.3">
      <c r="B28" s="163" t="s">
        <v>47</v>
      </c>
      <c r="C28" s="59"/>
      <c r="D28" s="59">
        <f>('Balance Sheet'!C8-'Balance Sheet'!D8)</f>
        <v>136</v>
      </c>
      <c r="E28" s="59">
        <f>('Balance Sheet'!D8-'Balance Sheet'!E8)</f>
        <v>-213</v>
      </c>
      <c r="F28" s="59">
        <f>('Balance Sheet'!E8-'Balance Sheet'!F8)</f>
        <v>-78</v>
      </c>
      <c r="G28" s="59">
        <f>('Balance Sheet'!F8-'Balance Sheet'!G8)</f>
        <v>-34</v>
      </c>
      <c r="H28" s="155">
        <f>('Balance Sheet'!G8-'Balance Sheet'!H8)</f>
        <v>-323.16572547705618</v>
      </c>
      <c r="I28" s="155">
        <f>('Balance Sheet'!H8-'Balance Sheet'!I8)</f>
        <v>-218.46367615466852</v>
      </c>
      <c r="J28" s="155">
        <f>('Balance Sheet'!I8-'Balance Sheet'!J8)</f>
        <v>-239.6808160561809</v>
      </c>
      <c r="K28" s="155">
        <f>('Balance Sheet'!J8-'Balance Sheet'!K8)</f>
        <v>-259.64760200012233</v>
      </c>
      <c r="L28" s="155">
        <f>('Balance Sheet'!K8-'Balance Sheet'!L8)</f>
        <v>-277.55622129725953</v>
      </c>
    </row>
    <row r="29" spans="2:12" x14ac:dyDescent="0.3">
      <c r="B29" s="164" t="s">
        <v>20</v>
      </c>
      <c r="C29" s="59"/>
      <c r="D29" s="59">
        <f>'Balance Sheet'!D24-'Balance Sheet'!C24</f>
        <v>2833</v>
      </c>
      <c r="E29" s="59">
        <f>'Balance Sheet'!E24-'Balance Sheet'!D24</f>
        <v>-2039</v>
      </c>
      <c r="F29" s="59">
        <f>'Balance Sheet'!F24-'Balance Sheet'!E24</f>
        <v>-356</v>
      </c>
      <c r="G29" s="59">
        <f>'Balance Sheet'!G24-'Balance Sheet'!F24</f>
        <v>447</v>
      </c>
      <c r="H29" s="155">
        <f>'Balance Sheet'!H24-'Balance Sheet'!G24</f>
        <v>105</v>
      </c>
      <c r="I29" s="155">
        <f>'Balance Sheet'!I24-'Balance Sheet'!H24</f>
        <v>198</v>
      </c>
      <c r="J29" s="155">
        <f>'Balance Sheet'!J24-'Balance Sheet'!I24</f>
        <v>-329</v>
      </c>
      <c r="K29" s="155">
        <f>'Balance Sheet'!K24-'Balance Sheet'!J24</f>
        <v>13</v>
      </c>
      <c r="L29" s="155">
        <f>'Balance Sheet'!L24-'Balance Sheet'!K24</f>
        <v>86.800000000000182</v>
      </c>
    </row>
    <row r="30" spans="2:12" x14ac:dyDescent="0.3">
      <c r="B30" s="164" t="s">
        <v>19</v>
      </c>
      <c r="C30" s="59"/>
      <c r="D30" s="59">
        <f>'Balance Sheet'!D27-'Balance Sheet'!C27</f>
        <v>-3820</v>
      </c>
      <c r="E30" s="59">
        <f>'Balance Sheet'!E27-'Balance Sheet'!D27</f>
        <v>-8245</v>
      </c>
      <c r="F30" s="59">
        <f>'Balance Sheet'!F27-'Balance Sheet'!E27</f>
        <v>53</v>
      </c>
      <c r="G30" s="59">
        <f>'Balance Sheet'!G27-'Balance Sheet'!F27</f>
        <v>-48</v>
      </c>
      <c r="H30" s="155">
        <f>'Balance Sheet'!H27-'Balance Sheet'!G27</f>
        <v>14.33333333333303</v>
      </c>
      <c r="I30" s="155">
        <f>'Balance Sheet'!I27-'Balance Sheet'!H27</f>
        <v>6.4444444444443434</v>
      </c>
      <c r="J30" s="155">
        <f>'Balance Sheet'!J27-'Balance Sheet'!I27</f>
        <v>-9.0740740740739056</v>
      </c>
      <c r="K30" s="155">
        <f>'Balance Sheet'!K27-'Balance Sheet'!J27</f>
        <v>3.901234567901156</v>
      </c>
      <c r="L30" s="155">
        <f>'Balance Sheet'!L27-'Balance Sheet'!K27</f>
        <v>0.42386831275780423</v>
      </c>
    </row>
    <row r="31" spans="2:12" x14ac:dyDescent="0.3">
      <c r="B31" s="164" t="s">
        <v>21</v>
      </c>
      <c r="C31" s="59"/>
      <c r="D31" s="59">
        <f>'Balance Sheet'!D28-'Balance Sheet'!C28</f>
        <v>1232</v>
      </c>
      <c r="E31" s="59">
        <f>'Balance Sheet'!E28-'Balance Sheet'!D28</f>
        <v>-136</v>
      </c>
      <c r="F31" s="59">
        <f>'Balance Sheet'!F28-'Balance Sheet'!E28</f>
        <v>61</v>
      </c>
      <c r="G31" s="59">
        <f>'Balance Sheet'!G28-'Balance Sheet'!F28</f>
        <v>-54</v>
      </c>
      <c r="H31" s="155">
        <f>'Balance Sheet'!H28-'Balance Sheet'!G28</f>
        <v>0</v>
      </c>
      <c r="I31" s="155">
        <f>'Balance Sheet'!I28-'Balance Sheet'!H28</f>
        <v>0</v>
      </c>
      <c r="J31" s="155">
        <f>'Balance Sheet'!J28-'Balance Sheet'!I28</f>
        <v>0</v>
      </c>
      <c r="K31" s="155">
        <f>'Balance Sheet'!K28-'Balance Sheet'!J28</f>
        <v>0</v>
      </c>
      <c r="L31" s="155">
        <f>'Balance Sheet'!L28-'Balance Sheet'!K28</f>
        <v>0</v>
      </c>
    </row>
    <row r="32" spans="2:12" x14ac:dyDescent="0.3">
      <c r="B32" s="164" t="s">
        <v>22</v>
      </c>
      <c r="C32" s="59"/>
      <c r="D32" s="59">
        <f>'Balance Sheet'!D29-'Balance Sheet'!C29</f>
        <v>-1545</v>
      </c>
      <c r="E32" s="59">
        <f>'Balance Sheet'!E29-'Balance Sheet'!D29</f>
        <v>0</v>
      </c>
      <c r="F32" s="59">
        <f>'Balance Sheet'!F29-'Balance Sheet'!E29</f>
        <v>0</v>
      </c>
      <c r="G32" s="59">
        <f>'Balance Sheet'!G29-'Balance Sheet'!F29</f>
        <v>0</v>
      </c>
      <c r="H32" s="155">
        <f>'Balance Sheet'!H29-'Balance Sheet'!G29</f>
        <v>0</v>
      </c>
      <c r="I32" s="155">
        <f>'Balance Sheet'!I29-'Balance Sheet'!H29</f>
        <v>0</v>
      </c>
      <c r="J32" s="155">
        <f>'Balance Sheet'!J29-'Balance Sheet'!I29</f>
        <v>0</v>
      </c>
      <c r="K32" s="155">
        <f>'Balance Sheet'!K29-'Balance Sheet'!J29</f>
        <v>0</v>
      </c>
      <c r="L32" s="155">
        <f>'Balance Sheet'!L29-'Balance Sheet'!K29</f>
        <v>0</v>
      </c>
    </row>
    <row r="33" spans="2:12" x14ac:dyDescent="0.3">
      <c r="B33" s="164" t="s">
        <v>16</v>
      </c>
      <c r="C33" s="59"/>
      <c r="D33" s="59">
        <f>'Balance Sheet'!D33-'Balance Sheet'!C33</f>
        <v>0</v>
      </c>
      <c r="E33" s="59">
        <f>'Balance Sheet'!E33-'Balance Sheet'!D33</f>
        <v>0</v>
      </c>
      <c r="F33" s="59">
        <f>'Balance Sheet'!F33-'Balance Sheet'!E33</f>
        <v>0</v>
      </c>
      <c r="G33" s="59">
        <f>'Balance Sheet'!G33-'Balance Sheet'!F33</f>
        <v>0</v>
      </c>
      <c r="H33" s="155">
        <f>'Balance Sheet'!H33-'Balance Sheet'!G33</f>
        <v>0</v>
      </c>
      <c r="I33" s="155">
        <f>'Balance Sheet'!I33-'Balance Sheet'!H33</f>
        <v>0</v>
      </c>
      <c r="J33" s="155">
        <f>'Balance Sheet'!J33-'Balance Sheet'!I33</f>
        <v>0</v>
      </c>
      <c r="K33" s="155">
        <f>'Balance Sheet'!K33-'Balance Sheet'!J33</f>
        <v>0</v>
      </c>
      <c r="L33" s="155">
        <f>'Balance Sheet'!L33-'Balance Sheet'!K33</f>
        <v>0</v>
      </c>
    </row>
    <row r="34" spans="2:12" x14ac:dyDescent="0.3">
      <c r="B34" s="164" t="s">
        <v>170</v>
      </c>
      <c r="C34" s="59"/>
      <c r="D34" s="59">
        <f>'Balance Sheet'!D35-'Balance Sheet'!C35</f>
        <v>-4</v>
      </c>
      <c r="E34" s="59">
        <f>'Balance Sheet'!E35-'Balance Sheet'!D35</f>
        <v>-9</v>
      </c>
      <c r="F34" s="59">
        <f>'Balance Sheet'!F35-'Balance Sheet'!E35</f>
        <v>58</v>
      </c>
      <c r="G34" s="59">
        <f>'Balance Sheet'!G35-'Balance Sheet'!F35</f>
        <v>1</v>
      </c>
      <c r="H34" s="155">
        <f>'Balance Sheet'!H35-'Balance Sheet'!G35</f>
        <v>0</v>
      </c>
      <c r="I34" s="155">
        <f>'Balance Sheet'!I35-'Balance Sheet'!H35</f>
        <v>0</v>
      </c>
      <c r="J34" s="155">
        <f>'Balance Sheet'!J35-'Balance Sheet'!I35</f>
        <v>0</v>
      </c>
      <c r="K34" s="155">
        <f>'Balance Sheet'!K35-'Balance Sheet'!J35</f>
        <v>0</v>
      </c>
      <c r="L34" s="155">
        <f>'Balance Sheet'!L35-'Balance Sheet'!K35</f>
        <v>0</v>
      </c>
    </row>
    <row r="35" spans="2:12" x14ac:dyDescent="0.3">
      <c r="B35" s="164" t="s">
        <v>171</v>
      </c>
      <c r="C35" s="59"/>
      <c r="D35" s="59">
        <f>Drivers!D58</f>
        <v>737.15000000000055</v>
      </c>
      <c r="E35" s="59">
        <f>Drivers!E58</f>
        <v>23.690000000003238</v>
      </c>
      <c r="F35" s="59">
        <f>Drivers!F58</f>
        <v>-87.38000000000693</v>
      </c>
      <c r="G35" s="59">
        <f>Drivers!G58</f>
        <v>919.86999999999534</v>
      </c>
      <c r="H35" s="155">
        <f>Drivers!H58</f>
        <v>0</v>
      </c>
      <c r="I35" s="155">
        <f>Drivers!I58</f>
        <v>0</v>
      </c>
      <c r="J35" s="155">
        <f>Drivers!J58</f>
        <v>0</v>
      </c>
      <c r="K35" s="155">
        <f>Drivers!K58</f>
        <v>0</v>
      </c>
      <c r="L35" s="155">
        <f>Drivers!L58</f>
        <v>0</v>
      </c>
    </row>
    <row r="36" spans="2:12" x14ac:dyDescent="0.3">
      <c r="B36" s="56" t="s">
        <v>117</v>
      </c>
      <c r="C36" s="62">
        <f>SUM(C27:C35)</f>
        <v>0</v>
      </c>
      <c r="D36" s="62">
        <f>SUM(D27:D35)</f>
        <v>-1498.8499999999995</v>
      </c>
      <c r="E36" s="62">
        <f>SUM(E27:E35)</f>
        <v>-11715.259999999998</v>
      </c>
      <c r="F36" s="62">
        <f>SUM(F27:F35)</f>
        <v>-1446.4000000000069</v>
      </c>
      <c r="G36" s="62">
        <f>SUM(G27:G35)</f>
        <v>-788.96000000000458</v>
      </c>
      <c r="H36" s="156">
        <f t="shared" ref="H36:L36" si="2">SUM(H27:H35)</f>
        <v>-2475.3034009775565</v>
      </c>
      <c r="I36" s="156">
        <f t="shared" si="2"/>
        <v>-2806.1279211204715</v>
      </c>
      <c r="J36" s="156">
        <f t="shared" si="2"/>
        <v>-4085.304439473729</v>
      </c>
      <c r="K36" s="156">
        <f t="shared" si="2"/>
        <v>-4287.1325605227003</v>
      </c>
      <c r="L36" s="156">
        <f t="shared" si="2"/>
        <v>-4401.3923500371657</v>
      </c>
    </row>
    <row r="37" spans="2:12" x14ac:dyDescent="0.3">
      <c r="C37" s="59"/>
      <c r="D37" s="59"/>
      <c r="E37" s="59"/>
      <c r="F37" s="59"/>
      <c r="G37" s="59"/>
      <c r="H37" s="155"/>
      <c r="I37" s="155"/>
      <c r="J37" s="155"/>
      <c r="K37" s="155"/>
      <c r="L37" s="155"/>
    </row>
    <row r="38" spans="2:12" ht="15" thickBot="1" x14ac:dyDescent="0.35">
      <c r="B38" s="36" t="s">
        <v>118</v>
      </c>
      <c r="C38" s="64"/>
      <c r="D38" s="64">
        <f>D15+D24+D36</f>
        <v>1468.0000000000009</v>
      </c>
      <c r="E38" s="64">
        <f>E15+E24+E36</f>
        <v>-1649.0000000000018</v>
      </c>
      <c r="F38" s="64">
        <f>F15+F24+F36</f>
        <v>791</v>
      </c>
      <c r="G38" s="64">
        <f>G15+G24+G36</f>
        <v>-366.99999999999818</v>
      </c>
      <c r="H38" s="157">
        <f>H15+H24+H36</f>
        <v>7365.3214903370754</v>
      </c>
      <c r="I38" s="157">
        <f t="shared" ref="I38:L38" si="3">I15+I24+I36</f>
        <v>6909.9721640393618</v>
      </c>
      <c r="J38" s="157">
        <f t="shared" si="3"/>
        <v>6857.8260905106645</v>
      </c>
      <c r="K38" s="157">
        <f t="shared" si="3"/>
        <v>8748.8497363889001</v>
      </c>
      <c r="L38" s="157">
        <f t="shared" si="3"/>
        <v>10481.988986336994</v>
      </c>
    </row>
    <row r="39" spans="2:12" x14ac:dyDescent="0.3">
      <c r="B39" s="46" t="s">
        <v>151</v>
      </c>
      <c r="C39" s="63"/>
      <c r="D39" s="63">
        <f>C40</f>
        <v>540</v>
      </c>
      <c r="E39" s="63">
        <f t="shared" ref="E39:L39" si="4">D40</f>
        <v>2008.0000000000009</v>
      </c>
      <c r="F39" s="63">
        <f t="shared" si="4"/>
        <v>358.99999999999909</v>
      </c>
      <c r="G39" s="63">
        <f t="shared" si="4"/>
        <v>1149.9999999999991</v>
      </c>
      <c r="H39" s="158">
        <f t="shared" si="4"/>
        <v>783.00000000000091</v>
      </c>
      <c r="I39" s="158">
        <f t="shared" si="4"/>
        <v>8148.3214903370763</v>
      </c>
      <c r="J39" s="158">
        <f t="shared" si="4"/>
        <v>15058.293654376437</v>
      </c>
      <c r="K39" s="158">
        <f t="shared" si="4"/>
        <v>21916.119744887103</v>
      </c>
      <c r="L39" s="158">
        <f t="shared" si="4"/>
        <v>30664.969481276003</v>
      </c>
    </row>
    <row r="40" spans="2:12" x14ac:dyDescent="0.3">
      <c r="B40" s="46" t="s">
        <v>153</v>
      </c>
      <c r="C40" s="63">
        <f>'Balance Sheet'!C7</f>
        <v>540</v>
      </c>
      <c r="D40" s="63">
        <f>D38+D39</f>
        <v>2008.0000000000009</v>
      </c>
      <c r="E40" s="63">
        <f t="shared" ref="E40:F40" si="5">E38+E39</f>
        <v>358.99999999999909</v>
      </c>
      <c r="F40" s="63">
        <f t="shared" si="5"/>
        <v>1149.9999999999991</v>
      </c>
      <c r="G40" s="63">
        <f>G38+G39</f>
        <v>783.00000000000091</v>
      </c>
      <c r="H40" s="158">
        <f>H38+H39</f>
        <v>8148.3214903370763</v>
      </c>
      <c r="I40" s="158">
        <f t="shared" ref="I40" si="6">I38+I39</f>
        <v>15058.293654376437</v>
      </c>
      <c r="J40" s="158">
        <f t="shared" ref="J40" si="7">J38+J39</f>
        <v>21916.119744887103</v>
      </c>
      <c r="K40" s="158">
        <f t="shared" ref="K40" si="8">K38+K39</f>
        <v>30664.969481276003</v>
      </c>
      <c r="L40" s="158">
        <f t="shared" ref="L40" si="9">L38+L39</f>
        <v>41146.958467612996</v>
      </c>
    </row>
    <row r="41" spans="2:12" x14ac:dyDescent="0.3">
      <c r="B41" s="55"/>
      <c r="C41" s="59"/>
      <c r="D41" s="59"/>
      <c r="E41" s="59"/>
      <c r="F41" s="59"/>
      <c r="G41" s="59"/>
      <c r="H41" s="155"/>
      <c r="I41" s="155"/>
      <c r="J41" s="155"/>
      <c r="K41" s="155"/>
      <c r="L41" s="155"/>
    </row>
    <row r="45" spans="2:12" x14ac:dyDescent="0.3">
      <c r="B45" s="55"/>
    </row>
  </sheetData>
  <hyperlinks>
    <hyperlink ref="L2" location="'Cash Flow (A)'!A1" display="'Cash Flow (A)'!A1" xr:uid="{75E28DF9-B40A-4991-9963-E53422F69B7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B97D-2455-4C2D-B3AA-114233AD2F58}">
  <sheetPr>
    <tabColor theme="5" tint="-0.249977111117893"/>
  </sheetPr>
  <dimension ref="A1"/>
  <sheetViews>
    <sheetView workbookViewId="0">
      <selection activeCell="N19" sqref="N19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0ECD-1473-450C-B110-9E11B7648C61}">
  <dimension ref="A1:L45"/>
  <sheetViews>
    <sheetView showGridLines="0" zoomScale="9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" sqref="C1"/>
    </sheetView>
  </sheetViews>
  <sheetFormatPr defaultColWidth="0" defaultRowHeight="14.4" x14ac:dyDescent="0.3"/>
  <cols>
    <col min="1" max="1" width="1.88671875" customWidth="1"/>
    <col min="2" max="2" width="42.77734375" customWidth="1"/>
    <col min="3" max="3" width="18.77734375" customWidth="1"/>
    <col min="4" max="12" width="14.88671875" hidden="1" customWidth="1"/>
    <col min="13" max="16384" width="8.88671875" hidden="1"/>
  </cols>
  <sheetData>
    <row r="1" spans="2:12" x14ac:dyDescent="0.3">
      <c r="C1" s="258" t="s">
        <v>238</v>
      </c>
    </row>
    <row r="2" spans="2:12" ht="25.8" x14ac:dyDescent="0.5">
      <c r="B2" s="31" t="s">
        <v>177</v>
      </c>
    </row>
    <row r="3" spans="2:12" x14ac:dyDescent="0.3">
      <c r="B3" s="32" t="s">
        <v>85</v>
      </c>
    </row>
    <row r="4" spans="2:12" x14ac:dyDescent="0.3">
      <c r="B4" s="276" t="s">
        <v>178</v>
      </c>
      <c r="C4" s="276"/>
      <c r="D4" s="34"/>
      <c r="E4" s="34"/>
      <c r="F4" s="34"/>
      <c r="G4" s="38"/>
      <c r="H4" s="35"/>
      <c r="I4" s="35"/>
      <c r="J4" s="35"/>
      <c r="K4" s="35"/>
      <c r="L4" s="35"/>
    </row>
    <row r="5" spans="2:12" x14ac:dyDescent="0.3">
      <c r="B5" s="67" t="s">
        <v>179</v>
      </c>
      <c r="C5" s="30">
        <f>'Balance Sheet'!G36</f>
        <v>60284</v>
      </c>
    </row>
    <row r="6" spans="2:12" x14ac:dyDescent="0.3">
      <c r="B6" s="67" t="s">
        <v>180</v>
      </c>
      <c r="C6" s="110">
        <f>SUM(Drivers!G32:G33)</f>
        <v>10299</v>
      </c>
    </row>
    <row r="7" spans="2:12" x14ac:dyDescent="0.3">
      <c r="B7" s="159"/>
    </row>
    <row r="8" spans="2:12" x14ac:dyDescent="0.3">
      <c r="B8" s="67" t="s">
        <v>181</v>
      </c>
      <c r="C8" s="26">
        <f>'P&amp;L'!G16/WACC!C6</f>
        <v>9.3989707738615397E-2</v>
      </c>
    </row>
    <row r="9" spans="2:12" x14ac:dyDescent="0.3">
      <c r="B9" s="166" t="s">
        <v>182</v>
      </c>
      <c r="C9" s="84">
        <f>Drivers!H28</f>
        <v>0.25</v>
      </c>
    </row>
    <row r="10" spans="2:12" x14ac:dyDescent="0.3">
      <c r="B10" s="166" t="s">
        <v>183</v>
      </c>
      <c r="C10" s="29">
        <f>C6/(C6+C5)</f>
        <v>0.14591332190470793</v>
      </c>
    </row>
    <row r="11" spans="2:12" x14ac:dyDescent="0.3">
      <c r="B11" s="168" t="s">
        <v>184</v>
      </c>
      <c r="C11" s="171">
        <f>C8*(1-C9)</f>
        <v>7.0492280803961554E-2</v>
      </c>
    </row>
    <row r="12" spans="2:12" x14ac:dyDescent="0.3">
      <c r="B12" s="161"/>
    </row>
    <row r="13" spans="2:12" x14ac:dyDescent="0.3">
      <c r="B13" s="167" t="s">
        <v>185</v>
      </c>
      <c r="C13" s="172">
        <v>6.9000000000000006E-2</v>
      </c>
    </row>
    <row r="14" spans="2:12" x14ac:dyDescent="0.3">
      <c r="B14" s="167" t="s">
        <v>186</v>
      </c>
      <c r="C14" s="172">
        <v>9.1999999999999998E-2</v>
      </c>
    </row>
    <row r="15" spans="2:12" x14ac:dyDescent="0.3">
      <c r="B15" s="55" t="s">
        <v>187</v>
      </c>
      <c r="C15" s="84">
        <f>C14-C13</f>
        <v>2.2999999999999993E-2</v>
      </c>
    </row>
    <row r="16" spans="2:12" x14ac:dyDescent="0.3">
      <c r="B16" s="67" t="s">
        <v>188</v>
      </c>
      <c r="C16">
        <v>0.56000000000000005</v>
      </c>
    </row>
    <row r="17" spans="2:3" x14ac:dyDescent="0.3">
      <c r="B17" s="55" t="s">
        <v>189</v>
      </c>
      <c r="C17" s="173">
        <f>1-C10</f>
        <v>0.85408667809529204</v>
      </c>
    </row>
    <row r="18" spans="2:3" x14ac:dyDescent="0.3">
      <c r="B18" s="169" t="s">
        <v>190</v>
      </c>
      <c r="C18" s="174">
        <f>C13+C16*C15</f>
        <v>8.1880000000000008E-2</v>
      </c>
    </row>
    <row r="19" spans="2:3" x14ac:dyDescent="0.3">
      <c r="B19" s="162"/>
    </row>
    <row r="20" spans="2:3" ht="15" thickBot="1" x14ac:dyDescent="0.35">
      <c r="B20" s="170" t="s">
        <v>191</v>
      </c>
      <c r="C20" s="175">
        <f>(C17*C18)+(C10*C11)</f>
        <v>8.021838006318803E-2</v>
      </c>
    </row>
    <row r="21" spans="2:3" ht="15" thickTop="1" x14ac:dyDescent="0.3"/>
    <row r="45" spans="2:2" x14ac:dyDescent="0.3">
      <c r="B45" s="55"/>
    </row>
  </sheetData>
  <mergeCells count="1">
    <mergeCell ref="B4:C4"/>
  </mergeCells>
  <hyperlinks>
    <hyperlink ref="C1" location="WACC!A1" display="WACC!A1" xr:uid="{408BC101-8A0D-4F5E-918A-DEACA3B9E4E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2507-40E2-4D71-BF6A-F3C5541B88C6}">
  <dimension ref="A2:L45"/>
  <sheetViews>
    <sheetView showGridLines="0" zoomScale="9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ColWidth="0" defaultRowHeight="14.4" x14ac:dyDescent="0.3"/>
  <cols>
    <col min="1" max="1" width="1.88671875" customWidth="1"/>
    <col min="2" max="2" width="42.77734375" customWidth="1"/>
    <col min="3" max="12" width="14.88671875" customWidth="1"/>
    <col min="13" max="16384" width="8.88671875" hidden="1"/>
  </cols>
  <sheetData>
    <row r="2" spans="2:12" ht="25.8" x14ac:dyDescent="0.5">
      <c r="B2" s="31" t="s">
        <v>192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193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t="s">
        <v>193</v>
      </c>
      <c r="C5" s="182">
        <f>'Cash Flow'!C12+'Cash Flow'!C15</f>
        <v>7207</v>
      </c>
      <c r="D5" s="182">
        <f>'Cash Flow'!D12+'Cash Flow'!D15</f>
        <v>10576</v>
      </c>
      <c r="E5" s="182">
        <f>'Cash Flow'!E12+'Cash Flow'!E15</f>
        <v>3670</v>
      </c>
      <c r="F5" s="182">
        <f>'Cash Flow'!F12+'Cash Flow'!F15</f>
        <v>2870</v>
      </c>
      <c r="G5" s="182">
        <f>'Cash Flow'!G12+'Cash Flow'!G15</f>
        <v>1890</v>
      </c>
      <c r="H5" s="218">
        <f>'Cash Flow'!H12+'Cash Flow'!H15</f>
        <v>6912.5284522157981</v>
      </c>
      <c r="I5" s="219">
        <f>'Cash Flow'!I12+'Cash Flow'!I15</f>
        <v>6677.8298838348783</v>
      </c>
      <c r="J5" s="219">
        <f>'Cash Flow'!J12+'Cash Flow'!J15</f>
        <v>7565.3993072898356</v>
      </c>
      <c r="K5" s="219">
        <f>'Cash Flow'!K12+'Cash Flow'!K15</f>
        <v>9269.8762543263128</v>
      </c>
      <c r="L5" s="219">
        <f>'Cash Flow'!L12+'Cash Flow'!L15</f>
        <v>10732.622971039023</v>
      </c>
    </row>
    <row r="6" spans="2:12" x14ac:dyDescent="0.3">
      <c r="B6" s="159"/>
      <c r="C6" s="59"/>
      <c r="D6" s="59"/>
      <c r="E6" s="59"/>
      <c r="F6" s="59"/>
      <c r="G6" s="176"/>
      <c r="H6" s="60"/>
      <c r="I6" s="60"/>
      <c r="J6" s="60"/>
      <c r="K6" s="60"/>
      <c r="L6" s="60"/>
    </row>
    <row r="7" spans="2:12" x14ac:dyDescent="0.3">
      <c r="B7" s="67" t="s">
        <v>194</v>
      </c>
      <c r="C7" s="59"/>
      <c r="D7" s="59"/>
      <c r="E7" s="59"/>
      <c r="F7" s="59"/>
      <c r="G7" s="183">
        <v>0</v>
      </c>
      <c r="H7" s="60">
        <f>G7+1</f>
        <v>1</v>
      </c>
      <c r="I7" s="60">
        <f t="shared" ref="I7:L7" si="0">H7+1</f>
        <v>2</v>
      </c>
      <c r="J7" s="60">
        <f t="shared" si="0"/>
        <v>3</v>
      </c>
      <c r="K7" s="60">
        <f t="shared" si="0"/>
        <v>4</v>
      </c>
      <c r="L7" s="60">
        <f t="shared" si="0"/>
        <v>5</v>
      </c>
    </row>
    <row r="8" spans="2:12" x14ac:dyDescent="0.3">
      <c r="B8" s="169" t="s">
        <v>195</v>
      </c>
      <c r="C8" s="62"/>
      <c r="D8" s="62"/>
      <c r="E8" s="62"/>
      <c r="F8" s="62"/>
      <c r="G8" s="180"/>
      <c r="H8" s="181">
        <f>H5/(1+$C$15)^H7</f>
        <v>6399.1953662290452</v>
      </c>
      <c r="I8" s="181">
        <f t="shared" ref="I8:L8" si="1">I5/(1+$C$15)^I7</f>
        <v>5722.8481979241824</v>
      </c>
      <c r="J8" s="181">
        <f t="shared" si="1"/>
        <v>6002.0162592614652</v>
      </c>
      <c r="K8" s="181">
        <f t="shared" si="1"/>
        <v>6808.127592225218</v>
      </c>
      <c r="L8" s="181">
        <f t="shared" si="1"/>
        <v>7297.0624027263893</v>
      </c>
    </row>
    <row r="9" spans="2:12" x14ac:dyDescent="0.3">
      <c r="B9" s="160"/>
      <c r="C9" s="59"/>
      <c r="D9" s="59"/>
      <c r="E9" s="59"/>
      <c r="F9" s="59"/>
      <c r="G9" s="176"/>
      <c r="H9" s="60"/>
      <c r="I9" s="60"/>
      <c r="J9" s="60"/>
      <c r="K9" s="60"/>
      <c r="L9" s="60"/>
    </row>
    <row r="10" spans="2:12" x14ac:dyDescent="0.3">
      <c r="B10" s="160"/>
      <c r="C10" s="59"/>
      <c r="D10" s="59"/>
      <c r="E10" s="59"/>
      <c r="F10" s="59"/>
      <c r="G10" s="176"/>
      <c r="H10" s="60"/>
      <c r="I10" s="60"/>
      <c r="J10" s="60"/>
      <c r="K10" s="60"/>
      <c r="L10" s="60"/>
    </row>
    <row r="11" spans="2:12" x14ac:dyDescent="0.3">
      <c r="B11" s="160"/>
    </row>
    <row r="12" spans="2:12" x14ac:dyDescent="0.3">
      <c r="B12" s="276" t="s">
        <v>196</v>
      </c>
      <c r="C12" s="276"/>
      <c r="F12" s="276" t="s">
        <v>208</v>
      </c>
      <c r="G12" s="276"/>
      <c r="H12" s="276"/>
      <c r="I12" s="276"/>
      <c r="J12" s="276"/>
      <c r="K12" s="276"/>
      <c r="L12" s="276"/>
    </row>
    <row r="13" spans="2:12" x14ac:dyDescent="0.3">
      <c r="B13" s="167" t="s">
        <v>197</v>
      </c>
      <c r="C13" s="185">
        <f>SUM(H8:L8)</f>
        <v>32229.249818366297</v>
      </c>
    </row>
    <row r="14" spans="2:12" x14ac:dyDescent="0.3">
      <c r="B14" s="167" t="s">
        <v>198</v>
      </c>
      <c r="C14" s="184">
        <v>5.3999999999999999E-2</v>
      </c>
      <c r="H14" s="276" t="s">
        <v>198</v>
      </c>
      <c r="I14" s="276"/>
      <c r="J14" s="276"/>
      <c r="K14" s="276"/>
      <c r="L14" s="276"/>
    </row>
    <row r="15" spans="2:12" x14ac:dyDescent="0.3">
      <c r="B15" s="55" t="s">
        <v>191</v>
      </c>
      <c r="C15" s="84">
        <f>WACC!C20</f>
        <v>8.021838006318803E-2</v>
      </c>
      <c r="G15" s="193">
        <f>C24</f>
        <v>10934.43034265582</v>
      </c>
      <c r="H15" s="190">
        <f>I15-0.5%</f>
        <v>4.4000000000000004E-2</v>
      </c>
      <c r="I15" s="190">
        <f>J15-0.5%</f>
        <v>4.9000000000000002E-2</v>
      </c>
      <c r="J15" s="190">
        <v>5.3999999999999999E-2</v>
      </c>
      <c r="K15" s="190">
        <f>J15+0.5%</f>
        <v>5.8999999999999997E-2</v>
      </c>
      <c r="L15" s="190">
        <f>K15+0.5%</f>
        <v>6.4000000000000001E-2</v>
      </c>
    </row>
    <row r="16" spans="2:12" ht="14.4" customHeight="1" x14ac:dyDescent="0.3">
      <c r="B16" t="s">
        <v>199</v>
      </c>
      <c r="C16" s="27">
        <f>L5*(1+C14)/(C15-C14)</f>
        <v>431460.08960935107</v>
      </c>
      <c r="F16" s="277" t="s">
        <v>191</v>
      </c>
      <c r="G16" s="190">
        <f>G17-0.5%</f>
        <v>7.0218379999999997E-2</v>
      </c>
      <c r="H16" s="30">
        <f t="dataTable" ref="H16:L20" dt2D="1" dtr="1" r1="C14" r2="C15"/>
        <v>11349.32145795685</v>
      </c>
      <c r="I16" s="30">
        <v>13893.633286320575</v>
      </c>
      <c r="J16" s="30">
        <v>18006.728080901481</v>
      </c>
      <c r="K16" s="30">
        <v>25786.21213541197</v>
      </c>
      <c r="L16" s="30">
        <v>46076.163634032557</v>
      </c>
    </row>
    <row r="17" spans="2:12" x14ac:dyDescent="0.3">
      <c r="B17" s="55" t="s">
        <v>200</v>
      </c>
      <c r="C17" s="27">
        <f>C16/(1+C15)^L7</f>
        <v>293347.78708438686</v>
      </c>
      <c r="F17" s="277"/>
      <c r="G17" s="190">
        <f>G18-0.5%</f>
        <v>7.5218380000000001E-2</v>
      </c>
      <c r="H17" s="30">
        <v>9442.1225741070029</v>
      </c>
      <c r="I17" s="191">
        <v>11139.487014999797</v>
      </c>
      <c r="J17" s="191">
        <v>13636.801518476444</v>
      </c>
      <c r="K17" s="191">
        <v>17673.921171096616</v>
      </c>
      <c r="L17" s="30">
        <v>25309.70627507447</v>
      </c>
    </row>
    <row r="18" spans="2:12" x14ac:dyDescent="0.3">
      <c r="B18" s="67" t="s">
        <v>201</v>
      </c>
      <c r="C18" s="186">
        <f>C13+C17</f>
        <v>325577.03690275317</v>
      </c>
      <c r="F18" s="277"/>
      <c r="G18" s="190">
        <v>8.0218380000000006E-2</v>
      </c>
      <c r="H18" s="30">
        <v>8062.1495018689438</v>
      </c>
      <c r="I18" s="191">
        <v>9268.2747280173917</v>
      </c>
      <c r="J18" s="192">
        <v>10934.430370289363</v>
      </c>
      <c r="K18" s="191">
        <v>13385.827695607806</v>
      </c>
      <c r="L18" s="30">
        <v>17348.718354612138</v>
      </c>
    </row>
    <row r="19" spans="2:12" x14ac:dyDescent="0.3">
      <c r="B19" s="177" t="s">
        <v>202</v>
      </c>
      <c r="C19">
        <f>'Balance Sheet'!G7</f>
        <v>783</v>
      </c>
      <c r="F19" s="277"/>
      <c r="G19" s="190">
        <f>G18+0.5%</f>
        <v>8.521838000000001E-2</v>
      </c>
      <c r="H19" s="30">
        <v>7017.5225340514025</v>
      </c>
      <c r="I19" s="191">
        <v>7914.3100055825162</v>
      </c>
      <c r="J19" s="191">
        <v>9098.360131848156</v>
      </c>
      <c r="K19" s="191">
        <v>10734.020970242322</v>
      </c>
      <c r="L19" s="30">
        <v>13140.551610381101</v>
      </c>
    </row>
    <row r="20" spans="2:12" x14ac:dyDescent="0.3">
      <c r="B20" s="52" t="s">
        <v>203</v>
      </c>
      <c r="C20" s="186">
        <f>WACC!C6</f>
        <v>10299</v>
      </c>
      <c r="F20" s="277"/>
      <c r="G20" s="190">
        <f>G19+0.5%</f>
        <v>9.0218380000000015E-2</v>
      </c>
      <c r="H20" s="30">
        <v>6199.3941140042298</v>
      </c>
      <c r="I20" s="30">
        <v>6889.3453530940824</v>
      </c>
      <c r="J20" s="30">
        <v>7769.7941348928753</v>
      </c>
      <c r="K20" s="30">
        <v>8932.2718950687577</v>
      </c>
      <c r="L20" s="30">
        <v>10538.132411988536</v>
      </c>
    </row>
    <row r="21" spans="2:12" x14ac:dyDescent="0.3">
      <c r="B21" s="52" t="s">
        <v>204</v>
      </c>
      <c r="C21">
        <f>'Balance Sheet'!G35</f>
        <v>56</v>
      </c>
    </row>
    <row r="22" spans="2:12" x14ac:dyDescent="0.3">
      <c r="B22" s="178" t="s">
        <v>205</v>
      </c>
      <c r="C22" s="187">
        <f>C18+C19-C20-C21</f>
        <v>316005.03690275317</v>
      </c>
    </row>
    <row r="23" spans="2:12" x14ac:dyDescent="0.3">
      <c r="B23" s="52" t="s">
        <v>206</v>
      </c>
      <c r="C23" s="30">
        <v>28.9</v>
      </c>
    </row>
    <row r="24" spans="2:12" ht="15" thickBot="1" x14ac:dyDescent="0.35">
      <c r="B24" s="179" t="s">
        <v>207</v>
      </c>
      <c r="C24" s="278">
        <f>C22/C23</f>
        <v>10934.43034265582</v>
      </c>
    </row>
    <row r="26" spans="2:12" x14ac:dyDescent="0.3">
      <c r="B26" s="58"/>
    </row>
    <row r="27" spans="2:12" x14ac:dyDescent="0.3">
      <c r="B27" s="188" t="s">
        <v>209</v>
      </c>
      <c r="C27" s="189"/>
    </row>
    <row r="28" spans="2:12" x14ac:dyDescent="0.3">
      <c r="B28" s="163"/>
    </row>
    <row r="29" spans="2:12" x14ac:dyDescent="0.3">
      <c r="B29" s="164"/>
    </row>
    <row r="30" spans="2:12" x14ac:dyDescent="0.3">
      <c r="B30" s="164"/>
    </row>
    <row r="31" spans="2:12" x14ac:dyDescent="0.3">
      <c r="B31" s="164"/>
    </row>
    <row r="32" spans="2:12" x14ac:dyDescent="0.3">
      <c r="B32" s="164"/>
    </row>
    <row r="33" spans="2:2" x14ac:dyDescent="0.3">
      <c r="B33" s="164"/>
    </row>
    <row r="34" spans="2:2" x14ac:dyDescent="0.3">
      <c r="B34" s="164"/>
    </row>
    <row r="35" spans="2:2" x14ac:dyDescent="0.3">
      <c r="B35" s="164"/>
    </row>
    <row r="36" spans="2:2" x14ac:dyDescent="0.3">
      <c r="B36" s="58"/>
    </row>
    <row r="38" spans="2:2" x14ac:dyDescent="0.3">
      <c r="B38" s="46"/>
    </row>
    <row r="39" spans="2:2" x14ac:dyDescent="0.3">
      <c r="B39" s="46"/>
    </row>
    <row r="40" spans="2:2" x14ac:dyDescent="0.3">
      <c r="B40" s="46"/>
    </row>
    <row r="41" spans="2:2" x14ac:dyDescent="0.3">
      <c r="B41" s="55"/>
    </row>
    <row r="45" spans="2:2" x14ac:dyDescent="0.3">
      <c r="B45" s="55"/>
    </row>
  </sheetData>
  <mergeCells count="4">
    <mergeCell ref="F12:L12"/>
    <mergeCell ref="H14:L14"/>
    <mergeCell ref="F16:F20"/>
    <mergeCell ref="B12:C12"/>
  </mergeCells>
  <hyperlinks>
    <hyperlink ref="L2" location="DCF!A1" display="DCF!A1" xr:uid="{6D44D0EC-D2E7-44E2-9CA7-374401383C7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10E7-84F8-4334-A1E7-02E607D141C5}">
  <sheetPr>
    <tabColor rgb="FF009900"/>
  </sheetPr>
  <dimension ref="A1"/>
  <sheetViews>
    <sheetView topLeftCell="A28"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EDB4-6623-444A-BC76-73DCD1CF7BBA}">
  <dimension ref="A2:T43"/>
  <sheetViews>
    <sheetView showGridLines="0" workbookViewId="0">
      <pane xSplit="2" ySplit="4" topLeftCell="C15" activePane="bottomRight" state="frozen"/>
      <selection pane="topRight" activeCell="C1" sqref="C1"/>
      <selection pane="bottomLeft" activeCell="A5" sqref="A5"/>
      <selection pane="bottomRight" activeCell="L2" sqref="L2"/>
    </sheetView>
  </sheetViews>
  <sheetFormatPr defaultColWidth="0" defaultRowHeight="14.4" x14ac:dyDescent="0.3"/>
  <cols>
    <col min="1" max="1" width="1.88671875" customWidth="1"/>
    <col min="2" max="2" width="28.5546875" customWidth="1"/>
    <col min="3" max="12" width="12.88671875" customWidth="1"/>
    <col min="13" max="16384" width="8.88671875" hidden="1"/>
  </cols>
  <sheetData>
    <row r="2" spans="2:12" ht="25.8" x14ac:dyDescent="0.5">
      <c r="B2" s="31" t="s">
        <v>99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t="s">
        <v>143</v>
      </c>
      <c r="C5" s="95" t="s">
        <v>124</v>
      </c>
      <c r="D5" s="96">
        <f>C8</f>
        <v>53945</v>
      </c>
      <c r="E5" s="96">
        <f t="shared" ref="E5:L5" si="0">D8</f>
        <v>54668</v>
      </c>
      <c r="F5" s="96">
        <f t="shared" si="0"/>
        <v>57210</v>
      </c>
      <c r="G5" s="120">
        <f t="shared" si="0"/>
        <v>63776</v>
      </c>
      <c r="H5" s="119">
        <f t="shared" si="0"/>
        <v>70143</v>
      </c>
      <c r="I5" s="119">
        <f t="shared" si="0"/>
        <v>74956.657083610713</v>
      </c>
      <c r="J5" s="119">
        <f t="shared" si="0"/>
        <v>81135.505606770195</v>
      </c>
      <c r="K5" s="119">
        <f t="shared" si="0"/>
        <v>88552.559765796264</v>
      </c>
      <c r="L5" s="119">
        <f t="shared" si="0"/>
        <v>96130.623371329479</v>
      </c>
    </row>
    <row r="6" spans="2:12" x14ac:dyDescent="0.3">
      <c r="B6" t="s">
        <v>144</v>
      </c>
      <c r="C6" s="95" t="s">
        <v>124</v>
      </c>
      <c r="D6" s="98">
        <f>D8-D5+D7</f>
        <v>3271.45</v>
      </c>
      <c r="E6" s="98">
        <f t="shared" ref="E6:G6" si="1">E8-E5+E7</f>
        <v>5084.04</v>
      </c>
      <c r="F6" s="98">
        <f t="shared" si="1"/>
        <v>9259.07</v>
      </c>
      <c r="G6" s="121">
        <f t="shared" si="1"/>
        <v>9313.99</v>
      </c>
      <c r="H6" s="88">
        <f>H11*H5</f>
        <v>8093.2473152226858</v>
      </c>
      <c r="I6" s="88">
        <f t="shared" ref="I6:L6" si="2">I11*I5</f>
        <v>9674.4003803381984</v>
      </c>
      <c r="J6" s="88">
        <f t="shared" si="2"/>
        <v>11203.484799520416</v>
      </c>
      <c r="K6" s="88">
        <f t="shared" si="2"/>
        <v>11701.657809930879</v>
      </c>
      <c r="L6" s="88">
        <f t="shared" si="2"/>
        <v>12369.030492592077</v>
      </c>
    </row>
    <row r="7" spans="2:12" x14ac:dyDescent="0.3">
      <c r="B7" t="s">
        <v>9</v>
      </c>
      <c r="C7" s="95" t="s">
        <v>124</v>
      </c>
      <c r="D7" s="39">
        <f>D14</f>
        <v>2548.4499999999998</v>
      </c>
      <c r="E7" s="39">
        <f t="shared" ref="E7:G7" si="3">E14</f>
        <v>2542.04</v>
      </c>
      <c r="F7" s="39">
        <f t="shared" si="3"/>
        <v>2693.0699999999997</v>
      </c>
      <c r="G7" s="40">
        <f t="shared" si="3"/>
        <v>2946.9900000000002</v>
      </c>
      <c r="H7" s="88">
        <f>H10*H5</f>
        <v>3279.5902316119805</v>
      </c>
      <c r="I7" s="88">
        <f t="shared" ref="I7:L7" si="4">I10*I5</f>
        <v>3495.5518571787093</v>
      </c>
      <c r="J7" s="88">
        <f t="shared" si="4"/>
        <v>3786.4306404943441</v>
      </c>
      <c r="K7" s="88">
        <f t="shared" si="4"/>
        <v>4123.5942043976747</v>
      </c>
      <c r="L7" s="88">
        <f t="shared" si="4"/>
        <v>4485.0871163096745</v>
      </c>
    </row>
    <row r="8" spans="2:12" x14ac:dyDescent="0.3">
      <c r="B8" s="93" t="s">
        <v>145</v>
      </c>
      <c r="C8" s="94">
        <f>'Balance Sheet'!C12</f>
        <v>53945</v>
      </c>
      <c r="D8" s="94">
        <f>'Balance Sheet'!D12</f>
        <v>54668</v>
      </c>
      <c r="E8" s="94">
        <f>'Balance Sheet'!E12</f>
        <v>57210</v>
      </c>
      <c r="F8" s="94">
        <f>'Balance Sheet'!F12</f>
        <v>63776</v>
      </c>
      <c r="G8" s="122">
        <f>'Balance Sheet'!G12</f>
        <v>70143</v>
      </c>
      <c r="H8" s="92">
        <f>H5+H6-H7</f>
        <v>74956.657083610713</v>
      </c>
      <c r="I8" s="92">
        <f t="shared" ref="I8:L8" si="5">I5+I6-I7</f>
        <v>81135.505606770195</v>
      </c>
      <c r="J8" s="92">
        <f t="shared" si="5"/>
        <v>88552.559765796264</v>
      </c>
      <c r="K8" s="92">
        <f t="shared" si="5"/>
        <v>96130.623371329479</v>
      </c>
      <c r="L8" s="92">
        <f t="shared" si="5"/>
        <v>104014.56674761188</v>
      </c>
    </row>
    <row r="9" spans="2:12" x14ac:dyDescent="0.3">
      <c r="B9" s="1"/>
      <c r="C9" s="39"/>
      <c r="D9" s="39"/>
      <c r="E9" s="39"/>
      <c r="F9" s="39"/>
      <c r="G9" s="40"/>
      <c r="H9" s="88"/>
      <c r="I9" s="88"/>
      <c r="J9" s="88"/>
      <c r="K9" s="88"/>
      <c r="L9" s="88"/>
    </row>
    <row r="10" spans="2:12" x14ac:dyDescent="0.3">
      <c r="B10" s="73" t="s">
        <v>148</v>
      </c>
      <c r="C10" s="129" t="s">
        <v>124</v>
      </c>
      <c r="D10" s="75">
        <f>D7/D5</f>
        <v>4.7241634998609693E-2</v>
      </c>
      <c r="E10" s="75">
        <f t="shared" ref="E10:G10" si="6">E7/E5</f>
        <v>4.6499597570790953E-2</v>
      </c>
      <c r="F10" s="75">
        <f t="shared" si="6"/>
        <v>4.7073413738856838E-2</v>
      </c>
      <c r="G10" s="130">
        <f t="shared" si="6"/>
        <v>4.6208448319116913E-2</v>
      </c>
      <c r="H10" s="131">
        <f>AVERAGE(D10:G10)</f>
        <v>4.6755773656843601E-2</v>
      </c>
      <c r="I10" s="131">
        <f t="shared" ref="I10:L10" si="7">AVERAGE(E10:H10)</f>
        <v>4.6634308321402078E-2</v>
      </c>
      <c r="J10" s="131">
        <f t="shared" si="7"/>
        <v>4.6667986009054863E-2</v>
      </c>
      <c r="K10" s="131">
        <f t="shared" si="7"/>
        <v>4.6566629076604367E-2</v>
      </c>
      <c r="L10" s="131">
        <f t="shared" si="7"/>
        <v>4.6656174265976222E-2</v>
      </c>
    </row>
    <row r="11" spans="2:12" x14ac:dyDescent="0.3">
      <c r="B11" s="73" t="s">
        <v>149</v>
      </c>
      <c r="C11" s="129" t="s">
        <v>124</v>
      </c>
      <c r="D11" s="75">
        <f>D6/D5</f>
        <v>6.0644174622300491E-2</v>
      </c>
      <c r="E11" s="75">
        <f t="shared" ref="E11:G11" si="8">E6/E5</f>
        <v>9.2998463452110922E-2</v>
      </c>
      <c r="F11" s="75">
        <f t="shared" si="8"/>
        <v>0.16184355881838838</v>
      </c>
      <c r="G11" s="130">
        <f t="shared" si="8"/>
        <v>0.14604224159558454</v>
      </c>
      <c r="H11" s="131">
        <f>AVERAGE(D11:G11)</f>
        <v>0.11538210962209608</v>
      </c>
      <c r="I11" s="131">
        <f t="shared" ref="I11:L11" si="9">AVERAGE(E11:H11)</f>
        <v>0.12906659337204499</v>
      </c>
      <c r="J11" s="131">
        <f t="shared" si="9"/>
        <v>0.13808362585202849</v>
      </c>
      <c r="K11" s="131">
        <f t="shared" si="9"/>
        <v>0.13214364261043851</v>
      </c>
      <c r="L11" s="131">
        <f t="shared" si="9"/>
        <v>0.12866899286415201</v>
      </c>
    </row>
    <row r="12" spans="2:12" x14ac:dyDescent="0.3">
      <c r="C12" s="39"/>
      <c r="D12" s="39"/>
      <c r="E12" s="39"/>
      <c r="F12" s="39"/>
      <c r="G12" s="40"/>
      <c r="H12" s="88"/>
      <c r="I12" s="88"/>
      <c r="J12" s="88"/>
      <c r="K12" s="88"/>
      <c r="L12" s="88"/>
    </row>
    <row r="13" spans="2:12" x14ac:dyDescent="0.3">
      <c r="B13" s="46" t="s">
        <v>91</v>
      </c>
      <c r="C13" s="47"/>
      <c r="D13" s="47"/>
      <c r="E13" s="47"/>
      <c r="F13" s="47"/>
      <c r="G13" s="90"/>
      <c r="H13" s="87"/>
      <c r="I13" s="87"/>
      <c r="J13" s="87"/>
      <c r="K13" s="87"/>
      <c r="L13" s="87"/>
    </row>
    <row r="14" spans="2:12" x14ac:dyDescent="0.3">
      <c r="B14" t="s">
        <v>9</v>
      </c>
      <c r="C14" s="39">
        <f>C16-C15</f>
        <v>2506.2999999999997</v>
      </c>
      <c r="D14" s="39">
        <f t="shared" ref="D14:G14" si="10">D16-D15</f>
        <v>2548.4499999999998</v>
      </c>
      <c r="E14" s="39">
        <f t="shared" si="10"/>
        <v>2542.04</v>
      </c>
      <c r="F14" s="39">
        <f t="shared" si="10"/>
        <v>2693.0699999999997</v>
      </c>
      <c r="G14" s="40">
        <f t="shared" si="10"/>
        <v>2946.9900000000002</v>
      </c>
      <c r="H14" s="88">
        <f>H7</f>
        <v>3279.5902316119805</v>
      </c>
      <c r="I14" s="88">
        <f t="shared" ref="I14:L14" si="11">I7</f>
        <v>3495.5518571787093</v>
      </c>
      <c r="J14" s="88">
        <f t="shared" si="11"/>
        <v>3786.4306404943441</v>
      </c>
      <c r="K14" s="88">
        <f t="shared" si="11"/>
        <v>4123.5942043976747</v>
      </c>
      <c r="L14" s="88">
        <f t="shared" si="11"/>
        <v>4485.0871163096745</v>
      </c>
    </row>
    <row r="15" spans="2:12" x14ac:dyDescent="0.3">
      <c r="B15" t="s">
        <v>146</v>
      </c>
      <c r="C15" s="100">
        <v>216.36</v>
      </c>
      <c r="D15" s="100">
        <v>151.78</v>
      </c>
      <c r="E15" s="100">
        <v>172.71</v>
      </c>
      <c r="F15" s="100">
        <v>194.92</v>
      </c>
      <c r="G15" s="123">
        <v>198.31</v>
      </c>
      <c r="H15" s="88">
        <f>H18*H14/H19</f>
        <v>231.62690960725112</v>
      </c>
      <c r="I15" s="88">
        <f t="shared" ref="I15:L15" si="12">I18*I14/I19</f>
        <v>236.09357909010151</v>
      </c>
      <c r="J15" s="88">
        <f t="shared" si="12"/>
        <v>261.84031030835996</v>
      </c>
      <c r="K15" s="88">
        <f t="shared" si="12"/>
        <v>286.15585439768915</v>
      </c>
      <c r="L15" s="88">
        <f t="shared" si="12"/>
        <v>308.574161579036</v>
      </c>
    </row>
    <row r="16" spans="2:12" x14ac:dyDescent="0.3">
      <c r="B16" s="97" t="s">
        <v>147</v>
      </c>
      <c r="C16" s="99">
        <f>'P&amp;L'!C14</f>
        <v>2722.66</v>
      </c>
      <c r="D16" s="99">
        <f>'P&amp;L'!D14</f>
        <v>2700.23</v>
      </c>
      <c r="E16" s="99">
        <f>'P&amp;L'!E14</f>
        <v>2714.75</v>
      </c>
      <c r="F16" s="99">
        <f>'P&amp;L'!F14</f>
        <v>2887.99</v>
      </c>
      <c r="G16" s="124">
        <f>'P&amp;L'!G14</f>
        <v>3145.3</v>
      </c>
      <c r="H16" s="91">
        <f>H14+H15</f>
        <v>3511.2171412192315</v>
      </c>
      <c r="I16" s="91">
        <f t="shared" ref="I16:L16" si="13">I14+I15</f>
        <v>3731.645436268811</v>
      </c>
      <c r="J16" s="91">
        <f t="shared" si="13"/>
        <v>4048.2709508027042</v>
      </c>
      <c r="K16" s="91">
        <f t="shared" si="13"/>
        <v>4409.7500587953637</v>
      </c>
      <c r="L16" s="91">
        <f t="shared" si="13"/>
        <v>4793.6612778887102</v>
      </c>
    </row>
    <row r="17" spans="2:12" x14ac:dyDescent="0.3">
      <c r="B17" s="46"/>
      <c r="C17" s="47"/>
      <c r="D17" s="47"/>
      <c r="E17" s="47"/>
      <c r="F17" s="47"/>
      <c r="G17" s="90"/>
      <c r="H17" s="48"/>
      <c r="I17" s="48"/>
      <c r="J17" s="48"/>
      <c r="K17" s="48"/>
      <c r="L17" s="48"/>
    </row>
    <row r="18" spans="2:12" x14ac:dyDescent="0.3">
      <c r="B18" s="32" t="s">
        <v>150</v>
      </c>
      <c r="C18" s="75">
        <f>C15/C16</f>
        <v>7.946640417826685E-2</v>
      </c>
      <c r="D18" s="75">
        <f t="shared" ref="D18:G18" si="14">D15/D16</f>
        <v>5.6210026553293609E-2</v>
      </c>
      <c r="E18" s="75">
        <f t="shared" si="14"/>
        <v>6.361911778248458E-2</v>
      </c>
      <c r="F18" s="75">
        <f t="shared" si="14"/>
        <v>6.7493308494835508E-2</v>
      </c>
      <c r="G18" s="130">
        <f t="shared" si="14"/>
        <v>6.3049629606078905E-2</v>
      </c>
      <c r="H18" s="132">
        <f>AVERAGE(C18:G18)</f>
        <v>6.5967697322991889E-2</v>
      </c>
      <c r="I18" s="132">
        <f t="shared" ref="I18:L18" si="15">AVERAGE(D18:H18)</f>
        <v>6.3267955951936905E-2</v>
      </c>
      <c r="J18" s="132">
        <f t="shared" si="15"/>
        <v>6.4679541831665549E-2</v>
      </c>
      <c r="K18" s="132">
        <f t="shared" si="15"/>
        <v>6.4891626641501748E-2</v>
      </c>
      <c r="L18" s="132">
        <f t="shared" si="15"/>
        <v>6.4371290270834991E-2</v>
      </c>
    </row>
    <row r="19" spans="2:12" x14ac:dyDescent="0.3">
      <c r="B19" s="32"/>
      <c r="C19" s="74"/>
      <c r="D19" s="74"/>
      <c r="E19" s="74"/>
      <c r="F19" s="74"/>
      <c r="G19" s="133"/>
      <c r="H19" s="132">
        <f>1-H18</f>
        <v>0.9340323026770081</v>
      </c>
      <c r="I19" s="132">
        <f t="shared" ref="I19:L19" si="16">1-I18</f>
        <v>0.93673204404806309</v>
      </c>
      <c r="J19" s="132">
        <f t="shared" si="16"/>
        <v>0.93532045816833442</v>
      </c>
      <c r="K19" s="132">
        <f t="shared" si="16"/>
        <v>0.93510837335849828</v>
      </c>
      <c r="L19" s="132">
        <f t="shared" si="16"/>
        <v>0.93562870972916501</v>
      </c>
    </row>
    <row r="20" spans="2:12" ht="25.8" x14ac:dyDescent="0.5">
      <c r="B20" s="102" t="s">
        <v>37</v>
      </c>
      <c r="C20" s="102"/>
      <c r="D20" s="102"/>
      <c r="E20" s="103"/>
      <c r="F20" s="103"/>
      <c r="G20" s="103"/>
      <c r="H20" s="103"/>
      <c r="I20" s="103"/>
      <c r="J20" s="103"/>
      <c r="K20" s="103"/>
      <c r="L20" s="103"/>
    </row>
    <row r="21" spans="2:12" x14ac:dyDescent="0.3">
      <c r="B21" s="104" t="s">
        <v>85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2:12" x14ac:dyDescent="0.3">
      <c r="B22" s="105" t="s">
        <v>86</v>
      </c>
      <c r="C22" s="106">
        <v>2020</v>
      </c>
      <c r="D22" s="106">
        <v>2021</v>
      </c>
      <c r="E22" s="106">
        <v>2022</v>
      </c>
      <c r="F22" s="106">
        <v>2023</v>
      </c>
      <c r="G22" s="107">
        <v>2024</v>
      </c>
      <c r="H22" s="108">
        <v>2025</v>
      </c>
      <c r="I22" s="108">
        <v>2026</v>
      </c>
      <c r="J22" s="108">
        <v>2027</v>
      </c>
      <c r="K22" s="108">
        <v>2028</v>
      </c>
      <c r="L22" s="108">
        <v>2029</v>
      </c>
    </row>
    <row r="23" spans="2:12" x14ac:dyDescent="0.3">
      <c r="B23" s="103" t="s">
        <v>151</v>
      </c>
      <c r="C23" s="109" t="s">
        <v>124</v>
      </c>
      <c r="D23" s="111">
        <f>C26</f>
        <v>6680</v>
      </c>
      <c r="E23" s="111">
        <f t="shared" ref="E23:L23" si="17">D26</f>
        <v>6375</v>
      </c>
      <c r="F23" s="111">
        <f t="shared" si="17"/>
        <v>6405</v>
      </c>
      <c r="G23" s="125">
        <f t="shared" si="17"/>
        <v>6484</v>
      </c>
      <c r="H23" s="117">
        <f t="shared" si="17"/>
        <v>6501</v>
      </c>
      <c r="I23" s="117">
        <f t="shared" si="17"/>
        <v>6407.2486777837466</v>
      </c>
      <c r="J23" s="117">
        <f t="shared" si="17"/>
        <v>6377.7551596448229</v>
      </c>
      <c r="K23" s="117">
        <f t="shared" si="17"/>
        <v>6322.2767601358537</v>
      </c>
      <c r="L23" s="117">
        <f t="shared" si="17"/>
        <v>6224.2338825609286</v>
      </c>
    </row>
    <row r="24" spans="2:12" x14ac:dyDescent="0.3">
      <c r="B24" s="103" t="s">
        <v>152</v>
      </c>
      <c r="C24" s="109" t="s">
        <v>124</v>
      </c>
      <c r="D24" s="112">
        <f>D26-D23+D25</f>
        <v>-153.22</v>
      </c>
      <c r="E24" s="112">
        <f t="shared" ref="E24:G24" si="18">E26-E23+E25</f>
        <v>202.71</v>
      </c>
      <c r="F24" s="112">
        <f t="shared" si="18"/>
        <v>273.91999999999996</v>
      </c>
      <c r="G24" s="126">
        <f t="shared" si="18"/>
        <v>215.31</v>
      </c>
      <c r="H24" s="118">
        <f>H23*H28</f>
        <v>137.87558739099737</v>
      </c>
      <c r="I24" s="118">
        <f t="shared" ref="I24:L24" si="19">I23*I28</f>
        <v>206.60006095117714</v>
      </c>
      <c r="J24" s="118">
        <f t="shared" si="19"/>
        <v>206.36191079939127</v>
      </c>
      <c r="K24" s="118">
        <f t="shared" si="19"/>
        <v>188.11297682276378</v>
      </c>
      <c r="L24" s="118">
        <f t="shared" si="19"/>
        <v>179.8237336138333</v>
      </c>
    </row>
    <row r="25" spans="2:12" x14ac:dyDescent="0.3">
      <c r="B25" s="103" t="s">
        <v>146</v>
      </c>
      <c r="C25" s="109" t="s">
        <v>124</v>
      </c>
      <c r="D25" s="113">
        <f>D15</f>
        <v>151.78</v>
      </c>
      <c r="E25" s="113">
        <f t="shared" ref="E25:L25" si="20">E15</f>
        <v>172.71</v>
      </c>
      <c r="F25" s="113">
        <f t="shared" si="20"/>
        <v>194.92</v>
      </c>
      <c r="G25" s="127">
        <f t="shared" si="20"/>
        <v>198.31</v>
      </c>
      <c r="H25" s="118">
        <f t="shared" si="20"/>
        <v>231.62690960725112</v>
      </c>
      <c r="I25" s="118">
        <f t="shared" si="20"/>
        <v>236.09357909010151</v>
      </c>
      <c r="J25" s="118">
        <f t="shared" si="20"/>
        <v>261.84031030835996</v>
      </c>
      <c r="K25" s="118">
        <f t="shared" si="20"/>
        <v>286.15585439768915</v>
      </c>
      <c r="L25" s="118">
        <f t="shared" si="20"/>
        <v>308.574161579036</v>
      </c>
    </row>
    <row r="26" spans="2:12" x14ac:dyDescent="0.3">
      <c r="B26" s="114" t="s">
        <v>153</v>
      </c>
      <c r="C26" s="115">
        <f>'Balance Sheet'!C14</f>
        <v>6680</v>
      </c>
      <c r="D26" s="115">
        <f>'Balance Sheet'!D14</f>
        <v>6375</v>
      </c>
      <c r="E26" s="115">
        <f>'Balance Sheet'!E14</f>
        <v>6405</v>
      </c>
      <c r="F26" s="115">
        <f>'Balance Sheet'!F14</f>
        <v>6484</v>
      </c>
      <c r="G26" s="128">
        <f>'Balance Sheet'!G14</f>
        <v>6501</v>
      </c>
      <c r="H26" s="116">
        <f>H23+H24-H25</f>
        <v>6407.2486777837466</v>
      </c>
      <c r="I26" s="116">
        <f t="shared" ref="I26:L26" si="21">I23+I24-I25</f>
        <v>6377.7551596448229</v>
      </c>
      <c r="J26" s="116">
        <f t="shared" si="21"/>
        <v>6322.2767601358537</v>
      </c>
      <c r="K26" s="116">
        <f t="shared" si="21"/>
        <v>6224.2338825609286</v>
      </c>
      <c r="L26" s="116">
        <f t="shared" si="21"/>
        <v>6095.4834545957265</v>
      </c>
    </row>
    <row r="27" spans="2:12" x14ac:dyDescent="0.3">
      <c r="B27" s="46"/>
      <c r="C27" s="47"/>
      <c r="D27" s="47"/>
      <c r="E27" s="47"/>
      <c r="F27" s="47"/>
      <c r="G27" s="90"/>
      <c r="H27" s="101"/>
      <c r="I27" s="101"/>
      <c r="J27" s="101"/>
      <c r="K27" s="101"/>
      <c r="L27" s="101"/>
    </row>
    <row r="28" spans="2:12" x14ac:dyDescent="0.3">
      <c r="B28" s="73" t="s">
        <v>154</v>
      </c>
      <c r="C28" s="129" t="s">
        <v>124</v>
      </c>
      <c r="D28" s="75">
        <f>D24/D23</f>
        <v>-2.2937125748502995E-2</v>
      </c>
      <c r="E28" s="75">
        <f t="shared" ref="E28:G28" si="22">E24/E23</f>
        <v>3.1797647058823528E-2</v>
      </c>
      <c r="F28" s="75">
        <f t="shared" si="22"/>
        <v>4.2766588602654171E-2</v>
      </c>
      <c r="G28" s="130">
        <f t="shared" si="22"/>
        <v>3.3206354102405924E-2</v>
      </c>
      <c r="H28" s="134">
        <f>AVERAGE(D28:G28)</f>
        <v>2.1208366003845156E-2</v>
      </c>
      <c r="I28" s="134">
        <f t="shared" ref="I28" si="23">AVERAGE(E28:H28)</f>
        <v>3.2244738941932194E-2</v>
      </c>
      <c r="J28" s="134">
        <f t="shared" ref="J28" si="24">AVERAGE(F28:I28)</f>
        <v>3.2356511912709357E-2</v>
      </c>
      <c r="K28" s="134">
        <f t="shared" ref="K28" si="25">AVERAGE(G28:J28)</f>
        <v>2.9753992740223157E-2</v>
      </c>
      <c r="L28" s="134">
        <f t="shared" ref="L28" si="26">AVERAGE(H28:K28)</f>
        <v>2.8890902399677464E-2</v>
      </c>
    </row>
    <row r="39" spans="13:20" x14ac:dyDescent="0.3">
      <c r="M39" s="34">
        <v>2022</v>
      </c>
      <c r="N39" s="34">
        <v>2023</v>
      </c>
      <c r="O39" s="38">
        <v>2024</v>
      </c>
      <c r="P39" s="35">
        <v>2025</v>
      </c>
      <c r="Q39" s="35">
        <v>2026</v>
      </c>
      <c r="R39" s="35">
        <v>2027</v>
      </c>
      <c r="S39" s="35">
        <v>2028</v>
      </c>
      <c r="T39" s="35">
        <v>2029</v>
      </c>
    </row>
    <row r="40" spans="13:20" x14ac:dyDescent="0.3">
      <c r="M40" s="96">
        <f t="shared" ref="M40:T40" si="27">L43</f>
        <v>0</v>
      </c>
      <c r="N40" s="96">
        <f t="shared" si="27"/>
        <v>0</v>
      </c>
      <c r="O40" s="96">
        <f t="shared" si="27"/>
        <v>0</v>
      </c>
      <c r="P40" s="96">
        <f t="shared" si="27"/>
        <v>0</v>
      </c>
      <c r="Q40" s="96">
        <f t="shared" si="27"/>
        <v>0</v>
      </c>
      <c r="R40" s="96">
        <f t="shared" si="27"/>
        <v>0</v>
      </c>
      <c r="S40" s="96">
        <f t="shared" si="27"/>
        <v>0</v>
      </c>
      <c r="T40" s="96">
        <f t="shared" si="27"/>
        <v>0</v>
      </c>
    </row>
    <row r="41" spans="13:20" x14ac:dyDescent="0.3">
      <c r="M41" s="98">
        <f t="shared" ref="M41" si="28">M43-M40+M42</f>
        <v>0</v>
      </c>
      <c r="N41" s="98">
        <f t="shared" ref="N41" si="29">N43-N40+N42</f>
        <v>0</v>
      </c>
      <c r="O41" s="98">
        <f t="shared" ref="O41" si="30">O43-O40+O42</f>
        <v>0</v>
      </c>
      <c r="P41" s="88">
        <f>P46*P40</f>
        <v>0</v>
      </c>
      <c r="Q41" s="88">
        <f t="shared" ref="Q41" si="31">Q46*Q40</f>
        <v>0</v>
      </c>
      <c r="R41" s="88">
        <f t="shared" ref="R41" si="32">R46*R40</f>
        <v>0</v>
      </c>
      <c r="S41" s="88">
        <f t="shared" ref="S41" si="33">S46*S40</f>
        <v>0</v>
      </c>
      <c r="T41" s="88">
        <f t="shared" ref="T41" si="34">T46*T40</f>
        <v>0</v>
      </c>
    </row>
    <row r="42" spans="13:20" x14ac:dyDescent="0.3">
      <c r="M42" s="39">
        <f t="shared" ref="M42:O42" si="35">M49</f>
        <v>0</v>
      </c>
      <c r="N42" s="39">
        <f t="shared" si="35"/>
        <v>0</v>
      </c>
      <c r="O42" s="39">
        <f t="shared" si="35"/>
        <v>0</v>
      </c>
      <c r="P42" s="88">
        <f>P45*P40</f>
        <v>0</v>
      </c>
      <c r="Q42" s="88">
        <f t="shared" ref="Q42:T42" si="36">Q45*Q40</f>
        <v>0</v>
      </c>
      <c r="R42" s="88">
        <f t="shared" si="36"/>
        <v>0</v>
      </c>
      <c r="S42" s="88">
        <f t="shared" si="36"/>
        <v>0</v>
      </c>
      <c r="T42" s="88">
        <f t="shared" si="36"/>
        <v>0</v>
      </c>
    </row>
    <row r="43" spans="13:20" x14ac:dyDescent="0.3">
      <c r="M43" s="94">
        <f>'Balance Sheet'!M40</f>
        <v>0</v>
      </c>
      <c r="N43" s="94">
        <f>'Balance Sheet'!N40</f>
        <v>0</v>
      </c>
      <c r="O43" s="94">
        <f>'Balance Sheet'!O40</f>
        <v>0</v>
      </c>
      <c r="P43" s="92">
        <f>P40+P41-P42</f>
        <v>0</v>
      </c>
      <c r="Q43" s="92">
        <f t="shared" ref="Q43" si="37">Q40+Q41-Q42</f>
        <v>0</v>
      </c>
      <c r="R43" s="92">
        <f t="shared" ref="R43" si="38">R40+R41-R42</f>
        <v>0</v>
      </c>
      <c r="S43" s="92">
        <f t="shared" ref="S43" si="39">S40+S41-S42</f>
        <v>0</v>
      </c>
      <c r="T43" s="92">
        <f t="shared" ref="T43" si="40">T40+T41-T42</f>
        <v>0</v>
      </c>
    </row>
  </sheetData>
  <hyperlinks>
    <hyperlink ref="L2" location="PPE!A1" display="PPE!A1" xr:uid="{372B96BF-FE7C-4059-A996-880508BC469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E533-B419-4CF3-8CD5-1DBA936B0561}">
  <dimension ref="A2:T4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2" sqref="L2"/>
    </sheetView>
  </sheetViews>
  <sheetFormatPr defaultColWidth="0" defaultRowHeight="14.4" x14ac:dyDescent="0.3"/>
  <cols>
    <col min="1" max="1" width="1.88671875" customWidth="1"/>
    <col min="2" max="2" width="28.5546875" customWidth="1"/>
    <col min="3" max="6" width="12.88671875" customWidth="1"/>
    <col min="7" max="7" width="13.77734375" customWidth="1"/>
    <col min="8" max="12" width="12.88671875" customWidth="1"/>
    <col min="13" max="16384" width="8.88671875" hidden="1"/>
  </cols>
  <sheetData>
    <row r="2" spans="2:12" ht="25.8" x14ac:dyDescent="0.5">
      <c r="B2" s="31" t="s">
        <v>160</v>
      </c>
      <c r="L2" s="258" t="s">
        <v>238</v>
      </c>
    </row>
    <row r="3" spans="2:12" x14ac:dyDescent="0.3">
      <c r="B3" s="32" t="s">
        <v>85</v>
      </c>
    </row>
    <row r="4" spans="2:12" x14ac:dyDescent="0.3">
      <c r="B4" s="33" t="s">
        <v>86</v>
      </c>
      <c r="C4" s="34">
        <v>2020</v>
      </c>
      <c r="D4" s="34">
        <v>2021</v>
      </c>
      <c r="E4" s="34">
        <v>2022</v>
      </c>
      <c r="F4" s="34">
        <v>2023</v>
      </c>
      <c r="G4" s="38">
        <v>2024</v>
      </c>
      <c r="H4" s="35">
        <v>2025</v>
      </c>
      <c r="I4" s="35">
        <v>2026</v>
      </c>
      <c r="J4" s="35">
        <v>2027</v>
      </c>
      <c r="K4" s="35">
        <v>2028</v>
      </c>
      <c r="L4" s="35">
        <v>2029</v>
      </c>
    </row>
    <row r="5" spans="2:12" x14ac:dyDescent="0.3">
      <c r="B5" s="52" t="s">
        <v>44</v>
      </c>
      <c r="C5" s="145">
        <f>'Balance Sheet'!C5</f>
        <v>4183</v>
      </c>
      <c r="D5" s="145">
        <f>'Balance Sheet'!D5</f>
        <v>4018</v>
      </c>
      <c r="E5" s="145">
        <f>'Balance Sheet'!E5</f>
        <v>5596</v>
      </c>
      <c r="F5" s="145">
        <f>'Balance Sheet'!F5</f>
        <v>6612</v>
      </c>
      <c r="G5" s="145">
        <f>'Balance Sheet'!G5</f>
        <v>8330</v>
      </c>
      <c r="H5" s="147">
        <f>Drivers!H46*Drivers!H53</f>
        <v>8548.1616423531596</v>
      </c>
      <c r="I5" s="147">
        <f>Drivers!I46*Drivers!I53</f>
        <v>9975.7046366261384</v>
      </c>
      <c r="J5" s="147">
        <f>Drivers!J46*Drivers!J53</f>
        <v>11541.890264576443</v>
      </c>
      <c r="K5" s="147">
        <f>Drivers!K46*Drivers!K53</f>
        <v>13238.548133469181</v>
      </c>
      <c r="L5" s="147">
        <f>Drivers!L46*Drivers!L53</f>
        <v>15052.229227754457</v>
      </c>
    </row>
    <row r="6" spans="2:12" x14ac:dyDescent="0.3">
      <c r="B6" s="52" t="s">
        <v>45</v>
      </c>
      <c r="C6" s="145">
        <f>'Balance Sheet'!C6</f>
        <v>2383</v>
      </c>
      <c r="D6" s="145">
        <f>'Balance Sheet'!D6</f>
        <v>2572</v>
      </c>
      <c r="E6" s="145">
        <f>'Balance Sheet'!E6</f>
        <v>3072</v>
      </c>
      <c r="F6" s="145">
        <f>'Balance Sheet'!F6</f>
        <v>3867</v>
      </c>
      <c r="G6" s="145">
        <f>'Balance Sheet'!G6</f>
        <v>4278</v>
      </c>
      <c r="H6" s="148">
        <f>Drivers!H47*Drivers!H52</f>
        <v>4858.2927288407718</v>
      </c>
      <c r="I6" s="148">
        <f>Drivers!I47*Drivers!I52</f>
        <v>5669.6276145571819</v>
      </c>
      <c r="J6" s="148">
        <f>Drivers!J47*Drivers!J52</f>
        <v>6559.7591500426597</v>
      </c>
      <c r="K6" s="148">
        <f>Drivers!K47*Drivers!K52</f>
        <v>7524.0437450989302</v>
      </c>
      <c r="L6" s="148">
        <f>Drivers!L47*Drivers!L52</f>
        <v>8554.8377381774844</v>
      </c>
    </row>
    <row r="7" spans="2:12" x14ac:dyDescent="0.3">
      <c r="B7" s="52" t="s">
        <v>47</v>
      </c>
      <c r="C7" s="145">
        <f>'Balance Sheet'!C8</f>
        <v>796</v>
      </c>
      <c r="D7" s="145">
        <f>'Balance Sheet'!D8</f>
        <v>660</v>
      </c>
      <c r="E7" s="145">
        <f>'Balance Sheet'!E8</f>
        <v>873</v>
      </c>
      <c r="F7" s="145">
        <f>'Balance Sheet'!F8</f>
        <v>951</v>
      </c>
      <c r="G7" s="145">
        <f>'Balance Sheet'!G8</f>
        <v>985</v>
      </c>
      <c r="H7" s="88">
        <f>Drivers!H48*Drivers!H52</f>
        <v>1308.1657254770562</v>
      </c>
      <c r="I7" s="88">
        <f>Drivers!I48*Drivers!I52</f>
        <v>1526.6294016317247</v>
      </c>
      <c r="J7" s="88">
        <f>Drivers!J48*Drivers!J52</f>
        <v>1766.3102176879056</v>
      </c>
      <c r="K7" s="88">
        <f>Drivers!K48*Drivers!K52</f>
        <v>2025.9578196880279</v>
      </c>
      <c r="L7" s="88">
        <f>Drivers!L48*Drivers!L52</f>
        <v>2303.5140409852875</v>
      </c>
    </row>
    <row r="8" spans="2:12" x14ac:dyDescent="0.3">
      <c r="B8" s="52" t="s">
        <v>48</v>
      </c>
      <c r="C8" s="145">
        <f>'Balance Sheet'!C9</f>
        <v>7312</v>
      </c>
      <c r="D8" s="145">
        <f>'Balance Sheet'!D9</f>
        <v>7642</v>
      </c>
      <c r="E8" s="145">
        <f>'Balance Sheet'!E9</f>
        <v>7304</v>
      </c>
      <c r="F8" s="145">
        <f>'Balance Sheet'!F9</f>
        <v>7885</v>
      </c>
      <c r="G8" s="145">
        <f>'Balance Sheet'!G9</f>
        <v>8483</v>
      </c>
      <c r="H8" s="149">
        <f>AVERAGE(C8:G8)</f>
        <v>7725.2</v>
      </c>
      <c r="I8" s="149">
        <f t="shared" ref="I8:L8" si="0">AVERAGE(D8:H8)</f>
        <v>7807.8399999999992</v>
      </c>
      <c r="J8" s="149">
        <f t="shared" si="0"/>
        <v>7841.0079999999998</v>
      </c>
      <c r="K8" s="149">
        <f t="shared" si="0"/>
        <v>7948.4096000000009</v>
      </c>
      <c r="L8" s="149">
        <f t="shared" si="0"/>
        <v>7961.0915199999999</v>
      </c>
    </row>
    <row r="9" spans="2:12" x14ac:dyDescent="0.3">
      <c r="B9" s="50" t="s">
        <v>166</v>
      </c>
      <c r="C9" s="146">
        <f>SUM(C5:C8)</f>
        <v>14674</v>
      </c>
      <c r="D9" s="146">
        <f t="shared" ref="D9:G9" si="1">SUM(D5:D8)</f>
        <v>14892</v>
      </c>
      <c r="E9" s="146">
        <f t="shared" si="1"/>
        <v>16845</v>
      </c>
      <c r="F9" s="146">
        <f t="shared" si="1"/>
        <v>19315</v>
      </c>
      <c r="G9" s="146">
        <f t="shared" si="1"/>
        <v>22076</v>
      </c>
      <c r="H9" s="139">
        <f>SUM(H5:H8)</f>
        <v>22439.820096670988</v>
      </c>
      <c r="I9" s="139">
        <f t="shared" ref="I9:L9" si="2">SUM(I5:I8)</f>
        <v>24979.801652815047</v>
      </c>
      <c r="J9" s="139">
        <f t="shared" si="2"/>
        <v>27708.967632307009</v>
      </c>
      <c r="K9" s="139">
        <f t="shared" si="2"/>
        <v>30736.959298256144</v>
      </c>
      <c r="L9" s="139">
        <f t="shared" si="2"/>
        <v>33871.672526917224</v>
      </c>
    </row>
    <row r="10" spans="2:12" x14ac:dyDescent="0.3">
      <c r="B10" s="73"/>
      <c r="C10" s="129"/>
      <c r="D10" s="75"/>
      <c r="E10" s="75"/>
      <c r="F10" s="75"/>
      <c r="G10" s="75"/>
      <c r="H10" s="131"/>
      <c r="I10" s="131"/>
      <c r="J10" s="131"/>
      <c r="K10" s="131"/>
      <c r="L10" s="131"/>
    </row>
    <row r="11" spans="2:12" x14ac:dyDescent="0.3">
      <c r="B11" s="55" t="s">
        <v>25</v>
      </c>
      <c r="C11" s="145">
        <f>'Balance Sheet'!C21</f>
        <v>3363</v>
      </c>
      <c r="D11" s="145">
        <f>'Balance Sheet'!D21</f>
        <v>4548</v>
      </c>
      <c r="E11" s="145">
        <f>'Balance Sheet'!E21</f>
        <v>5863</v>
      </c>
      <c r="F11" s="145">
        <f>'Balance Sheet'!F21</f>
        <v>7209</v>
      </c>
      <c r="G11" s="145">
        <f>'Balance Sheet'!G21</f>
        <v>8478</v>
      </c>
      <c r="H11" s="150">
        <f>Drivers!H49*Drivers!H53</f>
        <v>8699.5766860522726</v>
      </c>
      <c r="I11" s="150">
        <f>Drivers!I49*Drivers!I53</f>
        <v>10152.405992623004</v>
      </c>
      <c r="J11" s="150">
        <f>Drivers!J49*Drivers!J53</f>
        <v>11746.333733464815</v>
      </c>
      <c r="K11" s="150">
        <f>Drivers!K49*Drivers!K53</f>
        <v>13473.044792284143</v>
      </c>
      <c r="L11" s="150">
        <f>Drivers!L49*Drivers!L53</f>
        <v>15318.851928827069</v>
      </c>
    </row>
    <row r="12" spans="2:12" x14ac:dyDescent="0.3">
      <c r="B12" s="55" t="s">
        <v>26</v>
      </c>
      <c r="C12" s="145">
        <f>'Balance Sheet'!C22</f>
        <v>464</v>
      </c>
      <c r="D12" s="145">
        <f>'Balance Sheet'!D22</f>
        <v>415</v>
      </c>
      <c r="E12" s="145">
        <f>'Balance Sheet'!E22</f>
        <v>465</v>
      </c>
      <c r="F12" s="145">
        <f>'Balance Sheet'!F22</f>
        <v>384</v>
      </c>
      <c r="G12" s="145">
        <f>'Balance Sheet'!G22</f>
        <v>527</v>
      </c>
      <c r="H12" s="88">
        <f>Drivers!H50*Drivers!H52</f>
        <v>704.35318216771986</v>
      </c>
      <c r="I12" s="88">
        <f>Drivers!I50*Drivers!I52</f>
        <v>821.98016358972916</v>
      </c>
      <c r="J12" s="88">
        <f>Drivers!J50*Drivers!J52</f>
        <v>951.03104927331663</v>
      </c>
      <c r="K12" s="88">
        <f>Drivers!K50*Drivers!K52</f>
        <v>1090.8326135164943</v>
      </c>
      <c r="L12" s="88">
        <f>Drivers!L50*Drivers!L52</f>
        <v>1240.2766815682539</v>
      </c>
    </row>
    <row r="13" spans="2:12" x14ac:dyDescent="0.3">
      <c r="B13" s="55" t="s">
        <v>27</v>
      </c>
      <c r="C13" s="145">
        <f>'Balance Sheet'!C23</f>
        <v>13316</v>
      </c>
      <c r="D13" s="145">
        <f>'Balance Sheet'!D23</f>
        <v>15313</v>
      </c>
      <c r="E13" s="145">
        <f>'Balance Sheet'!E23</f>
        <v>15753</v>
      </c>
      <c r="F13" s="145">
        <f>'Balance Sheet'!F23</f>
        <v>18349</v>
      </c>
      <c r="G13" s="145">
        <f>'Balance Sheet'!G23</f>
        <v>20106</v>
      </c>
      <c r="H13" s="88">
        <f>G13</f>
        <v>20106</v>
      </c>
      <c r="I13" s="88">
        <f t="shared" ref="I13:L13" si="3">H13</f>
        <v>20106</v>
      </c>
      <c r="J13" s="88">
        <f t="shared" si="3"/>
        <v>20106</v>
      </c>
      <c r="K13" s="88">
        <f t="shared" si="3"/>
        <v>20106</v>
      </c>
      <c r="L13" s="88">
        <f t="shared" si="3"/>
        <v>20106</v>
      </c>
    </row>
    <row r="14" spans="2:12" x14ac:dyDescent="0.3">
      <c r="B14" s="50" t="s">
        <v>167</v>
      </c>
      <c r="C14" s="146">
        <f>SUM(C11:C13)</f>
        <v>17143</v>
      </c>
      <c r="D14" s="146">
        <f t="shared" ref="D14:G14" si="4">SUM(D11:D13)</f>
        <v>20276</v>
      </c>
      <c r="E14" s="146">
        <f t="shared" si="4"/>
        <v>22081</v>
      </c>
      <c r="F14" s="146">
        <f t="shared" si="4"/>
        <v>25942</v>
      </c>
      <c r="G14" s="146">
        <f t="shared" si="4"/>
        <v>29111</v>
      </c>
      <c r="H14" s="139">
        <f>SUM(H11:H13)</f>
        <v>29509.929868219995</v>
      </c>
      <c r="I14" s="139">
        <f t="shared" ref="I14:L14" si="5">SUM(I11:I13)</f>
        <v>31080.386156212735</v>
      </c>
      <c r="J14" s="139">
        <f t="shared" si="5"/>
        <v>32803.364782738136</v>
      </c>
      <c r="K14" s="139">
        <f t="shared" si="5"/>
        <v>34669.877405800638</v>
      </c>
      <c r="L14" s="139">
        <f t="shared" si="5"/>
        <v>36665.128610395324</v>
      </c>
    </row>
    <row r="15" spans="2:12" x14ac:dyDescent="0.3">
      <c r="C15" s="100"/>
      <c r="D15" s="100"/>
      <c r="E15" s="100"/>
      <c r="F15" s="100"/>
      <c r="G15" s="100"/>
      <c r="H15" s="88"/>
      <c r="I15" s="88"/>
      <c r="J15" s="88"/>
      <c r="K15" s="88"/>
      <c r="L15" s="88"/>
    </row>
    <row r="16" spans="2:12" x14ac:dyDescent="0.3">
      <c r="B16" s="37" t="s">
        <v>168</v>
      </c>
      <c r="C16" s="51">
        <f>C9-C14</f>
        <v>-2469</v>
      </c>
      <c r="D16" s="51">
        <f t="shared" ref="D16:G16" si="6">D9-D14</f>
        <v>-5384</v>
      </c>
      <c r="E16" s="51">
        <f t="shared" si="6"/>
        <v>-5236</v>
      </c>
      <c r="F16" s="51">
        <f t="shared" si="6"/>
        <v>-6627</v>
      </c>
      <c r="G16" s="51">
        <f t="shared" si="6"/>
        <v>-7035</v>
      </c>
      <c r="H16" s="139">
        <f>H9-H14</f>
        <v>-7070.1097715490068</v>
      </c>
      <c r="I16" s="139">
        <f t="shared" ref="I16:L16" si="7">I9-I14</f>
        <v>-6100.5845033976875</v>
      </c>
      <c r="J16" s="139">
        <f t="shared" si="7"/>
        <v>-5094.3971504311266</v>
      </c>
      <c r="K16" s="139">
        <f t="shared" si="7"/>
        <v>-3932.918107544494</v>
      </c>
      <c r="L16" s="139">
        <f t="shared" si="7"/>
        <v>-2793.4560834781005</v>
      </c>
    </row>
    <row r="18" spans="7:12" x14ac:dyDescent="0.3">
      <c r="G18" s="52" t="s">
        <v>47</v>
      </c>
      <c r="H18" s="110">
        <f>G7-H7</f>
        <v>-323.16572547705618</v>
      </c>
      <c r="I18" s="110">
        <f t="shared" ref="I18:L18" si="8">H7-I7</f>
        <v>-218.46367615466852</v>
      </c>
      <c r="J18" s="110">
        <f t="shared" si="8"/>
        <v>-239.6808160561809</v>
      </c>
      <c r="K18" s="110">
        <f t="shared" si="8"/>
        <v>-259.64760200012233</v>
      </c>
      <c r="L18" s="110">
        <f t="shared" si="8"/>
        <v>-277.55622129725953</v>
      </c>
    </row>
    <row r="19" spans="7:12" x14ac:dyDescent="0.3">
      <c r="G19" s="52" t="s">
        <v>48</v>
      </c>
      <c r="H19" s="154">
        <f>G8-H8</f>
        <v>757.80000000000018</v>
      </c>
      <c r="I19" s="154">
        <f t="shared" ref="I19:L19" si="9">H8-I8</f>
        <v>-82.639999999999418</v>
      </c>
      <c r="J19" s="154">
        <f t="shared" si="9"/>
        <v>-33.168000000000575</v>
      </c>
      <c r="K19" s="154">
        <f t="shared" si="9"/>
        <v>-107.40160000000105</v>
      </c>
      <c r="L19" s="154">
        <f t="shared" si="9"/>
        <v>-12.681919999999081</v>
      </c>
    </row>
    <row r="20" spans="7:12" x14ac:dyDescent="0.3">
      <c r="G20" s="153" t="s">
        <v>26</v>
      </c>
      <c r="H20" s="30">
        <f>H12-G12</f>
        <v>177.35318216771986</v>
      </c>
      <c r="I20" s="30">
        <f t="shared" ref="I20:L20" si="10">I12-H12</f>
        <v>117.62698142200929</v>
      </c>
      <c r="J20" s="30">
        <f t="shared" si="10"/>
        <v>129.05088568358747</v>
      </c>
      <c r="K20" s="30">
        <f t="shared" si="10"/>
        <v>139.80156424317772</v>
      </c>
      <c r="L20" s="30">
        <f t="shared" si="10"/>
        <v>149.44406805175959</v>
      </c>
    </row>
    <row r="21" spans="7:12" x14ac:dyDescent="0.3">
      <c r="G21" s="153" t="s">
        <v>27</v>
      </c>
      <c r="H21" s="30">
        <f>H13-G13</f>
        <v>0</v>
      </c>
      <c r="I21" s="30">
        <f t="shared" ref="I21:L21" si="11">I13-H13</f>
        <v>0</v>
      </c>
      <c r="J21" s="30">
        <f t="shared" si="11"/>
        <v>0</v>
      </c>
      <c r="K21" s="30">
        <f t="shared" si="11"/>
        <v>0</v>
      </c>
      <c r="L21" s="30">
        <f t="shared" si="11"/>
        <v>0</v>
      </c>
    </row>
    <row r="22" spans="7:12" x14ac:dyDescent="0.3">
      <c r="H22" s="110">
        <f>SUM(H18:H21)</f>
        <v>611.98745669066386</v>
      </c>
      <c r="I22" s="110">
        <f t="shared" ref="I22:L22" si="12">SUM(I18:I21)</f>
        <v>-183.47669473265864</v>
      </c>
      <c r="J22" s="110">
        <f t="shared" si="12"/>
        <v>-143.79793037259401</v>
      </c>
      <c r="K22" s="110">
        <f t="shared" si="12"/>
        <v>-227.24763775694566</v>
      </c>
      <c r="L22" s="110">
        <f t="shared" si="12"/>
        <v>-140.79407324549902</v>
      </c>
    </row>
    <row r="36" spans="13:20" x14ac:dyDescent="0.3">
      <c r="M36" s="34">
        <v>2022</v>
      </c>
      <c r="N36" s="34">
        <v>2023</v>
      </c>
      <c r="O36" s="38">
        <v>2024</v>
      </c>
      <c r="P36" s="35">
        <v>2025</v>
      </c>
      <c r="Q36" s="35">
        <v>2026</v>
      </c>
      <c r="R36" s="35">
        <v>2027</v>
      </c>
      <c r="S36" s="35">
        <v>2028</v>
      </c>
      <c r="T36" s="35">
        <v>2029</v>
      </c>
    </row>
    <row r="37" spans="13:20" x14ac:dyDescent="0.3">
      <c r="M37" s="96">
        <f t="shared" ref="M37:T37" si="13">L40</f>
        <v>0</v>
      </c>
      <c r="N37" s="96">
        <f t="shared" si="13"/>
        <v>0</v>
      </c>
      <c r="O37" s="96">
        <f t="shared" si="13"/>
        <v>0</v>
      </c>
      <c r="P37" s="96">
        <f t="shared" si="13"/>
        <v>0</v>
      </c>
      <c r="Q37" s="96">
        <f t="shared" si="13"/>
        <v>0</v>
      </c>
      <c r="R37" s="96">
        <f t="shared" si="13"/>
        <v>0</v>
      </c>
      <c r="S37" s="96">
        <f t="shared" si="13"/>
        <v>0</v>
      </c>
      <c r="T37" s="96">
        <f t="shared" si="13"/>
        <v>0</v>
      </c>
    </row>
    <row r="38" spans="13:20" x14ac:dyDescent="0.3">
      <c r="M38" s="98">
        <f t="shared" ref="M38:O38" si="14">M40-M37+M39</f>
        <v>0</v>
      </c>
      <c r="N38" s="98">
        <f t="shared" si="14"/>
        <v>0</v>
      </c>
      <c r="O38" s="98">
        <f t="shared" si="14"/>
        <v>0</v>
      </c>
      <c r="P38" s="88">
        <f>P43*P37</f>
        <v>0</v>
      </c>
      <c r="Q38" s="88">
        <f t="shared" ref="Q38:T38" si="15">Q43*Q37</f>
        <v>0</v>
      </c>
      <c r="R38" s="88">
        <f t="shared" si="15"/>
        <v>0</v>
      </c>
      <c r="S38" s="88">
        <f t="shared" si="15"/>
        <v>0</v>
      </c>
      <c r="T38" s="88">
        <f t="shared" si="15"/>
        <v>0</v>
      </c>
    </row>
    <row r="39" spans="13:20" x14ac:dyDescent="0.3">
      <c r="M39" s="39">
        <f t="shared" ref="M39:O39" si="16">M46</f>
        <v>0</v>
      </c>
      <c r="N39" s="39">
        <f t="shared" si="16"/>
        <v>0</v>
      </c>
      <c r="O39" s="39">
        <f t="shared" si="16"/>
        <v>0</v>
      </c>
      <c r="P39" s="88">
        <f>P42*P37</f>
        <v>0</v>
      </c>
      <c r="Q39" s="88">
        <f t="shared" ref="Q39:T39" si="17">Q42*Q37</f>
        <v>0</v>
      </c>
      <c r="R39" s="88">
        <f t="shared" si="17"/>
        <v>0</v>
      </c>
      <c r="S39" s="88">
        <f t="shared" si="17"/>
        <v>0</v>
      </c>
      <c r="T39" s="88">
        <f t="shared" si="17"/>
        <v>0</v>
      </c>
    </row>
    <row r="40" spans="13:20" x14ac:dyDescent="0.3">
      <c r="M40" s="94">
        <f>'Balance Sheet'!M40</f>
        <v>0</v>
      </c>
      <c r="N40" s="94">
        <f>'Balance Sheet'!N40</f>
        <v>0</v>
      </c>
      <c r="O40" s="94">
        <f>'Balance Sheet'!O40</f>
        <v>0</v>
      </c>
      <c r="P40" s="92">
        <f>P37+P38-P39</f>
        <v>0</v>
      </c>
      <c r="Q40" s="92">
        <f t="shared" ref="Q40:T40" si="18">Q37+Q38-Q39</f>
        <v>0</v>
      </c>
      <c r="R40" s="92">
        <f t="shared" si="18"/>
        <v>0</v>
      </c>
      <c r="S40" s="92">
        <f t="shared" si="18"/>
        <v>0</v>
      </c>
      <c r="T40" s="92">
        <f t="shared" si="18"/>
        <v>0</v>
      </c>
    </row>
  </sheetData>
  <hyperlinks>
    <hyperlink ref="L2" location="WC!A1" display="WC!A1" xr:uid="{9163D3D3-6B16-40C8-B637-A0655264A15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F9BC-8669-4293-A7C8-F189B503A697}">
  <sheetPr>
    <tabColor theme="4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showGridLines="0" workbookViewId="0">
      <selection activeCell="D1" sqref="D1"/>
    </sheetView>
  </sheetViews>
  <sheetFormatPr defaultColWidth="0" defaultRowHeight="14.4" x14ac:dyDescent="0.3"/>
  <cols>
    <col min="1" max="1" width="24.33203125" customWidth="1"/>
    <col min="2" max="2" width="13.5546875" customWidth="1"/>
    <col min="3" max="3" width="15.109375" customWidth="1"/>
    <col min="4" max="11" width="13.5546875" customWidth="1"/>
    <col min="12" max="12" width="8.88671875" hidden="1" customWidth="1"/>
    <col min="13" max="13" width="11.77734375" hidden="1" customWidth="1"/>
    <col min="14" max="16" width="0" hidden="1" customWidth="1"/>
    <col min="17" max="16384" width="8.88671875" hidden="1"/>
  </cols>
  <sheetData>
    <row r="1" spans="1:16" ht="23.4" x14ac:dyDescent="0.3">
      <c r="A1" s="23" t="s">
        <v>83</v>
      </c>
      <c r="K1" s="258" t="s">
        <v>238</v>
      </c>
      <c r="L1" s="5"/>
    </row>
    <row r="2" spans="1:16" x14ac:dyDescent="0.3">
      <c r="A2" s="24"/>
      <c r="B2" s="25">
        <v>42064</v>
      </c>
      <c r="C2" s="25">
        <v>42430</v>
      </c>
      <c r="D2" s="25">
        <v>42795</v>
      </c>
      <c r="E2" s="25">
        <v>43160</v>
      </c>
      <c r="F2" s="25">
        <v>43525</v>
      </c>
      <c r="G2" s="25">
        <v>43891</v>
      </c>
      <c r="H2" s="25">
        <v>44256</v>
      </c>
      <c r="I2" s="25">
        <v>44621</v>
      </c>
      <c r="J2" s="25">
        <v>44986</v>
      </c>
      <c r="K2" s="25">
        <v>45352</v>
      </c>
      <c r="L2" s="25"/>
    </row>
    <row r="3" spans="1:16" x14ac:dyDescent="0.3">
      <c r="A3" s="2" t="s">
        <v>0</v>
      </c>
      <c r="B3">
        <v>23306.19</v>
      </c>
      <c r="C3">
        <v>25153.24</v>
      </c>
      <c r="D3">
        <v>25374.94</v>
      </c>
      <c r="E3">
        <v>30978.62</v>
      </c>
      <c r="F3">
        <v>41462.26</v>
      </c>
      <c r="G3">
        <v>42429.89</v>
      </c>
      <c r="H3">
        <v>44725.8</v>
      </c>
      <c r="I3">
        <v>52598.83</v>
      </c>
      <c r="J3">
        <v>63239.98</v>
      </c>
      <c r="K3">
        <v>70908.14</v>
      </c>
    </row>
    <row r="4" spans="1:16" x14ac:dyDescent="0.3">
      <c r="A4" s="2" t="s">
        <v>1</v>
      </c>
      <c r="B4">
        <v>4151.05</v>
      </c>
      <c r="C4">
        <v>4436.12</v>
      </c>
      <c r="D4">
        <v>4416.8999999999996</v>
      </c>
      <c r="E4">
        <v>5399.98</v>
      </c>
      <c r="F4">
        <v>6936.74</v>
      </c>
      <c r="G4">
        <v>6875.89</v>
      </c>
      <c r="H4">
        <v>6635.66</v>
      </c>
      <c r="I4">
        <v>8348.15</v>
      </c>
      <c r="J4">
        <v>10233.17</v>
      </c>
      <c r="K4">
        <v>11986.27</v>
      </c>
      <c r="L4" s="26"/>
      <c r="M4" s="26"/>
      <c r="N4" s="26"/>
      <c r="O4" s="26"/>
      <c r="P4" s="26"/>
    </row>
    <row r="5" spans="1:16" x14ac:dyDescent="0.3">
      <c r="A5" s="2" t="s">
        <v>2</v>
      </c>
      <c r="B5">
        <v>100.88</v>
      </c>
      <c r="C5">
        <v>18.61</v>
      </c>
      <c r="D5">
        <v>-75.69</v>
      </c>
      <c r="E5">
        <v>111.2</v>
      </c>
      <c r="F5">
        <v>-46.35</v>
      </c>
      <c r="G5">
        <v>357.83</v>
      </c>
      <c r="H5">
        <v>-450.15</v>
      </c>
      <c r="I5">
        <v>383.16</v>
      </c>
      <c r="J5">
        <v>518.21</v>
      </c>
      <c r="K5">
        <v>83.35</v>
      </c>
    </row>
    <row r="6" spans="1:16" x14ac:dyDescent="0.3">
      <c r="A6" s="2" t="s">
        <v>3</v>
      </c>
      <c r="B6">
        <v>5115.68</v>
      </c>
      <c r="C6">
        <v>4579.25</v>
      </c>
      <c r="D6">
        <v>4271.9799999999996</v>
      </c>
      <c r="E6">
        <v>6334.07</v>
      </c>
      <c r="F6">
        <v>9436.14</v>
      </c>
      <c r="G6">
        <v>8516.8700000000008</v>
      </c>
      <c r="H6">
        <v>8331.18</v>
      </c>
      <c r="I6">
        <v>12137.26</v>
      </c>
      <c r="J6">
        <v>18491.32</v>
      </c>
      <c r="K6">
        <v>18283.32</v>
      </c>
    </row>
    <row r="7" spans="1:16" x14ac:dyDescent="0.3">
      <c r="A7" s="2" t="s">
        <v>4</v>
      </c>
      <c r="B7">
        <v>1908.68</v>
      </c>
      <c r="C7">
        <v>1933.88</v>
      </c>
      <c r="D7">
        <v>1991.28</v>
      </c>
      <c r="E7">
        <v>2289.5300000000002</v>
      </c>
      <c r="F7">
        <v>3001.06</v>
      </c>
      <c r="G7">
        <v>3043.3</v>
      </c>
      <c r="H7">
        <v>3067.38</v>
      </c>
      <c r="I7">
        <v>3889.67</v>
      </c>
      <c r="J7">
        <v>4344.34</v>
      </c>
      <c r="K7">
        <v>4898.17</v>
      </c>
      <c r="M7" s="27"/>
    </row>
    <row r="8" spans="1:16" x14ac:dyDescent="0.3">
      <c r="A8" s="1" t="s">
        <v>5</v>
      </c>
      <c r="B8">
        <v>1329.76</v>
      </c>
      <c r="C8">
        <v>1466.49</v>
      </c>
      <c r="D8">
        <v>1547.77</v>
      </c>
      <c r="E8">
        <v>1831.81</v>
      </c>
      <c r="F8">
        <v>2309.4299999999998</v>
      </c>
      <c r="G8">
        <v>2522.64</v>
      </c>
      <c r="H8">
        <v>2363.33</v>
      </c>
      <c r="I8">
        <v>2545</v>
      </c>
      <c r="J8">
        <v>2751.31</v>
      </c>
      <c r="K8">
        <v>3051.99</v>
      </c>
    </row>
    <row r="9" spans="1:16" x14ac:dyDescent="0.3">
      <c r="A9" s="1" t="s">
        <v>6</v>
      </c>
      <c r="B9">
        <v>6944.03</v>
      </c>
      <c r="C9">
        <v>7200.47</v>
      </c>
      <c r="D9">
        <v>7149.12</v>
      </c>
      <c r="E9">
        <v>8320.2800000000007</v>
      </c>
      <c r="F9">
        <v>11563.8</v>
      </c>
      <c r="G9">
        <v>11237.32</v>
      </c>
      <c r="H9">
        <v>11266.02</v>
      </c>
      <c r="I9">
        <v>13282.22</v>
      </c>
      <c r="J9">
        <v>15859.6</v>
      </c>
      <c r="K9">
        <v>18066.95</v>
      </c>
    </row>
    <row r="10" spans="1:16" x14ac:dyDescent="0.3">
      <c r="A10" s="1" t="s">
        <v>7</v>
      </c>
      <c r="B10">
        <v>-467.61</v>
      </c>
      <c r="C10">
        <v>654.66999999999996</v>
      </c>
      <c r="D10">
        <v>709.76</v>
      </c>
      <c r="E10">
        <v>769.12</v>
      </c>
      <c r="F10">
        <v>821.8</v>
      </c>
      <c r="G10">
        <v>1345.73</v>
      </c>
      <c r="H10">
        <v>1044.17</v>
      </c>
      <c r="I10">
        <v>1265.3399999999999</v>
      </c>
      <c r="J10">
        <v>1458.6</v>
      </c>
      <c r="K10">
        <v>1736.23</v>
      </c>
    </row>
    <row r="11" spans="1:16" x14ac:dyDescent="0.3">
      <c r="A11" s="2" t="s">
        <v>8</v>
      </c>
      <c r="B11">
        <v>350.08</v>
      </c>
      <c r="C11">
        <v>463.81</v>
      </c>
      <c r="D11">
        <v>648.12</v>
      </c>
      <c r="E11">
        <v>241.97</v>
      </c>
      <c r="F11">
        <v>350.1</v>
      </c>
      <c r="G11">
        <v>651.05999999999995</v>
      </c>
      <c r="H11">
        <v>618.52</v>
      </c>
      <c r="I11">
        <v>669.43</v>
      </c>
      <c r="J11">
        <v>507.11</v>
      </c>
      <c r="K11">
        <v>566.96</v>
      </c>
    </row>
    <row r="12" spans="1:16" x14ac:dyDescent="0.3">
      <c r="A12" s="2" t="s">
        <v>9</v>
      </c>
      <c r="B12">
        <v>1203.42</v>
      </c>
      <c r="C12">
        <v>1377.17</v>
      </c>
      <c r="D12">
        <v>1348.41</v>
      </c>
      <c r="E12">
        <v>1847.93</v>
      </c>
      <c r="F12">
        <v>2450.73</v>
      </c>
      <c r="G12">
        <v>2722.66</v>
      </c>
      <c r="H12">
        <v>2700.23</v>
      </c>
      <c r="I12">
        <v>2714.75</v>
      </c>
      <c r="J12">
        <v>2887.99</v>
      </c>
      <c r="K12">
        <v>3145.3</v>
      </c>
    </row>
    <row r="13" spans="1:16" x14ac:dyDescent="0.3">
      <c r="A13" s="2" t="s">
        <v>10</v>
      </c>
      <c r="B13">
        <v>586.51</v>
      </c>
      <c r="C13">
        <v>566.29999999999995</v>
      </c>
      <c r="D13">
        <v>640.1</v>
      </c>
      <c r="E13">
        <v>1237.5999999999999</v>
      </c>
      <c r="F13">
        <v>1777.86</v>
      </c>
      <c r="G13">
        <v>1991.65</v>
      </c>
      <c r="H13">
        <v>1485.65</v>
      </c>
      <c r="I13">
        <v>944.71</v>
      </c>
      <c r="J13">
        <v>822.72</v>
      </c>
      <c r="K13">
        <v>968</v>
      </c>
    </row>
    <row r="14" spans="1:16" x14ac:dyDescent="0.3">
      <c r="A14" s="2" t="s">
        <v>11</v>
      </c>
      <c r="B14">
        <v>2985.63</v>
      </c>
      <c r="C14">
        <v>3421.31</v>
      </c>
      <c r="D14">
        <v>3872.05</v>
      </c>
      <c r="E14">
        <v>3301.47</v>
      </c>
      <c r="F14">
        <v>3468.45</v>
      </c>
      <c r="G14">
        <v>5182.72</v>
      </c>
      <c r="H14">
        <v>8000.55</v>
      </c>
      <c r="I14">
        <v>8524.32</v>
      </c>
      <c r="J14">
        <v>7416.25</v>
      </c>
      <c r="K14">
        <v>9422.2199999999993</v>
      </c>
    </row>
    <row r="15" spans="1:16" x14ac:dyDescent="0.3">
      <c r="A15" s="2" t="s">
        <v>12</v>
      </c>
      <c r="B15">
        <v>883.52</v>
      </c>
      <c r="C15">
        <v>941.69</v>
      </c>
      <c r="D15">
        <v>1158.54</v>
      </c>
      <c r="E15">
        <v>1077.01</v>
      </c>
      <c r="F15">
        <v>1068.07</v>
      </c>
      <c r="G15">
        <v>-568.16</v>
      </c>
      <c r="H15">
        <v>2538.6999999999998</v>
      </c>
      <c r="I15">
        <v>1190.06</v>
      </c>
      <c r="J15">
        <v>2342.85</v>
      </c>
      <c r="K15">
        <v>2418.2600000000002</v>
      </c>
    </row>
    <row r="16" spans="1:16" x14ac:dyDescent="0.3">
      <c r="A16" s="2" t="s">
        <v>13</v>
      </c>
      <c r="B16">
        <v>2098.34</v>
      </c>
      <c r="C16">
        <v>2478.04</v>
      </c>
      <c r="D16">
        <v>2714.92</v>
      </c>
      <c r="E16">
        <v>2222.17</v>
      </c>
      <c r="F16">
        <v>2403.5100000000002</v>
      </c>
      <c r="G16" s="30">
        <v>5750.880000000001</v>
      </c>
      <c r="H16" s="30">
        <v>5461.8499999999995</v>
      </c>
      <c r="I16" s="30">
        <v>7334.2600000000039</v>
      </c>
      <c r="J16" s="30">
        <v>5073.4000000000033</v>
      </c>
      <c r="K16" s="30">
        <v>7003.9599999999973</v>
      </c>
    </row>
    <row r="17" spans="1:16" x14ac:dyDescent="0.3">
      <c r="A17" s="2" t="s">
        <v>14</v>
      </c>
      <c r="B17">
        <v>246.96</v>
      </c>
      <c r="C17">
        <v>260.70999999999998</v>
      </c>
      <c r="D17">
        <v>274.51</v>
      </c>
      <c r="E17">
        <v>288.33999999999997</v>
      </c>
      <c r="F17">
        <v>315.83999999999997</v>
      </c>
      <c r="G17">
        <v>375.22</v>
      </c>
      <c r="H17">
        <v>1068</v>
      </c>
      <c r="I17">
        <v>1096.95</v>
      </c>
      <c r="J17">
        <v>1097.02</v>
      </c>
      <c r="K17">
        <v>2020.83</v>
      </c>
    </row>
    <row r="19" spans="1:16" x14ac:dyDescent="0.3"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x14ac:dyDescent="0.3">
      <c r="B20" s="47" t="s">
        <v>122</v>
      </c>
      <c r="C20" s="69" t="s">
        <v>123</v>
      </c>
      <c r="D20" s="69" t="s">
        <v>0</v>
      </c>
      <c r="E20" s="69" t="s">
        <v>121</v>
      </c>
    </row>
    <row r="21" spans="1:16" x14ac:dyDescent="0.3">
      <c r="B21" s="67">
        <v>1</v>
      </c>
      <c r="C21" s="25">
        <v>42064</v>
      </c>
      <c r="D21">
        <v>23306.19</v>
      </c>
      <c r="E21" s="26" t="s">
        <v>124</v>
      </c>
      <c r="F21" s="26"/>
      <c r="G21" s="26"/>
      <c r="H21" s="26"/>
      <c r="I21" s="26"/>
      <c r="J21" s="26"/>
      <c r="K21" s="26"/>
    </row>
    <row r="22" spans="1:16" x14ac:dyDescent="0.3">
      <c r="B22" s="67">
        <f>B21+1</f>
        <v>2</v>
      </c>
      <c r="C22" s="25">
        <v>42430</v>
      </c>
      <c r="D22">
        <v>25153.24</v>
      </c>
      <c r="E22" s="29">
        <f>D22/D21-1</f>
        <v>7.9251477826277172E-2</v>
      </c>
    </row>
    <row r="23" spans="1:16" x14ac:dyDescent="0.3">
      <c r="B23" s="67">
        <f t="shared" ref="B23:B30" si="0">B22+1</f>
        <v>3</v>
      </c>
      <c r="C23" s="25">
        <v>42795</v>
      </c>
      <c r="D23">
        <v>25374.94</v>
      </c>
      <c r="E23" s="29">
        <f t="shared" ref="E23:E30" si="1">D23/D22-1</f>
        <v>8.8139738657921907E-3</v>
      </c>
    </row>
    <row r="24" spans="1:16" x14ac:dyDescent="0.3">
      <c r="B24" s="67">
        <f t="shared" si="0"/>
        <v>4</v>
      </c>
      <c r="C24" s="25">
        <v>43160</v>
      </c>
      <c r="D24">
        <v>30978.62</v>
      </c>
      <c r="E24" s="29">
        <f t="shared" si="1"/>
        <v>0.22083520197486184</v>
      </c>
    </row>
    <row r="25" spans="1:16" x14ac:dyDescent="0.3">
      <c r="B25" s="67">
        <f t="shared" si="0"/>
        <v>5</v>
      </c>
      <c r="C25" s="25">
        <v>43525</v>
      </c>
      <c r="D25">
        <v>41462.26</v>
      </c>
      <c r="E25" s="29">
        <f t="shared" si="1"/>
        <v>0.33841533289733383</v>
      </c>
    </row>
    <row r="26" spans="1:16" x14ac:dyDescent="0.3">
      <c r="B26" s="67">
        <f t="shared" si="0"/>
        <v>6</v>
      </c>
      <c r="C26" s="25">
        <v>43891</v>
      </c>
      <c r="D26">
        <v>42429.89</v>
      </c>
      <c r="E26" s="29">
        <f t="shared" si="1"/>
        <v>2.3337608707291846E-2</v>
      </c>
    </row>
    <row r="27" spans="1:16" x14ac:dyDescent="0.3">
      <c r="B27" s="67">
        <f t="shared" si="0"/>
        <v>7</v>
      </c>
      <c r="C27" s="25">
        <v>44256</v>
      </c>
      <c r="D27">
        <v>44725.8</v>
      </c>
      <c r="E27" s="29">
        <f t="shared" si="1"/>
        <v>5.4110675281034304E-2</v>
      </c>
    </row>
    <row r="28" spans="1:16" x14ac:dyDescent="0.3">
      <c r="B28" s="67">
        <f t="shared" si="0"/>
        <v>8</v>
      </c>
      <c r="C28" s="25">
        <v>44621</v>
      </c>
      <c r="D28">
        <v>52598.83</v>
      </c>
      <c r="E28" s="29">
        <f t="shared" si="1"/>
        <v>0.17602882452633595</v>
      </c>
    </row>
    <row r="29" spans="1:16" x14ac:dyDescent="0.3">
      <c r="B29" s="67">
        <f t="shared" si="0"/>
        <v>9</v>
      </c>
      <c r="C29" s="25">
        <v>44986</v>
      </c>
      <c r="D29">
        <v>63239.98</v>
      </c>
      <c r="E29" s="29">
        <f t="shared" si="1"/>
        <v>0.20230773194004503</v>
      </c>
    </row>
    <row r="30" spans="1:16" x14ac:dyDescent="0.3">
      <c r="B30" s="67">
        <f t="shared" si="0"/>
        <v>10</v>
      </c>
      <c r="C30" s="25">
        <v>45352</v>
      </c>
      <c r="D30">
        <v>70908.14</v>
      </c>
      <c r="E30" s="29">
        <f t="shared" si="1"/>
        <v>0.12125494030833028</v>
      </c>
    </row>
    <row r="31" spans="1:16" x14ac:dyDescent="0.3">
      <c r="B31" s="68">
        <f>B30+1</f>
        <v>11</v>
      </c>
      <c r="C31" s="65"/>
      <c r="D31" s="66"/>
      <c r="E31" s="65"/>
    </row>
    <row r="32" spans="1:16" x14ac:dyDescent="0.3">
      <c r="B32" s="68">
        <f>B31+1</f>
        <v>12</v>
      </c>
      <c r="C32" s="65"/>
      <c r="D32" s="66"/>
      <c r="E32" s="65"/>
    </row>
    <row r="33" spans="3:5" x14ac:dyDescent="0.3">
      <c r="D33" s="29"/>
    </row>
    <row r="34" spans="3:5" x14ac:dyDescent="0.3">
      <c r="C34" t="s">
        <v>125</v>
      </c>
      <c r="D34" s="29">
        <f>AVERAGE(E21:E30)</f>
        <v>0.1360395297030336</v>
      </c>
    </row>
    <row r="35" spans="3:5" x14ac:dyDescent="0.3">
      <c r="C35" t="s">
        <v>126</v>
      </c>
      <c r="D35" s="29">
        <f>(D30/D21)^(1/9)-1</f>
        <v>0.13159663060396887</v>
      </c>
      <c r="E35" s="29">
        <f>_xlfn.RRI(9,D21,D30)</f>
        <v>0.13159663060396887</v>
      </c>
    </row>
    <row r="36" spans="3:5" x14ac:dyDescent="0.3">
      <c r="C36" t="s">
        <v>127</v>
      </c>
      <c r="D36" s="26">
        <f>FORECAST(B31,E21:E30,B21:B30)</f>
        <v>0.16725433900616857</v>
      </c>
      <c r="E36" s="84">
        <v>0.16700000000000001</v>
      </c>
    </row>
    <row r="37" spans="3:5" x14ac:dyDescent="0.3">
      <c r="D37" s="29"/>
    </row>
    <row r="43" spans="3:5" x14ac:dyDescent="0.3">
      <c r="C43" s="29"/>
    </row>
    <row r="44" spans="3:5" x14ac:dyDescent="0.3">
      <c r="C44" s="29"/>
    </row>
    <row r="45" spans="3:5" x14ac:dyDescent="0.3">
      <c r="C45" s="29"/>
    </row>
  </sheetData>
  <conditionalFormatting sqref="B19">
    <cfRule type="cellIs" dxfId="1" priority="2" operator="lessThan">
      <formula>0</formula>
    </cfRule>
  </conditionalFormatting>
  <conditionalFormatting sqref="L3">
    <cfRule type="cellIs" dxfId="0" priority="1" operator="lessThan">
      <formula>0</formula>
    </cfRule>
  </conditionalFormatting>
  <hyperlinks>
    <hyperlink ref="K1" location="'(IS)'!A1" display="'(IS)'!A1" xr:uid="{041EAD92-BBE1-4102-90D0-46CA0F06686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41AD-851F-4DAE-B6C7-7124BF216469}">
  <dimension ref="A1:K43"/>
  <sheetViews>
    <sheetView showGridLines="0" workbookViewId="0">
      <selection activeCell="K1" sqref="K1"/>
    </sheetView>
  </sheetViews>
  <sheetFormatPr defaultColWidth="0" defaultRowHeight="14.4" x14ac:dyDescent="0.3"/>
  <cols>
    <col min="1" max="1" width="24.6640625" style="4" bestFit="1" customWidth="1"/>
    <col min="2" max="6" width="7.5546875" style="4" hidden="1" customWidth="1"/>
    <col min="7" max="11" width="13.88671875" style="4" customWidth="1"/>
    <col min="12" max="16384" width="8.77734375" style="4" hidden="1"/>
  </cols>
  <sheetData>
    <row r="1" spans="1:11" ht="22.8" x14ac:dyDescent="0.3">
      <c r="A1" s="16" t="s">
        <v>15</v>
      </c>
      <c r="K1" s="258" t="s">
        <v>238</v>
      </c>
    </row>
    <row r="2" spans="1:11" x14ac:dyDescent="0.3">
      <c r="A2" s="6"/>
      <c r="B2" s="17">
        <v>42064</v>
      </c>
      <c r="C2" s="17">
        <v>42430</v>
      </c>
      <c r="D2" s="17">
        <v>42795</v>
      </c>
      <c r="E2" s="17">
        <v>43160</v>
      </c>
      <c r="F2" s="17">
        <v>43525</v>
      </c>
      <c r="G2" s="17">
        <v>43891</v>
      </c>
      <c r="H2" s="17">
        <v>44256</v>
      </c>
      <c r="I2" s="17">
        <v>44621</v>
      </c>
      <c r="J2" s="17">
        <v>44986</v>
      </c>
      <c r="K2" s="17">
        <v>45352</v>
      </c>
    </row>
    <row r="3" spans="1:11" x14ac:dyDescent="0.3">
      <c r="A3" s="6" t="s">
        <v>16</v>
      </c>
      <c r="B3" s="9">
        <v>274</v>
      </c>
      <c r="C3" s="9">
        <v>274</v>
      </c>
      <c r="D3" s="9">
        <v>275</v>
      </c>
      <c r="E3" s="9">
        <v>275</v>
      </c>
      <c r="F3" s="9">
        <v>275</v>
      </c>
      <c r="G3" s="9">
        <v>289</v>
      </c>
      <c r="H3" s="9">
        <v>289</v>
      </c>
      <c r="I3" s="9">
        <v>289</v>
      </c>
      <c r="J3" s="9">
        <v>289</v>
      </c>
      <c r="K3" s="9">
        <v>289</v>
      </c>
    </row>
    <row r="4" spans="1:11" x14ac:dyDescent="0.3">
      <c r="A4" s="6" t="s">
        <v>17</v>
      </c>
      <c r="B4" s="10">
        <v>18767</v>
      </c>
      <c r="C4" s="10">
        <v>21671</v>
      </c>
      <c r="D4" s="10">
        <v>24117</v>
      </c>
      <c r="E4" s="10">
        <v>26107</v>
      </c>
      <c r="F4" s="10">
        <v>33476</v>
      </c>
      <c r="G4" s="10">
        <v>38755</v>
      </c>
      <c r="H4" s="10">
        <v>43886</v>
      </c>
      <c r="I4" s="10">
        <v>50147</v>
      </c>
      <c r="J4" s="10">
        <v>54036</v>
      </c>
      <c r="K4" s="10">
        <v>59939</v>
      </c>
    </row>
    <row r="5" spans="1:11" x14ac:dyDescent="0.3">
      <c r="A5" s="6"/>
      <c r="B5" s="10"/>
      <c r="C5" s="10"/>
      <c r="D5" s="10"/>
      <c r="E5" s="10"/>
      <c r="F5" s="10"/>
      <c r="G5" s="10"/>
      <c r="H5" s="18"/>
      <c r="I5" s="18"/>
      <c r="J5" s="18"/>
      <c r="K5" s="18"/>
    </row>
    <row r="6" spans="1:11" x14ac:dyDescent="0.3">
      <c r="A6" s="6" t="s">
        <v>18</v>
      </c>
      <c r="B6" s="10">
        <v>9829</v>
      </c>
      <c r="C6" s="10">
        <v>10616</v>
      </c>
      <c r="D6" s="10">
        <v>8474</v>
      </c>
      <c r="E6" s="10">
        <v>19480</v>
      </c>
      <c r="F6" s="10">
        <v>25337</v>
      </c>
      <c r="G6" s="10">
        <v>23019</v>
      </c>
      <c r="H6" s="10">
        <v>21719</v>
      </c>
      <c r="I6" s="10">
        <v>11299</v>
      </c>
      <c r="J6" s="10">
        <v>11058</v>
      </c>
      <c r="K6" s="10">
        <v>11403</v>
      </c>
    </row>
    <row r="7" spans="1:11" x14ac:dyDescent="0.3">
      <c r="A7" s="6" t="s">
        <v>19</v>
      </c>
      <c r="B7" s="10">
        <v>4993</v>
      </c>
      <c r="C7" s="10">
        <v>4897</v>
      </c>
      <c r="D7" s="10">
        <v>6371</v>
      </c>
      <c r="E7" s="10">
        <v>15863</v>
      </c>
      <c r="F7" s="10">
        <v>20650</v>
      </c>
      <c r="G7" s="10">
        <v>17368</v>
      </c>
      <c r="H7" s="10">
        <v>13548</v>
      </c>
      <c r="I7" s="10">
        <v>5303</v>
      </c>
      <c r="J7" s="10">
        <v>5356</v>
      </c>
      <c r="K7" s="10">
        <v>5308</v>
      </c>
    </row>
    <row r="8" spans="1:11" x14ac:dyDescent="0.3">
      <c r="A8" s="6" t="s">
        <v>20</v>
      </c>
      <c r="B8" s="10">
        <v>2564</v>
      </c>
      <c r="C8" s="10">
        <v>2476</v>
      </c>
      <c r="D8" s="10">
        <v>1079</v>
      </c>
      <c r="E8" s="10">
        <v>2763</v>
      </c>
      <c r="F8" s="10">
        <v>3668</v>
      </c>
      <c r="G8" s="10">
        <v>4106</v>
      </c>
      <c r="H8" s="10">
        <v>6939</v>
      </c>
      <c r="I8" s="10">
        <v>4900</v>
      </c>
      <c r="J8" s="10">
        <v>4544</v>
      </c>
      <c r="K8" s="10">
        <v>4991</v>
      </c>
    </row>
    <row r="9" spans="1:11" x14ac:dyDescent="0.3">
      <c r="A9" s="6" t="s">
        <v>21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v>1232</v>
      </c>
      <c r="I9" s="10">
        <v>1096</v>
      </c>
      <c r="J9" s="10">
        <v>1157</v>
      </c>
      <c r="K9" s="10">
        <v>1103</v>
      </c>
    </row>
    <row r="10" spans="1:11" x14ac:dyDescent="0.3">
      <c r="A10" s="6" t="s">
        <v>22</v>
      </c>
      <c r="B10" s="10">
        <v>2273</v>
      </c>
      <c r="C10" s="10">
        <v>3244</v>
      </c>
      <c r="D10" s="10">
        <v>1024</v>
      </c>
      <c r="E10" s="9">
        <v>853</v>
      </c>
      <c r="F10" s="10">
        <v>1018</v>
      </c>
      <c r="G10" s="10">
        <v>1545</v>
      </c>
      <c r="H10" s="9">
        <v>0</v>
      </c>
      <c r="I10" s="9">
        <v>0</v>
      </c>
      <c r="J10" s="9">
        <v>0</v>
      </c>
      <c r="K10" s="9">
        <v>0</v>
      </c>
    </row>
    <row r="11" spans="1:11" x14ac:dyDescent="0.3">
      <c r="A11" s="6"/>
      <c r="B11" s="10"/>
      <c r="C11" s="10"/>
      <c r="D11" s="10"/>
      <c r="E11" s="9"/>
      <c r="F11" s="10"/>
      <c r="G11" s="10"/>
      <c r="H11" s="9"/>
      <c r="I11" s="9"/>
      <c r="J11" s="9"/>
      <c r="K11" s="9"/>
    </row>
    <row r="12" spans="1:11" x14ac:dyDescent="0.3">
      <c r="A12" s="6" t="s">
        <v>23</v>
      </c>
      <c r="B12" s="10">
        <v>9183</v>
      </c>
      <c r="C12" s="10">
        <v>8631</v>
      </c>
      <c r="D12" s="10">
        <v>9343</v>
      </c>
      <c r="E12" s="10">
        <v>11280</v>
      </c>
      <c r="F12" s="10">
        <v>17438</v>
      </c>
      <c r="G12" s="10">
        <v>17151</v>
      </c>
      <c r="H12" s="10">
        <v>20282</v>
      </c>
      <c r="I12" s="10">
        <v>22077</v>
      </c>
      <c r="J12" s="10">
        <v>25998</v>
      </c>
      <c r="K12" s="10">
        <v>29167</v>
      </c>
    </row>
    <row r="13" spans="1:11" x14ac:dyDescent="0.3">
      <c r="A13" s="6" t="s">
        <v>24</v>
      </c>
      <c r="B13" s="9">
        <v>18</v>
      </c>
      <c r="C13" s="9">
        <v>15</v>
      </c>
      <c r="D13" s="9">
        <v>10</v>
      </c>
      <c r="E13" s="9">
        <v>16</v>
      </c>
      <c r="F13" s="9">
        <v>12</v>
      </c>
      <c r="G13" s="9">
        <v>10</v>
      </c>
      <c r="H13" s="9">
        <v>6</v>
      </c>
      <c r="I13" s="9">
        <v>-3</v>
      </c>
      <c r="J13" s="9">
        <v>55</v>
      </c>
      <c r="K13" s="9">
        <v>56</v>
      </c>
    </row>
    <row r="14" spans="1:11" x14ac:dyDescent="0.3">
      <c r="A14" s="6" t="s">
        <v>25</v>
      </c>
      <c r="B14" s="10">
        <v>1711</v>
      </c>
      <c r="C14" s="10">
        <v>1717</v>
      </c>
      <c r="D14" s="10">
        <v>1849</v>
      </c>
      <c r="E14" s="10">
        <v>2385</v>
      </c>
      <c r="F14" s="10">
        <v>3160</v>
      </c>
      <c r="G14" s="10">
        <v>3363</v>
      </c>
      <c r="H14" s="10">
        <v>4548</v>
      </c>
      <c r="I14" s="10">
        <v>5863</v>
      </c>
      <c r="J14" s="10">
        <v>7209</v>
      </c>
      <c r="K14" s="10">
        <v>8478</v>
      </c>
    </row>
    <row r="15" spans="1:11" x14ac:dyDescent="0.3">
      <c r="A15" s="6" t="s">
        <v>26</v>
      </c>
      <c r="B15" s="9">
        <v>0</v>
      </c>
      <c r="C15" s="9">
        <v>166</v>
      </c>
      <c r="D15" s="9">
        <v>196</v>
      </c>
      <c r="E15" s="9">
        <v>305</v>
      </c>
      <c r="F15" s="9">
        <v>357</v>
      </c>
      <c r="G15" s="9">
        <v>464</v>
      </c>
      <c r="H15" s="9">
        <v>415</v>
      </c>
      <c r="I15" s="9">
        <v>465</v>
      </c>
      <c r="J15" s="9">
        <v>384</v>
      </c>
      <c r="K15" s="9">
        <v>527</v>
      </c>
    </row>
    <row r="16" spans="1:11" x14ac:dyDescent="0.3">
      <c r="A16" s="6" t="s">
        <v>27</v>
      </c>
      <c r="B16" s="10">
        <v>7454</v>
      </c>
      <c r="C16" s="10">
        <v>6733</v>
      </c>
      <c r="D16" s="10">
        <v>7288</v>
      </c>
      <c r="E16" s="10">
        <v>8574</v>
      </c>
      <c r="F16" s="10">
        <v>13909</v>
      </c>
      <c r="G16" s="10">
        <v>13316</v>
      </c>
      <c r="H16" s="10">
        <v>15313</v>
      </c>
      <c r="I16" s="10">
        <v>15753</v>
      </c>
      <c r="J16" s="10">
        <v>18349</v>
      </c>
      <c r="K16" s="10">
        <v>20106</v>
      </c>
    </row>
    <row r="17" spans="1:11" x14ac:dyDescent="0.3">
      <c r="A17" s="6" t="s">
        <v>82</v>
      </c>
      <c r="B17" s="10">
        <v>38053</v>
      </c>
      <c r="C17" s="10">
        <v>41193</v>
      </c>
      <c r="D17" s="10">
        <v>42209</v>
      </c>
      <c r="E17" s="10">
        <v>57141</v>
      </c>
      <c r="F17" s="10">
        <v>76525</v>
      </c>
      <c r="G17" s="10">
        <v>79214</v>
      </c>
      <c r="H17" s="10">
        <v>86176</v>
      </c>
      <c r="I17" s="10">
        <v>83811</v>
      </c>
      <c r="J17" s="10">
        <v>91380</v>
      </c>
      <c r="K17" s="10">
        <v>100797</v>
      </c>
    </row>
    <row r="18" spans="1:11" x14ac:dyDescent="0.3">
      <c r="A18" s="6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6" t="s">
        <v>28</v>
      </c>
      <c r="B19" s="10">
        <v>23343</v>
      </c>
      <c r="C19" s="10">
        <v>25309</v>
      </c>
      <c r="D19" s="10">
        <v>25904</v>
      </c>
      <c r="E19" s="10">
        <v>39715</v>
      </c>
      <c r="F19" s="10">
        <v>56645</v>
      </c>
      <c r="G19" s="10">
        <v>57151</v>
      </c>
      <c r="H19" s="10">
        <v>55412</v>
      </c>
      <c r="I19" s="10">
        <v>55488</v>
      </c>
      <c r="J19" s="10">
        <v>59579</v>
      </c>
      <c r="K19" s="10">
        <v>62878</v>
      </c>
    </row>
    <row r="20" spans="1:11" x14ac:dyDescent="0.3">
      <c r="A20" s="6" t="s">
        <v>29</v>
      </c>
      <c r="B20" s="10">
        <v>3311</v>
      </c>
      <c r="C20" s="10">
        <v>3627</v>
      </c>
      <c r="D20" s="10">
        <v>3785</v>
      </c>
      <c r="E20" s="10">
        <v>6361</v>
      </c>
      <c r="F20" s="10">
        <v>7492</v>
      </c>
      <c r="G20" s="10">
        <v>7943</v>
      </c>
      <c r="H20" s="10">
        <v>8085</v>
      </c>
      <c r="I20" s="10">
        <v>8454</v>
      </c>
      <c r="J20" s="10">
        <v>8709</v>
      </c>
      <c r="K20" s="10">
        <v>9259</v>
      </c>
    </row>
    <row r="21" spans="1:11" x14ac:dyDescent="0.3">
      <c r="A21" s="6" t="s">
        <v>30</v>
      </c>
      <c r="B21" s="10">
        <v>2792</v>
      </c>
      <c r="C21" s="10">
        <v>2469</v>
      </c>
      <c r="D21" s="10">
        <v>2766</v>
      </c>
      <c r="E21" s="10">
        <v>4346</v>
      </c>
      <c r="F21" s="10">
        <v>5130</v>
      </c>
      <c r="G21" s="10">
        <v>5511</v>
      </c>
      <c r="H21" s="10">
        <v>5606</v>
      </c>
      <c r="I21" s="10">
        <v>5831</v>
      </c>
      <c r="J21" s="10">
        <v>6287</v>
      </c>
      <c r="K21" s="10">
        <v>6772</v>
      </c>
    </row>
    <row r="22" spans="1:11" x14ac:dyDescent="0.3">
      <c r="A22" s="6" t="s">
        <v>31</v>
      </c>
      <c r="B22" s="10">
        <v>26327</v>
      </c>
      <c r="C22" s="10">
        <v>18452</v>
      </c>
      <c r="D22" s="10">
        <v>19713</v>
      </c>
      <c r="E22" s="10">
        <v>28048</v>
      </c>
      <c r="F22" s="10">
        <v>36920</v>
      </c>
      <c r="G22" s="10">
        <v>38369</v>
      </c>
      <c r="H22" s="10">
        <v>38655</v>
      </c>
      <c r="I22" s="10">
        <v>40604</v>
      </c>
      <c r="J22" s="10">
        <v>46270</v>
      </c>
      <c r="K22" s="10">
        <v>51343</v>
      </c>
    </row>
    <row r="23" spans="1:11" x14ac:dyDescent="0.3">
      <c r="A23" s="6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717</v>
      </c>
      <c r="H23" s="9">
        <v>830</v>
      </c>
      <c r="I23" s="9">
        <v>719</v>
      </c>
      <c r="J23" s="9">
        <v>793</v>
      </c>
      <c r="K23" s="9">
        <v>801</v>
      </c>
    </row>
    <row r="24" spans="1:11" x14ac:dyDescent="0.3">
      <c r="A24" s="6" t="s">
        <v>33</v>
      </c>
      <c r="B24" s="9">
        <v>236</v>
      </c>
      <c r="C24" s="9">
        <v>99</v>
      </c>
      <c r="D24" s="9">
        <v>115</v>
      </c>
      <c r="E24" s="9">
        <v>150</v>
      </c>
      <c r="F24" s="9">
        <v>208</v>
      </c>
      <c r="G24" s="9">
        <v>265</v>
      </c>
      <c r="H24" s="9">
        <v>289</v>
      </c>
      <c r="I24" s="9">
        <v>336</v>
      </c>
      <c r="J24" s="9">
        <v>387</v>
      </c>
      <c r="K24" s="9">
        <v>466</v>
      </c>
    </row>
    <row r="25" spans="1:11" x14ac:dyDescent="0.3">
      <c r="A25" s="6" t="s">
        <v>34</v>
      </c>
      <c r="B25" s="9">
        <v>163</v>
      </c>
      <c r="C25" s="9">
        <v>57</v>
      </c>
      <c r="D25" s="9">
        <v>71</v>
      </c>
      <c r="E25" s="9">
        <v>80</v>
      </c>
      <c r="F25" s="9">
        <v>106</v>
      </c>
      <c r="G25" s="9">
        <v>112</v>
      </c>
      <c r="H25" s="9">
        <v>111</v>
      </c>
      <c r="I25" s="9">
        <v>114</v>
      </c>
      <c r="J25" s="9">
        <v>122</v>
      </c>
      <c r="K25" s="9">
        <v>154</v>
      </c>
    </row>
    <row r="26" spans="1:11" x14ac:dyDescent="0.3">
      <c r="A26" s="6" t="s">
        <v>35</v>
      </c>
      <c r="B26" s="9">
        <v>536</v>
      </c>
      <c r="C26" s="9">
        <v>399</v>
      </c>
      <c r="D26" s="9">
        <v>444</v>
      </c>
      <c r="E26" s="9">
        <v>653</v>
      </c>
      <c r="F26" s="9">
        <v>890</v>
      </c>
      <c r="G26" s="9">
        <v>906</v>
      </c>
      <c r="H26" s="9">
        <v>959</v>
      </c>
      <c r="I26" s="9">
        <v>989</v>
      </c>
      <c r="J26" s="10">
        <v>1008</v>
      </c>
      <c r="K26" s="10">
        <v>1088</v>
      </c>
    </row>
    <row r="27" spans="1:11" x14ac:dyDescent="0.3">
      <c r="A27" s="6" t="s">
        <v>36</v>
      </c>
      <c r="B27" s="9">
        <v>78</v>
      </c>
      <c r="C27" s="9">
        <v>46</v>
      </c>
      <c r="D27" s="9">
        <v>63</v>
      </c>
      <c r="E27" s="9">
        <v>91</v>
      </c>
      <c r="F27" s="9">
        <v>110</v>
      </c>
      <c r="G27" s="9">
        <v>122</v>
      </c>
      <c r="H27" s="9">
        <v>133</v>
      </c>
      <c r="I27" s="9">
        <v>163</v>
      </c>
      <c r="J27" s="9">
        <v>200</v>
      </c>
      <c r="K27" s="9">
        <v>260</v>
      </c>
    </row>
    <row r="28" spans="1:11" x14ac:dyDescent="0.3">
      <c r="A28" s="6" t="s">
        <v>37</v>
      </c>
      <c r="B28" s="10">
        <v>1053</v>
      </c>
      <c r="C28" s="10">
        <v>1287</v>
      </c>
      <c r="D28" s="10">
        <v>1329</v>
      </c>
      <c r="E28" s="10">
        <v>1280</v>
      </c>
      <c r="F28" s="10">
        <v>6626</v>
      </c>
      <c r="G28" s="10">
        <v>6680</v>
      </c>
      <c r="H28" s="10">
        <v>6375</v>
      </c>
      <c r="I28" s="10">
        <v>6405</v>
      </c>
      <c r="J28" s="10">
        <v>6484</v>
      </c>
      <c r="K28" s="10">
        <v>6501</v>
      </c>
    </row>
    <row r="29" spans="1:11" x14ac:dyDescent="0.3">
      <c r="A29" s="6" t="s">
        <v>38</v>
      </c>
      <c r="B29" s="9">
        <v>414</v>
      </c>
      <c r="C29" s="9">
        <v>176</v>
      </c>
      <c r="D29" s="9">
        <v>213</v>
      </c>
      <c r="E29" s="10">
        <v>3073</v>
      </c>
      <c r="F29" s="10">
        <v>5899</v>
      </c>
      <c r="G29" s="10">
        <v>5927</v>
      </c>
      <c r="H29" s="10">
        <v>6289</v>
      </c>
      <c r="I29" s="10">
        <v>6387</v>
      </c>
      <c r="J29" s="10">
        <v>6695</v>
      </c>
      <c r="K29" s="10">
        <v>6637</v>
      </c>
    </row>
    <row r="30" spans="1:11" x14ac:dyDescent="0.3">
      <c r="A30" s="6" t="s">
        <v>39</v>
      </c>
      <c r="B30" s="10">
        <v>34910</v>
      </c>
      <c r="C30" s="10">
        <v>26611</v>
      </c>
      <c r="D30" s="10">
        <v>28498</v>
      </c>
      <c r="E30" s="10">
        <v>44082</v>
      </c>
      <c r="F30" s="10">
        <v>63382</v>
      </c>
      <c r="G30" s="10">
        <v>66550</v>
      </c>
      <c r="H30" s="10">
        <v>67332</v>
      </c>
      <c r="I30" s="10">
        <v>70002</v>
      </c>
      <c r="J30" s="10">
        <v>76957</v>
      </c>
      <c r="K30" s="10">
        <v>83280</v>
      </c>
    </row>
    <row r="31" spans="1:11" x14ac:dyDescent="0.3">
      <c r="A31" s="6" t="s">
        <v>40</v>
      </c>
      <c r="B31" s="10">
        <v>11567</v>
      </c>
      <c r="C31" s="10">
        <v>1302</v>
      </c>
      <c r="D31" s="10">
        <v>2594</v>
      </c>
      <c r="E31" s="10">
        <v>4366</v>
      </c>
      <c r="F31" s="10">
        <v>6737</v>
      </c>
      <c r="G31" s="10">
        <v>9399</v>
      </c>
      <c r="H31" s="10">
        <v>11921</v>
      </c>
      <c r="I31" s="10">
        <v>14514</v>
      </c>
      <c r="J31" s="10">
        <v>17378</v>
      </c>
      <c r="K31" s="10">
        <v>20403</v>
      </c>
    </row>
    <row r="32" spans="1:11" x14ac:dyDescent="0.3">
      <c r="A32" s="6" t="s">
        <v>41</v>
      </c>
      <c r="B32" s="10">
        <v>2250</v>
      </c>
      <c r="C32" s="10">
        <v>1469</v>
      </c>
      <c r="D32" s="9">
        <v>921</v>
      </c>
      <c r="E32" s="10">
        <v>1511</v>
      </c>
      <c r="F32" s="10">
        <v>1153</v>
      </c>
      <c r="G32" s="9">
        <v>920</v>
      </c>
      <c r="H32" s="10">
        <v>1687</v>
      </c>
      <c r="I32" s="10">
        <v>4785</v>
      </c>
      <c r="J32" s="10">
        <v>4040</v>
      </c>
      <c r="K32" s="10">
        <v>6811</v>
      </c>
    </row>
    <row r="33" spans="1:11" x14ac:dyDescent="0.3">
      <c r="A33" s="6" t="s">
        <v>42</v>
      </c>
      <c r="B33" s="10">
        <v>4500</v>
      </c>
      <c r="C33" s="10">
        <v>5095</v>
      </c>
      <c r="D33" s="10">
        <v>6691</v>
      </c>
      <c r="E33" s="10">
        <v>5447</v>
      </c>
      <c r="F33" s="10">
        <v>2921</v>
      </c>
      <c r="G33" s="10">
        <v>5929</v>
      </c>
      <c r="H33" s="10">
        <v>12178</v>
      </c>
      <c r="I33" s="10">
        <v>6336</v>
      </c>
      <c r="J33" s="10">
        <v>7297</v>
      </c>
      <c r="K33" s="10">
        <v>8249</v>
      </c>
    </row>
    <row r="34" spans="1:11" x14ac:dyDescent="0.3">
      <c r="A34" s="6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20" t="s">
        <v>43</v>
      </c>
      <c r="B35" s="21">
        <v>7961</v>
      </c>
      <c r="C35" s="21">
        <v>9319</v>
      </c>
      <c r="D35" s="21">
        <v>8693</v>
      </c>
      <c r="E35" s="21">
        <v>10468</v>
      </c>
      <c r="F35" s="21">
        <v>15806</v>
      </c>
      <c r="G35" s="21">
        <v>15215</v>
      </c>
      <c r="H35" s="21">
        <v>16900</v>
      </c>
      <c r="I35" s="21">
        <v>17203</v>
      </c>
      <c r="J35" s="21">
        <v>20464</v>
      </c>
      <c r="K35" s="21">
        <v>22859</v>
      </c>
    </row>
    <row r="36" spans="1:11" x14ac:dyDescent="0.3">
      <c r="A36" s="20" t="s">
        <v>44</v>
      </c>
      <c r="B36" s="21">
        <v>2949</v>
      </c>
      <c r="C36" s="21">
        <v>2455</v>
      </c>
      <c r="D36" s="21">
        <v>2401</v>
      </c>
      <c r="E36" s="21">
        <v>3268</v>
      </c>
      <c r="F36" s="21">
        <v>4099</v>
      </c>
      <c r="G36" s="21">
        <v>4183</v>
      </c>
      <c r="H36" s="21">
        <v>4018</v>
      </c>
      <c r="I36" s="21">
        <v>5596</v>
      </c>
      <c r="J36" s="21">
        <v>6612</v>
      </c>
      <c r="K36" s="21">
        <v>8330</v>
      </c>
    </row>
    <row r="37" spans="1:11" x14ac:dyDescent="0.3">
      <c r="A37" s="20" t="s">
        <v>45</v>
      </c>
      <c r="B37" s="21">
        <v>1659</v>
      </c>
      <c r="C37" s="21">
        <v>1928</v>
      </c>
      <c r="D37" s="21">
        <v>1757</v>
      </c>
      <c r="E37" s="21">
        <v>2221</v>
      </c>
      <c r="F37" s="21">
        <v>2787</v>
      </c>
      <c r="G37" s="21">
        <v>2383</v>
      </c>
      <c r="H37" s="21">
        <v>2572</v>
      </c>
      <c r="I37" s="21">
        <v>3072</v>
      </c>
      <c r="J37" s="21">
        <v>3867</v>
      </c>
      <c r="K37" s="21">
        <v>4278</v>
      </c>
    </row>
    <row r="38" spans="1:11" x14ac:dyDescent="0.3">
      <c r="A38" s="20" t="s">
        <v>46</v>
      </c>
      <c r="B38" s="22">
        <v>371</v>
      </c>
      <c r="C38" s="21">
        <v>2267</v>
      </c>
      <c r="D38" s="21">
        <v>2249</v>
      </c>
      <c r="E38" s="22">
        <v>219</v>
      </c>
      <c r="F38" s="22">
        <v>740</v>
      </c>
      <c r="G38" s="22">
        <v>540</v>
      </c>
      <c r="H38" s="21">
        <v>2008</v>
      </c>
      <c r="I38" s="22">
        <v>359</v>
      </c>
      <c r="J38" s="21">
        <v>1150</v>
      </c>
      <c r="K38" s="22">
        <v>783</v>
      </c>
    </row>
    <row r="39" spans="1:11" x14ac:dyDescent="0.3">
      <c r="A39" s="20" t="s">
        <v>47</v>
      </c>
      <c r="B39" s="22">
        <v>2</v>
      </c>
      <c r="C39" s="22">
        <v>377</v>
      </c>
      <c r="D39" s="22">
        <v>519</v>
      </c>
      <c r="E39" s="22">
        <v>544</v>
      </c>
      <c r="F39" s="22">
        <v>750</v>
      </c>
      <c r="G39" s="22">
        <v>796</v>
      </c>
      <c r="H39" s="22">
        <v>660</v>
      </c>
      <c r="I39" s="22">
        <v>873</v>
      </c>
      <c r="J39" s="22">
        <v>951</v>
      </c>
      <c r="K39" s="22">
        <v>985</v>
      </c>
    </row>
    <row r="40" spans="1:11" x14ac:dyDescent="0.3">
      <c r="A40" s="20" t="s">
        <v>48</v>
      </c>
      <c r="B40" s="21">
        <v>2980</v>
      </c>
      <c r="C40" s="21">
        <v>2292</v>
      </c>
      <c r="D40" s="21">
        <v>1768</v>
      </c>
      <c r="E40" s="21">
        <v>4216</v>
      </c>
      <c r="F40" s="21">
        <v>7430</v>
      </c>
      <c r="G40" s="21">
        <v>7312</v>
      </c>
      <c r="H40" s="21">
        <v>7642</v>
      </c>
      <c r="I40" s="21">
        <v>7304</v>
      </c>
      <c r="J40" s="21">
        <v>7885</v>
      </c>
      <c r="K40" s="21">
        <v>8483</v>
      </c>
    </row>
    <row r="41" spans="1:11" x14ac:dyDescent="0.3">
      <c r="A41" s="6" t="s">
        <v>49</v>
      </c>
      <c r="B41" s="10">
        <v>38053</v>
      </c>
      <c r="C41" s="10">
        <v>41193</v>
      </c>
      <c r="D41" s="10">
        <v>42209</v>
      </c>
      <c r="E41" s="10">
        <v>57141</v>
      </c>
      <c r="F41" s="10">
        <v>76525</v>
      </c>
      <c r="G41" s="10">
        <v>79214</v>
      </c>
      <c r="H41" s="10">
        <v>86176</v>
      </c>
      <c r="I41" s="10">
        <v>83811</v>
      </c>
      <c r="J41" s="10">
        <v>91380</v>
      </c>
      <c r="K41" s="10">
        <v>100797</v>
      </c>
    </row>
    <row r="43" spans="1:11" x14ac:dyDescent="0.3">
      <c r="G43" s="19"/>
    </row>
  </sheetData>
  <hyperlinks>
    <hyperlink ref="K1" location="'(BS)'!A1" display="'(BS)'!A1" xr:uid="{7B66C979-4A62-4AB9-B3D5-960774305BE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2D1B-A36E-44AE-8D1C-058CCDC305D4}">
  <dimension ref="A1:XFC36"/>
  <sheetViews>
    <sheetView showGridLines="0" workbookViewId="0">
      <selection activeCell="H1" sqref="H1"/>
    </sheetView>
  </sheetViews>
  <sheetFormatPr defaultColWidth="0" defaultRowHeight="14.4" x14ac:dyDescent="0.3"/>
  <cols>
    <col min="1" max="1" width="30.5546875" style="4" bestFit="1" customWidth="1"/>
    <col min="2" max="6" width="8.77734375" style="4" hidden="1" customWidth="1"/>
    <col min="7" max="11" width="20.33203125" style="4" customWidth="1"/>
    <col min="12" max="12" width="8.77734375" style="4" hidden="1"/>
    <col min="13" max="13" width="7.77734375" style="4" hidden="1"/>
    <col min="14" max="14" width="8.77734375" style="4" hidden="1"/>
    <col min="15" max="17" width="0" style="4" hidden="1"/>
    <col min="18" max="16383" width="8.77734375" style="4" hidden="1"/>
    <col min="16384" max="16384" width="11.88671875" style="4" hidden="1" customWidth="1"/>
  </cols>
  <sheetData>
    <row r="1" spans="1:17" ht="22.8" x14ac:dyDescent="0.3">
      <c r="A1" s="3" t="s">
        <v>50</v>
      </c>
      <c r="K1" s="258" t="s">
        <v>238</v>
      </c>
    </row>
    <row r="2" spans="1:17" x14ac:dyDescent="0.3">
      <c r="A2" s="6"/>
      <c r="B2" s="17">
        <v>42064</v>
      </c>
      <c r="C2" s="17">
        <v>42430</v>
      </c>
      <c r="D2" s="17">
        <v>42795</v>
      </c>
      <c r="E2" s="17">
        <v>43160</v>
      </c>
      <c r="F2" s="17">
        <v>43525</v>
      </c>
      <c r="G2" s="17">
        <v>43891</v>
      </c>
      <c r="H2" s="17">
        <v>44256</v>
      </c>
      <c r="I2" s="17">
        <v>44621</v>
      </c>
      <c r="J2" s="17">
        <v>44986</v>
      </c>
      <c r="K2" s="17">
        <v>45352</v>
      </c>
    </row>
    <row r="3" spans="1:17" x14ac:dyDescent="0.3">
      <c r="A3" s="7" t="s">
        <v>51</v>
      </c>
      <c r="B3" s="8">
        <v>4190</v>
      </c>
      <c r="C3" s="8">
        <v>4526</v>
      </c>
      <c r="D3" s="8">
        <v>5005</v>
      </c>
      <c r="E3" s="8">
        <v>3888</v>
      </c>
      <c r="F3" s="8">
        <v>5956</v>
      </c>
      <c r="G3" s="8">
        <v>8973</v>
      </c>
      <c r="H3" s="8">
        <v>12501</v>
      </c>
      <c r="I3" s="8">
        <v>9283</v>
      </c>
      <c r="J3" s="8">
        <v>9070</v>
      </c>
      <c r="K3" s="8">
        <v>10896</v>
      </c>
    </row>
    <row r="4" spans="1:17" x14ac:dyDescent="0.3">
      <c r="A4" s="7" t="s">
        <v>52</v>
      </c>
      <c r="B4" s="8">
        <v>4464</v>
      </c>
      <c r="C4" s="8">
        <v>4948</v>
      </c>
      <c r="D4" s="8">
        <v>5220</v>
      </c>
      <c r="E4" s="8">
        <v>5986</v>
      </c>
      <c r="F4" s="8">
        <v>7362</v>
      </c>
      <c r="G4" s="8">
        <v>9348</v>
      </c>
      <c r="H4" s="8">
        <v>11465</v>
      </c>
      <c r="I4" s="8">
        <v>11311</v>
      </c>
      <c r="J4" s="8">
        <v>10530</v>
      </c>
      <c r="K4" s="8">
        <v>13029</v>
      </c>
      <c r="M4" s="15"/>
      <c r="N4" s="15"/>
      <c r="O4" s="15"/>
      <c r="P4" s="15"/>
      <c r="Q4" s="15"/>
    </row>
    <row r="5" spans="1:17" x14ac:dyDescent="0.3">
      <c r="A5" s="6" t="s">
        <v>53</v>
      </c>
      <c r="B5" s="9">
        <v>-27</v>
      </c>
      <c r="C5" s="9">
        <v>-287</v>
      </c>
      <c r="D5" s="9">
        <v>156</v>
      </c>
      <c r="E5" s="9">
        <v>-454</v>
      </c>
      <c r="F5" s="9">
        <v>-279</v>
      </c>
      <c r="G5" s="9">
        <v>473</v>
      </c>
      <c r="H5" s="9">
        <v>-201</v>
      </c>
      <c r="I5" s="9">
        <v>-495</v>
      </c>
      <c r="J5" s="9">
        <v>-752</v>
      </c>
      <c r="K5" s="9">
        <v>-421</v>
      </c>
      <c r="M5" s="15"/>
      <c r="N5" s="15"/>
      <c r="O5" s="15"/>
      <c r="P5" s="15"/>
      <c r="Q5" s="15"/>
    </row>
    <row r="6" spans="1:17" x14ac:dyDescent="0.3">
      <c r="A6" s="6" t="s">
        <v>54</v>
      </c>
      <c r="B6" s="9">
        <v>-326</v>
      </c>
      <c r="C6" s="9">
        <v>374</v>
      </c>
      <c r="D6" s="9">
        <v>54</v>
      </c>
      <c r="E6" s="9">
        <v>-623</v>
      </c>
      <c r="F6" s="9">
        <v>-15</v>
      </c>
      <c r="G6" s="9">
        <v>-64</v>
      </c>
      <c r="H6" s="9">
        <v>165</v>
      </c>
      <c r="I6" s="10">
        <v>-1579</v>
      </c>
      <c r="J6" s="9">
        <v>-992</v>
      </c>
      <c r="K6" s="10">
        <v>-1712</v>
      </c>
    </row>
    <row r="7" spans="1:17" x14ac:dyDescent="0.3">
      <c r="A7" s="6" t="s">
        <v>55</v>
      </c>
      <c r="B7" s="9">
        <v>383</v>
      </c>
      <c r="C7" s="9">
        <v>310</v>
      </c>
      <c r="D7" s="9">
        <v>482</v>
      </c>
      <c r="E7" s="9">
        <v>346</v>
      </c>
      <c r="F7" s="9">
        <v>766</v>
      </c>
      <c r="G7" s="9">
        <v>279</v>
      </c>
      <c r="H7" s="10">
        <v>2868</v>
      </c>
      <c r="I7" s="10">
        <v>2077</v>
      </c>
      <c r="J7" s="10">
        <v>1869</v>
      </c>
      <c r="K7" s="10">
        <v>1959</v>
      </c>
    </row>
    <row r="8" spans="1:17" x14ac:dyDescent="0.3">
      <c r="A8" s="6" t="s">
        <v>56</v>
      </c>
      <c r="B8" s="9">
        <v>-135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7" x14ac:dyDescent="0.3">
      <c r="A9" s="11" t="s">
        <v>57</v>
      </c>
      <c r="B9" s="12">
        <v>0</v>
      </c>
      <c r="C9" s="12">
        <v>32</v>
      </c>
      <c r="D9" s="12">
        <v>-162</v>
      </c>
      <c r="E9" s="12">
        <v>-525</v>
      </c>
      <c r="F9" s="13">
        <v>-1167</v>
      </c>
      <c r="G9" s="12">
        <v>-172</v>
      </c>
      <c r="H9" s="12">
        <v>-505</v>
      </c>
      <c r="I9" s="12">
        <v>-476</v>
      </c>
      <c r="J9" s="12">
        <v>-461</v>
      </c>
      <c r="K9" s="12">
        <v>-308</v>
      </c>
    </row>
    <row r="10" spans="1:17" x14ac:dyDescent="0.3">
      <c r="A10" s="7" t="s">
        <v>58</v>
      </c>
      <c r="B10" s="14">
        <v>-104</v>
      </c>
      <c r="C10" s="14">
        <v>429</v>
      </c>
      <c r="D10" s="14">
        <v>529</v>
      </c>
      <c r="E10" s="8">
        <v>-1255</v>
      </c>
      <c r="F10" s="14">
        <v>-696</v>
      </c>
      <c r="G10" s="14">
        <f>SUM(G5:G9)</f>
        <v>516</v>
      </c>
      <c r="H10" s="14">
        <f t="shared" ref="H10:J10" si="0">SUM(H5:H9)</f>
        <v>2327</v>
      </c>
      <c r="I10" s="14">
        <f t="shared" si="0"/>
        <v>-473</v>
      </c>
      <c r="J10" s="14">
        <f t="shared" si="0"/>
        <v>-336</v>
      </c>
      <c r="K10" s="14">
        <f>SUM(K5:K9)</f>
        <v>-482</v>
      </c>
    </row>
    <row r="11" spans="1:17" x14ac:dyDescent="0.3">
      <c r="A11" s="6" t="s">
        <v>59</v>
      </c>
      <c r="B11" s="9">
        <v>-169</v>
      </c>
      <c r="C11" s="9">
        <v>-852</v>
      </c>
      <c r="D11" s="9">
        <v>-744</v>
      </c>
      <c r="E11" s="9">
        <v>-843</v>
      </c>
      <c r="F11" s="9">
        <v>-710</v>
      </c>
      <c r="G11" s="9">
        <v>-891</v>
      </c>
      <c r="H11" s="10">
        <v>-1291</v>
      </c>
      <c r="I11" s="10">
        <v>-1555</v>
      </c>
      <c r="J11" s="10">
        <v>-1124</v>
      </c>
      <c r="K11" s="10">
        <v>-1651</v>
      </c>
    </row>
    <row r="12" spans="1:17" x14ac:dyDescent="0.3">
      <c r="A12" s="6" t="s">
        <v>60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7" x14ac:dyDescent="0.3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7" x14ac:dyDescent="0.3">
      <c r="A14" s="7" t="s">
        <v>61</v>
      </c>
      <c r="B14" s="8">
        <v>-2144</v>
      </c>
      <c r="C14" s="8">
        <v>-3673</v>
      </c>
      <c r="D14" s="8">
        <v>-2501</v>
      </c>
      <c r="E14" s="8">
        <v>1866</v>
      </c>
      <c r="F14" s="8">
        <v>1165</v>
      </c>
      <c r="G14" s="8">
        <v>-4193</v>
      </c>
      <c r="H14" s="8">
        <v>-8856</v>
      </c>
      <c r="I14" s="8">
        <v>2322</v>
      </c>
      <c r="J14" s="8">
        <v>-7187</v>
      </c>
      <c r="K14" s="8">
        <v>-8788</v>
      </c>
    </row>
    <row r="15" spans="1:17" x14ac:dyDescent="0.3">
      <c r="A15" s="6" t="s">
        <v>62</v>
      </c>
      <c r="B15" s="10">
        <v>-2722</v>
      </c>
      <c r="C15" s="10">
        <v>-2150</v>
      </c>
      <c r="D15" s="10">
        <v>-1402</v>
      </c>
      <c r="E15" s="10">
        <v>-2103</v>
      </c>
      <c r="F15" s="10">
        <v>-1808</v>
      </c>
      <c r="G15" s="10">
        <v>-1766</v>
      </c>
      <c r="H15" s="10">
        <v>-1925</v>
      </c>
      <c r="I15" s="10">
        <v>-5613</v>
      </c>
      <c r="J15" s="10">
        <v>-6200</v>
      </c>
      <c r="K15" s="10">
        <v>-9006</v>
      </c>
    </row>
    <row r="16" spans="1:17" x14ac:dyDescent="0.3">
      <c r="A16" s="6" t="s">
        <v>63</v>
      </c>
      <c r="B16" s="9">
        <v>12</v>
      </c>
      <c r="C16" s="9">
        <v>18</v>
      </c>
      <c r="D16" s="9">
        <v>35</v>
      </c>
      <c r="E16" s="9">
        <v>220</v>
      </c>
      <c r="F16" s="9">
        <v>160</v>
      </c>
      <c r="G16" s="9">
        <v>79</v>
      </c>
      <c r="H16" s="9">
        <v>86</v>
      </c>
      <c r="I16" s="9">
        <v>73</v>
      </c>
      <c r="J16" s="9">
        <v>95</v>
      </c>
      <c r="K16" s="9">
        <v>122</v>
      </c>
    </row>
    <row r="17" spans="1:11" x14ac:dyDescent="0.3">
      <c r="A17" s="6" t="s">
        <v>64</v>
      </c>
      <c r="B17" s="9">
        <v>-602</v>
      </c>
      <c r="C17" s="10">
        <v>-2698</v>
      </c>
      <c r="D17" s="10">
        <v>-3377</v>
      </c>
      <c r="E17" s="10">
        <v>-3960</v>
      </c>
      <c r="F17" s="10">
        <v>-1700</v>
      </c>
      <c r="G17" s="10">
        <v>-6086</v>
      </c>
      <c r="H17" s="10">
        <v>-12689</v>
      </c>
      <c r="I17" s="10">
        <v>-7795</v>
      </c>
      <c r="J17" s="10">
        <v>-7260</v>
      </c>
      <c r="K17" s="10">
        <v>-7750</v>
      </c>
    </row>
    <row r="18" spans="1:11" x14ac:dyDescent="0.3">
      <c r="A18" s="6" t="s">
        <v>65</v>
      </c>
      <c r="B18" s="10">
        <v>1263</v>
      </c>
      <c r="C18" s="10">
        <v>2948</v>
      </c>
      <c r="D18" s="10">
        <v>2228</v>
      </c>
      <c r="E18" s="10">
        <v>5588</v>
      </c>
      <c r="F18" s="10">
        <v>4478</v>
      </c>
      <c r="G18" s="10">
        <v>3443</v>
      </c>
      <c r="H18" s="10">
        <v>7101</v>
      </c>
      <c r="I18" s="10">
        <v>13965</v>
      </c>
      <c r="J18" s="10">
        <v>7156</v>
      </c>
      <c r="K18" s="10">
        <v>7164</v>
      </c>
    </row>
    <row r="19" spans="1:11" x14ac:dyDescent="0.3">
      <c r="A19" s="6" t="s">
        <v>66</v>
      </c>
      <c r="B19" s="9">
        <v>35</v>
      </c>
      <c r="C19" s="9">
        <v>59</v>
      </c>
      <c r="D19" s="9">
        <v>47</v>
      </c>
      <c r="E19" s="9">
        <v>67</v>
      </c>
      <c r="F19" s="9">
        <v>78</v>
      </c>
      <c r="G19" s="9">
        <v>89</v>
      </c>
      <c r="H19" s="9">
        <v>77</v>
      </c>
      <c r="I19" s="9">
        <v>174</v>
      </c>
      <c r="J19" s="9">
        <v>283</v>
      </c>
      <c r="K19" s="9">
        <v>161</v>
      </c>
    </row>
    <row r="20" spans="1:11" x14ac:dyDescent="0.3">
      <c r="A20" s="6" t="s">
        <v>67</v>
      </c>
      <c r="B20" s="9">
        <v>0</v>
      </c>
      <c r="C20" s="9">
        <v>0</v>
      </c>
      <c r="D20" s="9">
        <v>0</v>
      </c>
      <c r="E20" s="9">
        <v>0</v>
      </c>
      <c r="F20" s="9">
        <v>22</v>
      </c>
      <c r="G20" s="9">
        <v>32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3">
      <c r="A21" s="6" t="s">
        <v>68</v>
      </c>
      <c r="B21" s="9">
        <v>-21</v>
      </c>
      <c r="C21" s="9">
        <v>-13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3">
      <c r="A22" s="6" t="s">
        <v>69</v>
      </c>
      <c r="B22" s="9">
        <v>0</v>
      </c>
      <c r="C22" s="9">
        <v>0</v>
      </c>
      <c r="D22" s="9">
        <v>0</v>
      </c>
      <c r="E22" s="9">
        <v>-1</v>
      </c>
      <c r="F22" s="9">
        <v>-8</v>
      </c>
      <c r="G22" s="9">
        <v>-6</v>
      </c>
      <c r="H22" s="9">
        <v>-3</v>
      </c>
      <c r="I22" s="9">
        <v>0</v>
      </c>
      <c r="J22" s="9">
        <v>0</v>
      </c>
      <c r="K22" s="9">
        <v>0</v>
      </c>
    </row>
    <row r="23" spans="1:11" x14ac:dyDescent="0.3">
      <c r="A23" s="6" t="s">
        <v>70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3</v>
      </c>
      <c r="K23" s="9">
        <v>0</v>
      </c>
    </row>
    <row r="24" spans="1:11" x14ac:dyDescent="0.3">
      <c r="A24" s="6" t="s">
        <v>71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-847</v>
      </c>
      <c r="K24" s="9">
        <v>-60</v>
      </c>
    </row>
    <row r="25" spans="1:11" x14ac:dyDescent="0.3">
      <c r="A25" s="6" t="s">
        <v>72</v>
      </c>
      <c r="B25" s="9">
        <v>-110</v>
      </c>
      <c r="C25" s="10">
        <v>-1839</v>
      </c>
      <c r="D25" s="9">
        <v>-32</v>
      </c>
      <c r="E25" s="10">
        <v>2055</v>
      </c>
      <c r="F25" s="9">
        <v>-58</v>
      </c>
      <c r="G25" s="9">
        <v>22</v>
      </c>
      <c r="H25" s="10">
        <v>-1503</v>
      </c>
      <c r="I25" s="10">
        <v>1518</v>
      </c>
      <c r="J25" s="9">
        <v>-417</v>
      </c>
      <c r="K25" s="9">
        <v>581</v>
      </c>
    </row>
    <row r="26" spans="1:11" x14ac:dyDescent="0.3">
      <c r="A26" s="6"/>
      <c r="B26" s="9"/>
      <c r="C26" s="10"/>
      <c r="D26" s="9"/>
      <c r="E26" s="10"/>
      <c r="F26" s="9"/>
      <c r="G26" s="9"/>
      <c r="H26" s="10"/>
      <c r="I26" s="10"/>
      <c r="J26" s="9"/>
      <c r="K26" s="9"/>
    </row>
    <row r="27" spans="1:11" x14ac:dyDescent="0.3">
      <c r="A27" s="7" t="s">
        <v>73</v>
      </c>
      <c r="B27" s="8">
        <v>-2110</v>
      </c>
      <c r="C27" s="14">
        <v>-844</v>
      </c>
      <c r="D27" s="8">
        <v>-2535</v>
      </c>
      <c r="E27" s="8">
        <v>-5735</v>
      </c>
      <c r="F27" s="8">
        <v>-6757</v>
      </c>
      <c r="G27" s="8">
        <v>-5076</v>
      </c>
      <c r="H27" s="8">
        <v>-4356</v>
      </c>
      <c r="I27" s="8">
        <v>-12497</v>
      </c>
      <c r="J27" s="8">
        <v>-1631</v>
      </c>
      <c r="K27" s="8">
        <v>-1925</v>
      </c>
    </row>
    <row r="28" spans="1:11" x14ac:dyDescent="0.3">
      <c r="A28" s="6" t="s">
        <v>74</v>
      </c>
      <c r="B28" s="9">
        <v>3</v>
      </c>
      <c r="C28" s="9">
        <v>3</v>
      </c>
      <c r="D28" s="9">
        <v>7</v>
      </c>
      <c r="E28" s="9">
        <v>16</v>
      </c>
      <c r="F28" s="9">
        <v>5</v>
      </c>
      <c r="G28" s="9">
        <v>3</v>
      </c>
      <c r="H28" s="9">
        <v>14</v>
      </c>
      <c r="I28" s="9">
        <v>13</v>
      </c>
      <c r="J28" s="9">
        <v>13</v>
      </c>
      <c r="K28" s="9">
        <v>44</v>
      </c>
    </row>
    <row r="29" spans="1:11" x14ac:dyDescent="0.3">
      <c r="A29" s="6" t="s">
        <v>75</v>
      </c>
      <c r="B29" s="10">
        <v>2728</v>
      </c>
      <c r="C29" s="10">
        <v>2821</v>
      </c>
      <c r="D29" s="10">
        <v>3656</v>
      </c>
      <c r="E29" s="10">
        <v>15775</v>
      </c>
      <c r="F29" s="10">
        <v>9772</v>
      </c>
      <c r="G29" s="10">
        <v>1510</v>
      </c>
      <c r="H29" s="10">
        <v>4103</v>
      </c>
      <c r="I29" s="9">
        <v>175</v>
      </c>
      <c r="J29" s="10">
        <v>1032</v>
      </c>
      <c r="K29" s="10">
        <v>1399</v>
      </c>
    </row>
    <row r="30" spans="1:11" x14ac:dyDescent="0.3">
      <c r="A30" s="6" t="s">
        <v>76</v>
      </c>
      <c r="B30" s="9">
        <v>-311</v>
      </c>
      <c r="C30" s="10">
        <v>-2775</v>
      </c>
      <c r="D30" s="10">
        <v>-5272</v>
      </c>
      <c r="E30" s="10">
        <v>-19982</v>
      </c>
      <c r="F30" s="10">
        <v>-14420</v>
      </c>
      <c r="G30" s="10">
        <v>-4154</v>
      </c>
      <c r="H30" s="10">
        <v>-6499</v>
      </c>
      <c r="I30" s="10">
        <v>-10346</v>
      </c>
      <c r="J30" s="9">
        <v>-579</v>
      </c>
      <c r="K30" s="10">
        <v>-1069</v>
      </c>
    </row>
    <row r="31" spans="1:11" x14ac:dyDescent="0.3">
      <c r="A31" s="6" t="s">
        <v>77</v>
      </c>
      <c r="B31" s="9">
        <v>-589</v>
      </c>
      <c r="C31" s="9">
        <v>-596</v>
      </c>
      <c r="D31" s="9">
        <v>-614</v>
      </c>
      <c r="E31" s="10">
        <v>-1210</v>
      </c>
      <c r="F31" s="10">
        <v>-1685</v>
      </c>
      <c r="G31" s="10">
        <v>-1950</v>
      </c>
      <c r="H31" s="10">
        <v>-1481</v>
      </c>
      <c r="I31" s="10">
        <v>-1026</v>
      </c>
      <c r="J31" s="9">
        <v>-765</v>
      </c>
      <c r="K31" s="9">
        <v>-917</v>
      </c>
    </row>
    <row r="32" spans="1:11" x14ac:dyDescent="0.3">
      <c r="A32" s="6" t="s">
        <v>78</v>
      </c>
      <c r="B32" s="9">
        <v>-253</v>
      </c>
      <c r="C32" s="9">
        <v>-297</v>
      </c>
      <c r="D32" s="9">
        <v>-312</v>
      </c>
      <c r="E32" s="9">
        <v>-334</v>
      </c>
      <c r="F32" s="9">
        <v>-346</v>
      </c>
      <c r="G32" s="9">
        <v>-380</v>
      </c>
      <c r="H32" s="9">
        <v>-375</v>
      </c>
      <c r="I32" s="10">
        <v>-1065</v>
      </c>
      <c r="J32" s="10">
        <v>-1091</v>
      </c>
      <c r="K32" s="10">
        <v>-1094</v>
      </c>
    </row>
    <row r="33" spans="1:11" x14ac:dyDescent="0.3">
      <c r="A33" s="6" t="s">
        <v>79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-101</v>
      </c>
      <c r="H33" s="9">
        <v>-118</v>
      </c>
      <c r="I33" s="9">
        <v>-157</v>
      </c>
      <c r="J33" s="9">
        <v>-126</v>
      </c>
      <c r="K33" s="9">
        <v>-162</v>
      </c>
    </row>
    <row r="34" spans="1:11" x14ac:dyDescent="0.3">
      <c r="A34" s="6" t="s">
        <v>80</v>
      </c>
      <c r="B34" s="10">
        <v>-3689</v>
      </c>
      <c r="C34" s="9">
        <v>1</v>
      </c>
      <c r="D34" s="9">
        <v>0</v>
      </c>
      <c r="E34" s="9">
        <v>0</v>
      </c>
      <c r="F34" s="9">
        <v>-83</v>
      </c>
      <c r="G34" s="9">
        <v>-4</v>
      </c>
      <c r="H34" s="9">
        <v>0</v>
      </c>
      <c r="I34" s="9">
        <v>-91</v>
      </c>
      <c r="J34" s="9">
        <v>-115</v>
      </c>
      <c r="K34" s="9">
        <v>-100</v>
      </c>
    </row>
    <row r="35" spans="1:11" x14ac:dyDescent="0.3">
      <c r="A35" s="6"/>
      <c r="B35" s="10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7" t="s">
        <v>81</v>
      </c>
      <c r="B36" s="14">
        <v>-63</v>
      </c>
      <c r="C36" s="14">
        <v>8</v>
      </c>
      <c r="D36" s="14">
        <v>-31</v>
      </c>
      <c r="E36" s="14">
        <v>18</v>
      </c>
      <c r="F36" s="14">
        <v>364</v>
      </c>
      <c r="G36" s="14">
        <v>-296</v>
      </c>
      <c r="H36" s="14">
        <v>-711</v>
      </c>
      <c r="I36" s="14">
        <v>-892</v>
      </c>
      <c r="J36" s="14">
        <v>252</v>
      </c>
      <c r="K36" s="14">
        <v>183</v>
      </c>
    </row>
  </sheetData>
  <hyperlinks>
    <hyperlink ref="K1" location="'(CFS)'!A1" display="'(CFS)'!A1" xr:uid="{A5CBFC58-46BC-40EF-9C9D-CF796B9B02F6}"/>
  </hyperlinks>
  <pageMargins left="0.7" right="0.7" top="0.75" bottom="0.75" header="0.3" footer="0.3"/>
  <ignoredErrors>
    <ignoredError sqref="G10:K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Index</vt:lpstr>
      <vt:lpstr>Dashboard</vt:lpstr>
      <vt:lpstr>Overview</vt:lpstr>
      <vt:lpstr>Comparative</vt:lpstr>
      <vt:lpstr>Sheet1</vt:lpstr>
      <vt:lpstr>Ratios</vt:lpstr>
      <vt:lpstr>Drivers</vt:lpstr>
      <vt:lpstr>3 Statements &gt;</vt:lpstr>
      <vt:lpstr>P&amp;L</vt:lpstr>
      <vt:lpstr>Sheet3</vt:lpstr>
      <vt:lpstr>Balance Sheet</vt:lpstr>
      <vt:lpstr>Cash Flow</vt:lpstr>
      <vt:lpstr>Cash Flow (A)</vt:lpstr>
      <vt:lpstr>Valuation &gt;</vt:lpstr>
      <vt:lpstr>WACC</vt:lpstr>
      <vt:lpstr>DCF</vt:lpstr>
      <vt:lpstr>Schedules &gt;</vt:lpstr>
      <vt:lpstr>PPE</vt:lpstr>
      <vt:lpstr>WC</vt:lpstr>
      <vt:lpstr>Source &gt;</vt:lpstr>
      <vt:lpstr>(IS)</vt:lpstr>
      <vt:lpstr>(BS)</vt:lpstr>
      <vt:lpstr>(CFS)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</dc:creator>
  <cp:lastModifiedBy>SANJEEV PARMAR</cp:lastModifiedBy>
  <dcterms:created xsi:type="dcterms:W3CDTF">2015-06-05T18:17:20Z</dcterms:created>
  <dcterms:modified xsi:type="dcterms:W3CDTF">2026-06-06T09:55:15Z</dcterms:modified>
</cp:coreProperties>
</file>