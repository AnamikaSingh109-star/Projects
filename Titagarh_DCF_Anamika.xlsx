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F816567F-CECA-409A-BAC5-40C451252C60}" xr6:coauthVersionLast="47" xr6:coauthVersionMax="47" xr10:uidLastSave="{00000000-0000-0000-0000-000000000000}"/>
  <bookViews>
    <workbookView xWindow="-108" yWindow="-108" windowWidth="23256" windowHeight="12456" xr2:uid="{00000000-000D-0000-FFFF-FFFF00000000}"/>
  </bookViews>
  <sheets>
    <sheet name="Overview" sheetId="21" r:id="rId1"/>
    <sheet name="Assumptions ( Driver)" sheetId="9" r:id="rId2"/>
    <sheet name="Schedule " sheetId="10" r:id="rId3"/>
    <sheet name="Capex" sheetId="11" r:id="rId4"/>
    <sheet name="IS" sheetId="1" r:id="rId5"/>
    <sheet name="BS" sheetId="2" r:id="rId6"/>
    <sheet name="CFS" sheetId="3" r:id="rId7"/>
    <sheet name="Valuation" sheetId="12" r:id="rId8"/>
    <sheet name="Beta" sheetId="20" r:id="rId9"/>
    <sheet name="WACC" sheetId="13" r:id="rId10"/>
    <sheet name="DCF" sheetId="14" r:id="rId11"/>
    <sheet name="Source Data" sheetId="4" r:id="rId12"/>
    <sheet name="(IS)" sheetId="17" r:id="rId13"/>
    <sheet name="(BS)" sheetId="18" r:id="rId14"/>
    <sheet name="(CF)" sheetId="19" r:id="rId15"/>
  </sheets>
  <calcPr calcId="191029"/>
  <extLst>
    <ext uri="GoogleSheetsCustomDataVersion2">
      <go:sheetsCustomData xmlns:go="http://customooxmlschemas.google.com/" r:id="rId19" roundtripDataChecksum="HKZqTfGJ7ACKz3nO358+nCohRhtr1TdDsdhlT24Z7Lo="/>
    </ext>
  </extLst>
</workbook>
</file>

<file path=xl/calcChain.xml><?xml version="1.0" encoding="utf-8"?>
<calcChain xmlns="http://schemas.openxmlformats.org/spreadsheetml/2006/main">
  <c r="C19" i="13" l="1"/>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D55" i="20"/>
  <c r="D56" i="20"/>
  <c r="D57" i="20"/>
  <c r="D58" i="20"/>
  <c r="D59" i="20"/>
  <c r="D60" i="20"/>
  <c r="D61" i="20"/>
  <c r="D62" i="20"/>
  <c r="D63" i="20"/>
  <c r="D64" i="20"/>
  <c r="D65" i="20"/>
  <c r="D66" i="20"/>
  <c r="D67" i="20"/>
  <c r="D68" i="20"/>
  <c r="D69" i="20"/>
  <c r="D70" i="20"/>
  <c r="D71" i="20"/>
  <c r="D72" i="20"/>
  <c r="D73" i="20"/>
  <c r="D74" i="20"/>
  <c r="D75" i="20"/>
  <c r="D76" i="20"/>
  <c r="D77" i="20"/>
  <c r="D78" i="20"/>
  <c r="D79" i="20"/>
  <c r="D80" i="20"/>
  <c r="D81" i="20"/>
  <c r="D82" i="20"/>
  <c r="D83" i="20"/>
  <c r="D84" i="20"/>
  <c r="D85" i="20"/>
  <c r="D86" i="20"/>
  <c r="D87" i="20"/>
  <c r="D88" i="20"/>
  <c r="D89" i="20"/>
  <c r="D90" i="20"/>
  <c r="D91" i="20"/>
  <c r="D92" i="20"/>
  <c r="D93" i="20"/>
  <c r="D94" i="20"/>
  <c r="D95" i="20"/>
  <c r="D96" i="20"/>
  <c r="D97" i="20"/>
  <c r="D98" i="20"/>
  <c r="D99" i="20"/>
  <c r="D100" i="20"/>
  <c r="D101" i="20"/>
  <c r="D102" i="20"/>
  <c r="D103" i="20"/>
  <c r="D104" i="20"/>
  <c r="D105" i="20"/>
  <c r="D106" i="20"/>
  <c r="D107" i="20"/>
  <c r="D108" i="20"/>
  <c r="D109" i="20"/>
  <c r="D110" i="20"/>
  <c r="D111" i="20"/>
  <c r="D112"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6" i="20"/>
  <c r="G87" i="20"/>
  <c r="G88" i="20"/>
  <c r="G89" i="20"/>
  <c r="G90" i="20"/>
  <c r="G91" i="20"/>
  <c r="G92" i="20"/>
  <c r="G93" i="20"/>
  <c r="G94" i="20"/>
  <c r="G95" i="20"/>
  <c r="G96" i="20"/>
  <c r="G97" i="20"/>
  <c r="G98" i="20"/>
  <c r="G99" i="20"/>
  <c r="G100" i="20"/>
  <c r="G101" i="20"/>
  <c r="G102" i="20"/>
  <c r="G103" i="20"/>
  <c r="G104" i="20"/>
  <c r="G105" i="20"/>
  <c r="G106" i="20"/>
  <c r="G107" i="20"/>
  <c r="G108" i="20"/>
  <c r="G109" i="20"/>
  <c r="G110" i="20"/>
  <c r="G111" i="20"/>
  <c r="G112" i="20"/>
  <c r="G8" i="20"/>
  <c r="D8" i="20"/>
  <c r="F16" i="14" l="1"/>
  <c r="F17" i="14" s="1"/>
  <c r="F14" i="14"/>
  <c r="F13" i="14" s="1"/>
  <c r="J12" i="14"/>
  <c r="K12" i="14" s="1"/>
  <c r="H12" i="14"/>
  <c r="G12" i="14" s="1"/>
  <c r="C21" i="13"/>
  <c r="C23" i="13" s="1"/>
  <c r="I5" i="14"/>
  <c r="C13" i="13"/>
  <c r="K10" i="2"/>
  <c r="J36" i="3"/>
  <c r="J34" i="3"/>
  <c r="J32" i="3"/>
  <c r="E38" i="3"/>
  <c r="J38" i="3"/>
  <c r="J37" i="3"/>
  <c r="D38" i="3"/>
  <c r="E36" i="3" s="1"/>
  <c r="C36" i="3"/>
  <c r="D31" i="3"/>
  <c r="E31" i="3"/>
  <c r="F31" i="3"/>
  <c r="G31" i="3"/>
  <c r="H31" i="3"/>
  <c r="I31" i="3"/>
  <c r="J31" i="3"/>
  <c r="C31" i="3"/>
  <c r="D30" i="3"/>
  <c r="E30" i="3"/>
  <c r="F30" i="3"/>
  <c r="G30" i="3"/>
  <c r="H30" i="3"/>
  <c r="I30" i="3"/>
  <c r="J30" i="3"/>
  <c r="C30" i="3"/>
  <c r="D29" i="3"/>
  <c r="E29" i="3"/>
  <c r="F29" i="3"/>
  <c r="G29" i="3"/>
  <c r="H29" i="3"/>
  <c r="I29" i="3"/>
  <c r="J29" i="3"/>
  <c r="C29" i="3"/>
  <c r="D28" i="3"/>
  <c r="E28" i="3"/>
  <c r="F28" i="3"/>
  <c r="G28" i="3"/>
  <c r="H28" i="3"/>
  <c r="I28" i="3"/>
  <c r="J28" i="3"/>
  <c r="C28" i="3"/>
  <c r="D27" i="3"/>
  <c r="E27" i="3"/>
  <c r="F27" i="3"/>
  <c r="G27" i="3"/>
  <c r="H27" i="3"/>
  <c r="I27" i="3"/>
  <c r="J27" i="3"/>
  <c r="C27" i="3"/>
  <c r="J26" i="3"/>
  <c r="D23" i="3"/>
  <c r="E23" i="3"/>
  <c r="F23" i="3"/>
  <c r="G23" i="3"/>
  <c r="H23" i="3"/>
  <c r="I23" i="3"/>
  <c r="J23" i="3"/>
  <c r="C23" i="3"/>
  <c r="D22" i="3"/>
  <c r="E22" i="3"/>
  <c r="F22" i="3"/>
  <c r="G22" i="3"/>
  <c r="H22" i="3"/>
  <c r="I22" i="3"/>
  <c r="J22" i="3"/>
  <c r="C22" i="3"/>
  <c r="D21" i="3"/>
  <c r="E21" i="3"/>
  <c r="F21" i="3"/>
  <c r="G21" i="3"/>
  <c r="H21" i="3"/>
  <c r="I21" i="3"/>
  <c r="J21" i="3"/>
  <c r="C21" i="3"/>
  <c r="J20" i="3"/>
  <c r="D17" i="3"/>
  <c r="E17" i="3"/>
  <c r="F17" i="3"/>
  <c r="G17" i="3"/>
  <c r="H17" i="3"/>
  <c r="I17" i="3"/>
  <c r="J17" i="3"/>
  <c r="C17" i="3"/>
  <c r="D16" i="3"/>
  <c r="E16" i="3"/>
  <c r="F16" i="3"/>
  <c r="G16" i="3"/>
  <c r="H16" i="3"/>
  <c r="I16" i="3"/>
  <c r="J16" i="3"/>
  <c r="C16" i="3"/>
  <c r="D15" i="3"/>
  <c r="E15" i="3"/>
  <c r="F15" i="3"/>
  <c r="G15" i="3"/>
  <c r="H15" i="3"/>
  <c r="I15" i="3"/>
  <c r="J15" i="3"/>
  <c r="C15" i="3"/>
  <c r="D14" i="3"/>
  <c r="E14" i="3"/>
  <c r="F14" i="3"/>
  <c r="G14" i="3"/>
  <c r="H14" i="3"/>
  <c r="I14" i="3"/>
  <c r="J14" i="3"/>
  <c r="C14" i="3"/>
  <c r="D13" i="3"/>
  <c r="E13" i="3"/>
  <c r="F13" i="3"/>
  <c r="G13" i="3"/>
  <c r="H13" i="3"/>
  <c r="I13" i="3"/>
  <c r="J13" i="3"/>
  <c r="C13" i="3"/>
  <c r="D12" i="3"/>
  <c r="E12" i="3"/>
  <c r="F12" i="3"/>
  <c r="G12" i="3"/>
  <c r="H12" i="3"/>
  <c r="I12" i="3"/>
  <c r="J12" i="3"/>
  <c r="C12" i="3"/>
  <c r="D11" i="3"/>
  <c r="E11" i="3"/>
  <c r="F11" i="3"/>
  <c r="G11" i="3"/>
  <c r="H11" i="3"/>
  <c r="I11" i="3"/>
  <c r="J11" i="3"/>
  <c r="C11" i="3"/>
  <c r="J10" i="3"/>
  <c r="D10" i="3"/>
  <c r="E10" i="3"/>
  <c r="C10" i="3"/>
  <c r="J7" i="3"/>
  <c r="J6" i="3"/>
  <c r="L30" i="18"/>
  <c r="K30" i="18"/>
  <c r="E15" i="2"/>
  <c r="F15" i="2"/>
  <c r="D15" i="2"/>
  <c r="J37" i="9"/>
  <c r="J36" i="9"/>
  <c r="I37" i="9"/>
  <c r="H37" i="9"/>
  <c r="C35" i="9"/>
  <c r="E36" i="2"/>
  <c r="F36" i="2"/>
  <c r="D36" i="2"/>
  <c r="E35" i="2"/>
  <c r="F35" i="2"/>
  <c r="D35" i="2"/>
  <c r="D37" i="2" s="1"/>
  <c r="E31" i="2"/>
  <c r="F31" i="2"/>
  <c r="D31" i="2"/>
  <c r="E30" i="2"/>
  <c r="F30" i="2"/>
  <c r="D30" i="2"/>
  <c r="E29" i="2"/>
  <c r="F29" i="2"/>
  <c r="D29" i="2"/>
  <c r="E26" i="2"/>
  <c r="F26" i="2"/>
  <c r="G26" i="2" s="1"/>
  <c r="H26" i="2" s="1"/>
  <c r="I26" i="2" s="1"/>
  <c r="J26" i="2" s="1"/>
  <c r="K26" i="2" s="1"/>
  <c r="D26" i="2"/>
  <c r="E25" i="2"/>
  <c r="F25" i="2"/>
  <c r="G25" i="2" s="1"/>
  <c r="H25" i="2" s="1"/>
  <c r="I25" i="2" s="1"/>
  <c r="J25" i="2" s="1"/>
  <c r="K25" i="2" s="1"/>
  <c r="D25" i="2"/>
  <c r="E24" i="2"/>
  <c r="F24" i="2"/>
  <c r="D24" i="2"/>
  <c r="E23" i="2"/>
  <c r="F23" i="2"/>
  <c r="D23" i="2"/>
  <c r="E22" i="2"/>
  <c r="F22" i="2"/>
  <c r="G22" i="2"/>
  <c r="H22" i="2"/>
  <c r="I22" i="2"/>
  <c r="J22" i="2"/>
  <c r="K22" i="2"/>
  <c r="D22" i="2"/>
  <c r="E17" i="2"/>
  <c r="F17" i="2"/>
  <c r="D17" i="2"/>
  <c r="D8" i="11"/>
  <c r="E8" i="11"/>
  <c r="N25" i="18"/>
  <c r="C8" i="11"/>
  <c r="N27" i="18"/>
  <c r="E16" i="2"/>
  <c r="F16" i="2"/>
  <c r="D16" i="2"/>
  <c r="E12" i="2"/>
  <c r="F12" i="2"/>
  <c r="D12" i="2"/>
  <c r="E11" i="2"/>
  <c r="F11" i="2"/>
  <c r="D11" i="2"/>
  <c r="E10" i="2"/>
  <c r="F10" i="2"/>
  <c r="D10" i="2"/>
  <c r="E9" i="2"/>
  <c r="F9" i="2"/>
  <c r="D9" i="2"/>
  <c r="E8" i="2"/>
  <c r="F8" i="2"/>
  <c r="D8" i="2"/>
  <c r="E7" i="2"/>
  <c r="F7" i="2"/>
  <c r="D7" i="2"/>
  <c r="K29" i="2"/>
  <c r="K23" i="2"/>
  <c r="K9" i="2"/>
  <c r="K8" i="2"/>
  <c r="K7" i="2"/>
  <c r="G32" i="9"/>
  <c r="H32" i="9" s="1"/>
  <c r="D32" i="9"/>
  <c r="E32" i="9"/>
  <c r="C32" i="9"/>
  <c r="G31" i="9"/>
  <c r="H31" i="9"/>
  <c r="I31" i="9" s="1"/>
  <c r="D31" i="9"/>
  <c r="E31" i="9"/>
  <c r="C31" i="9"/>
  <c r="G30" i="9"/>
  <c r="H30" i="9" s="1"/>
  <c r="G29" i="9"/>
  <c r="F29" i="9"/>
  <c r="F30" i="9"/>
  <c r="D30" i="9"/>
  <c r="E30" i="9"/>
  <c r="C30" i="9"/>
  <c r="D29" i="9"/>
  <c r="E29" i="9"/>
  <c r="C29" i="9"/>
  <c r="D12" i="1"/>
  <c r="E12" i="1"/>
  <c r="C12" i="1"/>
  <c r="G11" i="1"/>
  <c r="H11" i="1"/>
  <c r="I11" i="1" s="1"/>
  <c r="F11" i="1"/>
  <c r="D11" i="1"/>
  <c r="E11" i="1"/>
  <c r="C11" i="1"/>
  <c r="D17" i="1"/>
  <c r="E17" i="1"/>
  <c r="C17" i="1"/>
  <c r="D15" i="1"/>
  <c r="E15" i="1"/>
  <c r="C15" i="1"/>
  <c r="J13" i="1"/>
  <c r="F15" i="9"/>
  <c r="G17" i="9"/>
  <c r="H17" i="9" s="1"/>
  <c r="F17" i="9"/>
  <c r="F18" i="9" s="1"/>
  <c r="F19" i="9"/>
  <c r="D13" i="1"/>
  <c r="E13" i="1"/>
  <c r="C13" i="1"/>
  <c r="D10" i="1"/>
  <c r="E10" i="1"/>
  <c r="C10" i="1"/>
  <c r="C7" i="11" s="1"/>
  <c r="D8" i="1"/>
  <c r="E8" i="1"/>
  <c r="C8" i="1"/>
  <c r="G6" i="1"/>
  <c r="H6" i="1"/>
  <c r="I6" i="1"/>
  <c r="J6" i="1"/>
  <c r="F6" i="1"/>
  <c r="G9" i="9"/>
  <c r="H9" i="9"/>
  <c r="I9" i="9"/>
  <c r="J9" i="9"/>
  <c r="F9" i="9"/>
  <c r="D6" i="1"/>
  <c r="E6" i="1"/>
  <c r="C6" i="1"/>
  <c r="G5" i="1"/>
  <c r="H5" i="1"/>
  <c r="I5" i="1"/>
  <c r="J5" i="1"/>
  <c r="F5" i="1"/>
  <c r="D5" i="1"/>
  <c r="E5" i="1"/>
  <c r="C5" i="1"/>
  <c r="J16" i="9"/>
  <c r="J10" i="9"/>
  <c r="J7" i="9"/>
  <c r="J6" i="9" s="1"/>
  <c r="G6" i="9"/>
  <c r="H6" i="9" s="1"/>
  <c r="I6" i="9" s="1"/>
  <c r="F6" i="9"/>
  <c r="E7" i="9"/>
  <c r="D21" i="9"/>
  <c r="E21" i="9"/>
  <c r="C21" i="9"/>
  <c r="C19" i="9"/>
  <c r="D17" i="9"/>
  <c r="E17" i="9"/>
  <c r="C17" i="9"/>
  <c r="D16" i="9"/>
  <c r="E16" i="9"/>
  <c r="C16" i="9"/>
  <c r="D15" i="9"/>
  <c r="E15" i="9"/>
  <c r="C15" i="9"/>
  <c r="D12" i="9"/>
  <c r="E12" i="9"/>
  <c r="C12" i="9"/>
  <c r="D9" i="9"/>
  <c r="E9" i="9"/>
  <c r="C9" i="9"/>
  <c r="J24" i="3" l="1"/>
  <c r="J18" i="3"/>
  <c r="D27" i="2"/>
  <c r="D32" i="2"/>
  <c r="D33" i="2"/>
  <c r="D38" i="2" s="1"/>
  <c r="G11" i="2"/>
  <c r="H11" i="2" s="1"/>
  <c r="I11" i="2" s="1"/>
  <c r="J11" i="2" s="1"/>
  <c r="K11" i="2" s="1"/>
  <c r="I32" i="9"/>
  <c r="J32" i="9" s="1"/>
  <c r="J31" i="9"/>
  <c r="I30" i="9"/>
  <c r="J30" i="9" s="1"/>
  <c r="H29" i="9"/>
  <c r="I29" i="9" s="1"/>
  <c r="J29" i="9" s="1"/>
  <c r="J11" i="1"/>
  <c r="J7" i="1"/>
  <c r="I17" i="9"/>
  <c r="J17" i="9"/>
  <c r="J18" i="9"/>
  <c r="L12" i="17" l="1"/>
  <c r="M12" i="17"/>
  <c r="K12" i="17"/>
  <c r="L9" i="17"/>
  <c r="M9" i="17"/>
  <c r="K9" i="17"/>
  <c r="D6" i="9"/>
  <c r="E6" i="9"/>
  <c r="C6" i="9"/>
  <c r="C10" i="9" s="1"/>
  <c r="D7" i="9" l="1"/>
  <c r="E10" i="9"/>
  <c r="H29" i="2"/>
  <c r="I29" i="2"/>
  <c r="J29" i="2"/>
  <c r="G29" i="2"/>
  <c r="G16" i="2"/>
  <c r="G37" i="9"/>
  <c r="F37" i="2"/>
  <c r="C6" i="13" s="1"/>
  <c r="G35" i="2"/>
  <c r="C38" i="9"/>
  <c r="D38" i="9"/>
  <c r="E38" i="9"/>
  <c r="F35" i="9" s="1"/>
  <c r="F38" i="9" s="1"/>
  <c r="G31" i="2"/>
  <c r="E27" i="2"/>
  <c r="G24" i="2"/>
  <c r="H24" i="2" s="1"/>
  <c r="I24" i="2" s="1"/>
  <c r="J24" i="2" s="1"/>
  <c r="K24" i="2" s="1"/>
  <c r="K27" i="2" s="1"/>
  <c r="D13" i="2"/>
  <c r="E13" i="2"/>
  <c r="F13" i="2"/>
  <c r="C38" i="3"/>
  <c r="D36" i="3" s="1"/>
  <c r="C18" i="14"/>
  <c r="C24" i="9"/>
  <c r="D24" i="9"/>
  <c r="E24" i="9"/>
  <c r="D7" i="3"/>
  <c r="E7" i="11"/>
  <c r="E35" i="9" l="1"/>
  <c r="D35" i="9"/>
  <c r="D37" i="9" s="1"/>
  <c r="C37" i="9"/>
  <c r="D18" i="9"/>
  <c r="E26" i="3"/>
  <c r="F5" i="11"/>
  <c r="D26" i="3"/>
  <c r="F18" i="2"/>
  <c r="F19" i="2" s="1"/>
  <c r="D5" i="11"/>
  <c r="C26" i="3"/>
  <c r="G30" i="2"/>
  <c r="G32" i="2" s="1"/>
  <c r="H35" i="2"/>
  <c r="H31" i="2"/>
  <c r="E18" i="9"/>
  <c r="C5" i="13" s="1"/>
  <c r="G12" i="2"/>
  <c r="H12" i="2" s="1"/>
  <c r="I12" i="2" s="1"/>
  <c r="J12" i="2" s="1"/>
  <c r="K12" i="2" s="1"/>
  <c r="K13" i="2" s="1"/>
  <c r="G17" i="2"/>
  <c r="E18" i="2"/>
  <c r="E19" i="2" s="1"/>
  <c r="E37" i="2"/>
  <c r="C18" i="9"/>
  <c r="D18" i="2"/>
  <c r="D19" i="2" s="1"/>
  <c r="F32" i="2"/>
  <c r="H16" i="2"/>
  <c r="E32" i="2"/>
  <c r="E33" i="2" s="1"/>
  <c r="F27" i="2"/>
  <c r="F36" i="3"/>
  <c r="C7" i="3"/>
  <c r="D7" i="11"/>
  <c r="D7" i="1"/>
  <c r="D9" i="1" s="1"/>
  <c r="D14" i="1" s="1"/>
  <c r="E7" i="3"/>
  <c r="C13" i="9"/>
  <c r="E13" i="9"/>
  <c r="D13" i="9"/>
  <c r="C7" i="1"/>
  <c r="C9" i="1" s="1"/>
  <c r="E7" i="1"/>
  <c r="E9" i="1" s="1"/>
  <c r="E14" i="1" s="1"/>
  <c r="C19" i="14" l="1"/>
  <c r="C7" i="13"/>
  <c r="C10" i="13" s="1"/>
  <c r="D6" i="11"/>
  <c r="C14" i="1"/>
  <c r="C22" i="9" s="1"/>
  <c r="E5" i="11"/>
  <c r="E12" i="11" s="1"/>
  <c r="C16" i="1"/>
  <c r="C25" i="9" s="1"/>
  <c r="F16" i="9"/>
  <c r="H30" i="2"/>
  <c r="I30" i="2" s="1"/>
  <c r="D12" i="11"/>
  <c r="D11" i="11"/>
  <c r="F33" i="2"/>
  <c r="F38" i="2" s="1"/>
  <c r="F40" i="2" s="1"/>
  <c r="I16" i="2"/>
  <c r="E38" i="2"/>
  <c r="E40" i="2" s="1"/>
  <c r="H17" i="2"/>
  <c r="I31" i="2"/>
  <c r="F7" i="9"/>
  <c r="D10" i="9"/>
  <c r="F10" i="9" s="1"/>
  <c r="G10" i="9" s="1"/>
  <c r="H10" i="9" s="1"/>
  <c r="I10" i="9" s="1"/>
  <c r="E19" i="9"/>
  <c r="D40" i="2"/>
  <c r="I35" i="2"/>
  <c r="D19" i="9"/>
  <c r="F32" i="9"/>
  <c r="C6" i="3"/>
  <c r="C18" i="3" s="1"/>
  <c r="C9" i="13" l="1"/>
  <c r="E6" i="11"/>
  <c r="E11" i="11" s="1"/>
  <c r="E20" i="3"/>
  <c r="E24" i="3" s="1"/>
  <c r="F12" i="11"/>
  <c r="C18" i="1"/>
  <c r="C36" i="9" s="1"/>
  <c r="F11" i="11"/>
  <c r="F6" i="11" s="1"/>
  <c r="G16" i="9"/>
  <c r="G7" i="9"/>
  <c r="H7" i="9"/>
  <c r="D20" i="3"/>
  <c r="D24" i="3" s="1"/>
  <c r="H32" i="2"/>
  <c r="C20" i="3"/>
  <c r="C24" i="3" s="1"/>
  <c r="J31" i="2"/>
  <c r="J30" i="2"/>
  <c r="I32" i="2"/>
  <c r="I17" i="2"/>
  <c r="J35" i="2"/>
  <c r="H16" i="9"/>
  <c r="G18" i="9"/>
  <c r="J16" i="2"/>
  <c r="F13" i="9"/>
  <c r="F12" i="9" s="1"/>
  <c r="F8" i="1" s="1"/>
  <c r="C32" i="3"/>
  <c r="F31" i="9"/>
  <c r="K31" i="2" l="1"/>
  <c r="K35" i="2"/>
  <c r="K30" i="2"/>
  <c r="K32" i="2" s="1"/>
  <c r="K33" i="2" s="1"/>
  <c r="J32" i="2"/>
  <c r="K16" i="2"/>
  <c r="F7" i="11"/>
  <c r="F10" i="1" s="1"/>
  <c r="G12" i="11"/>
  <c r="H12" i="11" s="1"/>
  <c r="I12" i="11" s="1"/>
  <c r="J12" i="11" s="1"/>
  <c r="G11" i="11"/>
  <c r="H11" i="11" s="1"/>
  <c r="I11" i="11" s="1"/>
  <c r="J11" i="11" s="1"/>
  <c r="C34" i="3"/>
  <c r="C37" i="3" s="1"/>
  <c r="G9" i="2"/>
  <c r="G13" i="9"/>
  <c r="G12" i="9" s="1"/>
  <c r="G8" i="1" s="1"/>
  <c r="I7" i="2"/>
  <c r="I7" i="9"/>
  <c r="H7" i="2"/>
  <c r="F7" i="1"/>
  <c r="G7" i="2"/>
  <c r="G19" i="9"/>
  <c r="H19" i="9" s="1"/>
  <c r="I19" i="9" s="1"/>
  <c r="J19" i="9" s="1"/>
  <c r="J15" i="9" s="1"/>
  <c r="F13" i="1"/>
  <c r="H18" i="9"/>
  <c r="I16" i="9"/>
  <c r="I18" i="9" s="1"/>
  <c r="J17" i="2"/>
  <c r="F20" i="3"/>
  <c r="H9" i="2"/>
  <c r="H13" i="9"/>
  <c r="H12" i="9" s="1"/>
  <c r="H8" i="1" s="1"/>
  <c r="K17" i="2" l="1"/>
  <c r="F7" i="3"/>
  <c r="F12" i="1"/>
  <c r="F8" i="11"/>
  <c r="F24" i="3"/>
  <c r="I13" i="9"/>
  <c r="H15" i="9"/>
  <c r="H13" i="1" s="1"/>
  <c r="I15" i="9"/>
  <c r="I13" i="1" s="1"/>
  <c r="J7" i="2"/>
  <c r="G8" i="2"/>
  <c r="F10" i="3" s="1"/>
  <c r="G23" i="2"/>
  <c r="G15" i="9"/>
  <c r="G13" i="1" s="1"/>
  <c r="I7" i="1"/>
  <c r="G7" i="1"/>
  <c r="G9" i="1" s="1"/>
  <c r="H8" i="2"/>
  <c r="H23" i="2"/>
  <c r="F9" i="1"/>
  <c r="F14" i="1" s="1"/>
  <c r="G5" i="11"/>
  <c r="G15" i="2"/>
  <c r="G18" i="2" s="1"/>
  <c r="G27" i="2" l="1"/>
  <c r="G33" i="2" s="1"/>
  <c r="J13" i="9"/>
  <c r="J12" i="9" s="1"/>
  <c r="J8" i="1" s="1"/>
  <c r="J9" i="1" s="1"/>
  <c r="I12" i="9"/>
  <c r="I8" i="1" s="1"/>
  <c r="I9" i="1" s="1"/>
  <c r="G10" i="3"/>
  <c r="H27" i="2"/>
  <c r="H33" i="2" s="1"/>
  <c r="G7" i="11"/>
  <c r="G10" i="1" s="1"/>
  <c r="G6" i="11"/>
  <c r="G20" i="3" s="1"/>
  <c r="G24" i="3" s="1"/>
  <c r="J9" i="2"/>
  <c r="I9" i="2"/>
  <c r="J8" i="2"/>
  <c r="J23" i="2"/>
  <c r="H7" i="1"/>
  <c r="H9" i="1" s="1"/>
  <c r="I8" i="2"/>
  <c r="I23" i="2"/>
  <c r="G7" i="3" l="1"/>
  <c r="G12" i="1"/>
  <c r="H10" i="3"/>
  <c r="I10" i="3"/>
  <c r="G8" i="11"/>
  <c r="I27" i="2"/>
  <c r="I33" i="2" s="1"/>
  <c r="G14" i="1"/>
  <c r="J27" i="2"/>
  <c r="J33" i="2" s="1"/>
  <c r="H5" i="11" l="1"/>
  <c r="H15" i="2"/>
  <c r="H18" i="2" s="1"/>
  <c r="H6" i="11" l="1"/>
  <c r="H7" i="11"/>
  <c r="H10" i="1" s="1"/>
  <c r="H12" i="1" s="1"/>
  <c r="H8" i="11" l="1"/>
  <c r="H20" i="3"/>
  <c r="H24" i="3" s="1"/>
  <c r="H7" i="3"/>
  <c r="H14" i="1"/>
  <c r="I5" i="11" l="1"/>
  <c r="I15" i="2"/>
  <c r="I18" i="2" s="1"/>
  <c r="I6" i="11" l="1"/>
  <c r="I7" i="11"/>
  <c r="I10" i="1" s="1"/>
  <c r="I12" i="1" s="1"/>
  <c r="I7" i="3" l="1"/>
  <c r="I14" i="1"/>
  <c r="I8" i="11"/>
  <c r="I20" i="3"/>
  <c r="I24" i="3" s="1"/>
  <c r="J15" i="2" l="1"/>
  <c r="J18" i="2" s="1"/>
  <c r="J5" i="11"/>
  <c r="J6" i="11" l="1"/>
  <c r="J7" i="11"/>
  <c r="J10" i="1" s="1"/>
  <c r="J14" i="1" l="1"/>
  <c r="J12" i="1"/>
  <c r="J8" i="11"/>
  <c r="K15" i="2" s="1"/>
  <c r="K18" i="2" s="1"/>
  <c r="K19" i="2" s="1"/>
  <c r="D22" i="9" l="1"/>
  <c r="D16" i="1"/>
  <c r="D25" i="9" s="1"/>
  <c r="F25" i="9" s="1"/>
  <c r="G25" i="9" s="1"/>
  <c r="H25" i="9" s="1"/>
  <c r="I25" i="9" s="1"/>
  <c r="J25" i="9" s="1"/>
  <c r="E22" i="9"/>
  <c r="E16" i="1"/>
  <c r="E25" i="9" s="1"/>
  <c r="E6" i="3"/>
  <c r="E18" i="3" s="1"/>
  <c r="F22" i="9" l="1"/>
  <c r="D18" i="1"/>
  <c r="D36" i="9" s="1"/>
  <c r="D32" i="3"/>
  <c r="D6" i="3"/>
  <c r="D18" i="3" s="1"/>
  <c r="E18" i="1"/>
  <c r="G22" i="9" l="1"/>
  <c r="F15" i="1"/>
  <c r="F16" i="1" s="1"/>
  <c r="D34" i="3"/>
  <c r="D37" i="3" s="1"/>
  <c r="E36" i="9"/>
  <c r="E37" i="9" s="1"/>
  <c r="E32" i="3"/>
  <c r="E34" i="3" s="1"/>
  <c r="E37" i="3" s="1"/>
  <c r="F17" i="1" l="1"/>
  <c r="F6" i="3"/>
  <c r="H22" i="9"/>
  <c r="C14" i="13"/>
  <c r="G15" i="1"/>
  <c r="G16" i="1" s="1"/>
  <c r="C15" i="13" l="1"/>
  <c r="C9" i="14" s="1"/>
  <c r="G17" i="1"/>
  <c r="G26" i="3" s="1"/>
  <c r="G32" i="3" s="1"/>
  <c r="G6" i="3"/>
  <c r="I22" i="9"/>
  <c r="H15" i="1"/>
  <c r="H16" i="1" s="1"/>
  <c r="F26" i="3"/>
  <c r="F32" i="3" s="1"/>
  <c r="F18" i="1"/>
  <c r="F36" i="9" s="1"/>
  <c r="I7" i="14" l="1"/>
  <c r="H17" i="1"/>
  <c r="H26" i="3" s="1"/>
  <c r="H32" i="3" s="1"/>
  <c r="H6" i="3"/>
  <c r="H18" i="1"/>
  <c r="H36" i="9" s="1"/>
  <c r="J22" i="9"/>
  <c r="J15" i="1" s="1"/>
  <c r="J16" i="1" s="1"/>
  <c r="I15" i="1"/>
  <c r="I16" i="1" s="1"/>
  <c r="G18" i="1"/>
  <c r="G36" i="9" s="1"/>
  <c r="G36" i="2"/>
  <c r="G37" i="2" s="1"/>
  <c r="G38" i="2" s="1"/>
  <c r="G35" i="9"/>
  <c r="G38" i="9" l="1"/>
  <c r="H35" i="9" s="1"/>
  <c r="H38" i="9" s="1"/>
  <c r="I35" i="9" s="1"/>
  <c r="I17" i="1"/>
  <c r="I26" i="3" s="1"/>
  <c r="I32" i="3" s="1"/>
  <c r="I6" i="3"/>
  <c r="J17" i="1"/>
  <c r="J18" i="1" s="1"/>
  <c r="H36" i="2" l="1"/>
  <c r="H37" i="2" s="1"/>
  <c r="H38" i="2" s="1"/>
  <c r="I18" i="1"/>
  <c r="I36" i="9" s="1"/>
  <c r="I36" i="2"/>
  <c r="I37" i="2" s="1"/>
  <c r="I38" i="2" s="1"/>
  <c r="I38" i="9"/>
  <c r="J36" i="2" l="1"/>
  <c r="J37" i="2" s="1"/>
  <c r="J38" i="2" s="1"/>
  <c r="J35" i="9"/>
  <c r="J38" i="9" s="1"/>
  <c r="K36" i="2" s="1"/>
  <c r="K37" i="2" s="1"/>
  <c r="K38" i="2" s="1"/>
  <c r="K40" i="2" s="1"/>
  <c r="I18" i="3"/>
  <c r="H5" i="14" s="1"/>
  <c r="H18" i="3"/>
  <c r="G5" i="14" s="1"/>
  <c r="G7" i="14" s="1"/>
  <c r="G18" i="3"/>
  <c r="G34" i="3" s="1"/>
  <c r="I34" i="3" l="1"/>
  <c r="F5" i="14"/>
  <c r="F7" i="14" s="1"/>
  <c r="C13" i="14"/>
  <c r="C14" i="14" s="1"/>
  <c r="H7" i="14"/>
  <c r="H34" i="3"/>
  <c r="F18" i="3"/>
  <c r="E5" i="14" s="1"/>
  <c r="E7" i="14" l="1"/>
  <c r="C10" i="14" s="1"/>
  <c r="C16" i="14" s="1"/>
  <c r="F34" i="3"/>
  <c r="C21" i="14" l="1"/>
  <c r="F37" i="3"/>
  <c r="F38" i="3"/>
  <c r="G36" i="3" s="1"/>
  <c r="G10" i="2"/>
  <c r="C23" i="14" l="1"/>
  <c r="F12" i="14" s="1"/>
  <c r="G13" i="2"/>
  <c r="G19" i="2" s="1"/>
  <c r="G40" i="2" s="1"/>
  <c r="H10" i="2"/>
  <c r="G38" i="3"/>
  <c r="H36" i="3" s="1"/>
  <c r="G37" i="3"/>
  <c r="H37" i="3" l="1"/>
  <c r="H38" i="3"/>
  <c r="I36" i="3" s="1"/>
  <c r="H13" i="2"/>
  <c r="H19" i="2" s="1"/>
  <c r="H40" i="2" s="1"/>
  <c r="I10" i="2"/>
  <c r="I13" i="2" l="1"/>
  <c r="I19" i="2" s="1"/>
  <c r="I40" i="2" s="1"/>
  <c r="J10" i="2"/>
  <c r="J13" i="2" s="1"/>
  <c r="J19" i="2" s="1"/>
  <c r="J40" i="2" s="1"/>
  <c r="I37" i="3"/>
  <c r="I38"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B05609-A3F8-466B-8A92-2549E4A212CB}"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<sst xmlns="http://schemas.openxmlformats.org/spreadsheetml/2006/main" count="480" uniqueCount="375">
  <si>
    <t>All figures are in Rs. ( Crores)</t>
  </si>
  <si>
    <t>Financial Year</t>
  </si>
  <si>
    <t>2023A</t>
  </si>
  <si>
    <t>2024A</t>
  </si>
  <si>
    <t>2026E</t>
  </si>
  <si>
    <t>2027E</t>
  </si>
  <si>
    <t>2028E</t>
  </si>
  <si>
    <t>2029E</t>
  </si>
  <si>
    <t>Total Revenue</t>
  </si>
  <si>
    <t>Cost of Goods Sold</t>
  </si>
  <si>
    <t>Gross Profit</t>
  </si>
  <si>
    <t>Operating Expenses</t>
  </si>
  <si>
    <t>EBITDA</t>
  </si>
  <si>
    <t>Depreciation &amp; Amortisation</t>
  </si>
  <si>
    <t>EBIT</t>
  </si>
  <si>
    <t>Interest</t>
  </si>
  <si>
    <t>EBT</t>
  </si>
  <si>
    <t>Tax</t>
  </si>
  <si>
    <t>EAT</t>
  </si>
  <si>
    <t>Dividends</t>
  </si>
  <si>
    <t>Retained earnings</t>
  </si>
  <si>
    <t>Assets</t>
  </si>
  <si>
    <t>Current Assets</t>
  </si>
  <si>
    <t>Total Current Assets</t>
  </si>
  <si>
    <t>Non-Current Assets</t>
  </si>
  <si>
    <t>Total Non-Current Assets</t>
  </si>
  <si>
    <t>Total Assets</t>
  </si>
  <si>
    <t>Liabilities</t>
  </si>
  <si>
    <t>Current Liabilities</t>
  </si>
  <si>
    <t>Total Current Liabilities</t>
  </si>
  <si>
    <t>Non-Current Liability</t>
  </si>
  <si>
    <t>Total Non-Current Liability</t>
  </si>
  <si>
    <t>Total Liability</t>
  </si>
  <si>
    <t>Equity</t>
  </si>
  <si>
    <t>Total Equity</t>
  </si>
  <si>
    <t>Total Liabaility &amp; Equity</t>
  </si>
  <si>
    <t>Balance Check</t>
  </si>
  <si>
    <t>Cash Flow from Operating Activity</t>
  </si>
  <si>
    <t>Cash Inflow ( Outflow ) from Operations</t>
  </si>
  <si>
    <t>Cash Flow from Investing Activity</t>
  </si>
  <si>
    <t>Cash Inflow ( Outflow ) from Investing Activity</t>
  </si>
  <si>
    <t>Cash Flow from Financing Activity</t>
  </si>
  <si>
    <t>Cash Inflow ( Outflow ) from Financing Activity</t>
  </si>
  <si>
    <t>Net Cash Flow from All Activities ( O+I+F)</t>
  </si>
  <si>
    <t>Cash &amp; Cash Equivalents at Beginning of Year</t>
  </si>
  <si>
    <t xml:space="preserve">Closing Cash </t>
  </si>
  <si>
    <t>Other Expenses</t>
  </si>
  <si>
    <t>Equity Share Capital</t>
  </si>
  <si>
    <t>Reserves and Surplus</t>
  </si>
  <si>
    <t>Long Term Borrowings</t>
  </si>
  <si>
    <t>Other Long Term Liabilities</t>
  </si>
  <si>
    <t>Short Term Borrowings</t>
  </si>
  <si>
    <t>Trade Payables</t>
  </si>
  <si>
    <t>Other Current Liabilities</t>
  </si>
  <si>
    <t>Intangible Assets</t>
  </si>
  <si>
    <t>Capital Work-In-Progress</t>
  </si>
  <si>
    <t>Other Non-Current Assets</t>
  </si>
  <si>
    <t>Current Investments</t>
  </si>
  <si>
    <t>Inventories</t>
  </si>
  <si>
    <t>Trade Receivables</t>
  </si>
  <si>
    <t>Cash And Cash Equivalents</t>
  </si>
  <si>
    <t>Short Term Loans And Advances</t>
  </si>
  <si>
    <t>Other Current Assets</t>
  </si>
  <si>
    <t>Cash from Operating Activity -</t>
  </si>
  <si>
    <t>Profit from operations</t>
  </si>
  <si>
    <t>Receivables</t>
  </si>
  <si>
    <t>Inventory</t>
  </si>
  <si>
    <t>Payables</t>
  </si>
  <si>
    <t>Loans Advances</t>
  </si>
  <si>
    <t>Other WC items</t>
  </si>
  <si>
    <t>Working capital changes</t>
  </si>
  <si>
    <t>Direct taxes</t>
  </si>
  <si>
    <t>Cash from Investing Activity -</t>
  </si>
  <si>
    <t>Fixed assets purchased</t>
  </si>
  <si>
    <t>Fixed assets sold</t>
  </si>
  <si>
    <t>Investments purchased</t>
  </si>
  <si>
    <t>Investments sold</t>
  </si>
  <si>
    <t>Interest received</t>
  </si>
  <si>
    <t>Dividends received</t>
  </si>
  <si>
    <t>Investment in group cos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</si>
  <si>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</si>
  <si>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</si>
  <si>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</si>
  <si>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</si>
  <si>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</si>
  <si>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</si>
  <si>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</si>
  <si>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</si>
  <si>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</si>
  <si>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Net Cash Flow</t>
  </si>
  <si>
    <t>Other Income</t>
  </si>
  <si>
    <t>2025A</t>
  </si>
  <si>
    <t>Change in Inventory</t>
  </si>
  <si>
    <t>IA</t>
  </si>
  <si>
    <t>CWIP</t>
  </si>
  <si>
    <t>FA</t>
  </si>
  <si>
    <t xml:space="preserve">Net Profit </t>
  </si>
  <si>
    <t>(add ) Depreciation &amp; Amortisation</t>
  </si>
  <si>
    <t>OA</t>
  </si>
  <si>
    <t>End of CFS</t>
  </si>
  <si>
    <t>Adjst with Dep ( Capex )</t>
  </si>
  <si>
    <t>CA</t>
  </si>
  <si>
    <t>FA ( adjustement )</t>
  </si>
  <si>
    <t>Cash Flow before Working Capital Changes ( Change in )</t>
  </si>
  <si>
    <t>CL</t>
  </si>
  <si>
    <t>IS</t>
  </si>
  <si>
    <t xml:space="preserve">Income Statement  Assumptions </t>
  </si>
  <si>
    <t xml:space="preserve">Revenue </t>
  </si>
  <si>
    <t>Revenue growth ( Y.O.Y)</t>
  </si>
  <si>
    <t xml:space="preserve">Cost of Goods Sold </t>
  </si>
  <si>
    <t xml:space="preserve">As a % of Revenue </t>
  </si>
  <si>
    <t>Operating Expenditure</t>
  </si>
  <si>
    <t>Interest Expenses</t>
  </si>
  <si>
    <t xml:space="preserve">Short Term Burrowings </t>
  </si>
  <si>
    <t xml:space="preserve">Long  Term Burrowings </t>
  </si>
  <si>
    <t xml:space="preserve">Total Burrowings </t>
  </si>
  <si>
    <t xml:space="preserve">Interest Rate </t>
  </si>
  <si>
    <t>Tax Expenses</t>
  </si>
  <si>
    <t>As a % of EBT</t>
  </si>
  <si>
    <t xml:space="preserve">Dividends Paid </t>
  </si>
  <si>
    <t>As a % of PAT</t>
  </si>
  <si>
    <t xml:space="preserve">Balance Sheet Assumptions </t>
  </si>
  <si>
    <t xml:space="preserve">Working Capital </t>
  </si>
  <si>
    <t>Current Investments ( % of revenue )</t>
  </si>
  <si>
    <t>Inventories ( % of COGS)</t>
  </si>
  <si>
    <t>Trade Receivables( % of revenue )</t>
  </si>
  <si>
    <t>Trade Payables( % of COGS)</t>
  </si>
  <si>
    <t>Reserve &amp; Surplus ( Adjustment)</t>
  </si>
  <si>
    <t xml:space="preserve">Opening Reserve and Surplus </t>
  </si>
  <si>
    <t xml:space="preserve">Add Retained Earnings </t>
  </si>
  <si>
    <t>Adjustment Figure</t>
  </si>
  <si>
    <t>Closing Reserve and Surplus</t>
  </si>
  <si>
    <t>Capex Schedule</t>
  </si>
  <si>
    <t xml:space="preserve">Opening Tangible &amp; Intangible Assets </t>
  </si>
  <si>
    <t>Add Capex ( for both Tangible &amp; Intangible)</t>
  </si>
  <si>
    <t>Minus Depreciation &amp; Amortisation</t>
  </si>
  <si>
    <t>Closing Tangible &amp; Intangible Assets</t>
  </si>
  <si>
    <t>Capex in both Tangible &amp; Intangible Assets</t>
  </si>
  <si>
    <t>Divident</t>
  </si>
  <si>
    <t>Dep %</t>
  </si>
  <si>
    <t>Capex %</t>
  </si>
  <si>
    <t>Weighted Average Cost Of Capital</t>
  </si>
  <si>
    <t>Debt</t>
  </si>
  <si>
    <t>Total Capital</t>
  </si>
  <si>
    <t>Weight</t>
  </si>
  <si>
    <t>% of Debt</t>
  </si>
  <si>
    <t>% of Equity</t>
  </si>
  <si>
    <t>Cost of Debt</t>
  </si>
  <si>
    <t>Interest rate</t>
  </si>
  <si>
    <t>Tax Rate</t>
  </si>
  <si>
    <t>After tax cost of debt</t>
  </si>
  <si>
    <t>Cost of Equity</t>
  </si>
  <si>
    <t>Beta (B)</t>
  </si>
  <si>
    <t>Risk free rate (Rf)</t>
  </si>
  <si>
    <t>Market Return (Rm)</t>
  </si>
  <si>
    <t>Discounted Cash Flow Model</t>
  </si>
  <si>
    <t>Free Cash Flow</t>
  </si>
  <si>
    <t>Projection Year</t>
  </si>
  <si>
    <t>PV of free cash flow</t>
  </si>
  <si>
    <t>WACC</t>
  </si>
  <si>
    <t>Discount rate (WACC)</t>
  </si>
  <si>
    <t>Sum of PV of FCF</t>
  </si>
  <si>
    <t>Enterprise Value (EV)</t>
  </si>
  <si>
    <t>PV of TV</t>
  </si>
  <si>
    <t>Terminal  Value</t>
  </si>
  <si>
    <t>Terminal Growth Rate (g)</t>
  </si>
  <si>
    <t>Cash &amp; Equivalent</t>
  </si>
  <si>
    <t>Equity Value</t>
  </si>
  <si>
    <t>No. of Equity Shares</t>
  </si>
  <si>
    <t>Value per Share</t>
  </si>
  <si>
    <t>2030E</t>
  </si>
  <si>
    <t>Sales -</t>
  </si>
  <si>
    <t>Sales Growth %</t>
  </si>
  <si>
    <t>Operating Profit</t>
  </si>
  <si>
    <t>OPM %</t>
  </si>
  <si>
    <t>Depreciation</t>
  </si>
  <si>
    <t>Profit before tax</t>
  </si>
  <si>
    <t>Tax %</t>
  </si>
  <si>
    <t>Net Profit +</t>
  </si>
  <si>
    <t>Equity Capital</t>
  </si>
  <si>
    <t>Reserves</t>
  </si>
  <si>
    <t>Borrowings -</t>
  </si>
  <si>
    <t>Long term Borrowings</t>
  </si>
  <si>
    <t>Short term Borrowings</t>
  </si>
  <si>
    <t>Lease Liabilities</t>
  </si>
  <si>
    <t>Other Borrowings</t>
  </si>
  <si>
    <t>Other Liabilities -</t>
  </si>
  <si>
    <t>Non controlling int</t>
  </si>
  <si>
    <t>Advance from Customers</t>
  </si>
  <si>
    <t>Other liability items</t>
  </si>
  <si>
    <t>Total Liabilities</t>
  </si>
  <si>
    <t>Fixed Assets -</t>
  </si>
  <si>
    <t>Land</t>
  </si>
  <si>
    <t>Building</t>
  </si>
  <si>
    <t>Plant Machinery</t>
  </si>
  <si>
    <t>Equipments</t>
  </si>
  <si>
    <t>Computers</t>
  </si>
  <si>
    <t>Furniture n fittings</t>
  </si>
  <si>
    <t>Railway sidings</t>
  </si>
  <si>
    <t>Vehicles</t>
  </si>
  <si>
    <t>Other fixed assets</t>
  </si>
  <si>
    <t>Gross Block</t>
  </si>
  <si>
    <t>Accumulated Depreciation</t>
  </si>
  <si>
    <t>Investments</t>
  </si>
  <si>
    <t>Other Assets -</t>
  </si>
  <si>
    <t>Trade receivables +</t>
  </si>
  <si>
    <t>Cash Equivalents</t>
  </si>
  <si>
    <t>Loans n Advances</t>
  </si>
  <si>
    <t>Other asset items</t>
  </si>
  <si>
    <t>Share application money</t>
  </si>
  <si>
    <t>CFO/OP</t>
  </si>
  <si>
    <t>Expenses -</t>
  </si>
  <si>
    <t>Material Cost % +</t>
  </si>
  <si>
    <t>Manufacturing Cost %</t>
  </si>
  <si>
    <t>Employee Cost %</t>
  </si>
  <si>
    <t>Other Cost %</t>
  </si>
  <si>
    <t>Other Income -</t>
  </si>
  <si>
    <t>Exceptional items</t>
  </si>
  <si>
    <t>Other income normal</t>
  </si>
  <si>
    <t>EPS in Rs</t>
  </si>
  <si>
    <t>Dividend Payout %</t>
  </si>
  <si>
    <t>COGS %</t>
  </si>
  <si>
    <t>Report Date</t>
  </si>
  <si>
    <t>Sales</t>
  </si>
  <si>
    <t>Raw Material Cost</t>
  </si>
  <si>
    <t>Power and Fuel</t>
  </si>
  <si>
    <t>Other Mfr. Exp</t>
  </si>
  <si>
    <t>Employee Cost</t>
  </si>
  <si>
    <t>Selling and admin</t>
  </si>
  <si>
    <t>Net profit</t>
  </si>
  <si>
    <t>Dividend Amount</t>
  </si>
  <si>
    <t>-</t>
  </si>
  <si>
    <t>Sensitivity Analysis</t>
  </si>
  <si>
    <t>Rate</t>
  </si>
  <si>
    <t>Income Statement for Titagarh Rail Systems</t>
  </si>
  <si>
    <t>Balance Sheet of Titagarh Rail Systems</t>
  </si>
  <si>
    <t>Cash Flow Statement for Titagarh Rail Systems ( Indirect Method)</t>
  </si>
  <si>
    <t>Assumptions of Titagarh Rail Systems</t>
  </si>
  <si>
    <t>Date</t>
  </si>
  <si>
    <t>Adj Close </t>
  </si>
  <si>
    <t>Aug 4, 2026</t>
  </si>
  <si>
    <t>Aug 3, 2026</t>
  </si>
  <si>
    <t>Jul 27, 2026</t>
  </si>
  <si>
    <t>Jul 20, 2026</t>
  </si>
  <si>
    <t>Jul 13, 2026</t>
  </si>
  <si>
    <t>Jul 6, 2026</t>
  </si>
  <si>
    <t>Jun 29, 2026</t>
  </si>
  <si>
    <t>Jun 22, 2026</t>
  </si>
  <si>
    <t>Jun 15, 2026</t>
  </si>
  <si>
    <t>Jun 8, 2026</t>
  </si>
  <si>
    <t>Jun 1, 2026</t>
  </si>
  <si>
    <t>May 25, 2026</t>
  </si>
  <si>
    <t>May 18, 2026</t>
  </si>
  <si>
    <t>May 11, 2026</t>
  </si>
  <si>
    <t>May 4, 2026</t>
  </si>
  <si>
    <t>Apr 27, 2026</t>
  </si>
  <si>
    <t>Apr 20, 2026</t>
  </si>
  <si>
    <t>Apr 13, 2026</t>
  </si>
  <si>
    <t>Apr 6, 2026</t>
  </si>
  <si>
    <t>Mar 30, 2026</t>
  </si>
  <si>
    <t>Mar 23, 2026</t>
  </si>
  <si>
    <t>Mar 16, 2026</t>
  </si>
  <si>
    <t>Mar 9, 2026</t>
  </si>
  <si>
    <t>Mar 2, 2026</t>
  </si>
  <si>
    <t>Feb 23, 2026</t>
  </si>
  <si>
    <t>Feb 16, 2026</t>
  </si>
  <si>
    <t>Feb 9, 2026</t>
  </si>
  <si>
    <t>Feb 2, 2026</t>
  </si>
  <si>
    <t>Jan 19, 2026</t>
  </si>
  <si>
    <t>Jan 12, 2026</t>
  </si>
  <si>
    <t>Jan 5, 2026</t>
  </si>
  <si>
    <t>Dec 29, 2025</t>
  </si>
  <si>
    <t>Dec 22, 2025</t>
  </si>
  <si>
    <t>Dec 15, 2025</t>
  </si>
  <si>
    <t>Dec 8, 2025</t>
  </si>
  <si>
    <t>Dec 1, 2025</t>
  </si>
  <si>
    <t>Nov 24, 2025</t>
  </si>
  <si>
    <t>Nov 17, 2025</t>
  </si>
  <si>
    <t>Nov 10, 2025</t>
  </si>
  <si>
    <t>Nov 3, 2025</t>
  </si>
  <si>
    <t>Oct 27, 2025</t>
  </si>
  <si>
    <t>Oct 20, 2025</t>
  </si>
  <si>
    <t>Oct 13, 2025</t>
  </si>
  <si>
    <t>Oct 6, 2025</t>
  </si>
  <si>
    <t>Sep 29, 2025</t>
  </si>
  <si>
    <t>Sep 22, 2025</t>
  </si>
  <si>
    <t>Sep 15, 2025</t>
  </si>
  <si>
    <t>Sep 8, 2025</t>
  </si>
  <si>
    <t>Sep 1, 2025</t>
  </si>
  <si>
    <t>Aug 25, 2025</t>
  </si>
  <si>
    <t>Aug 18, 2025</t>
  </si>
  <si>
    <t>Aug 11, 2025</t>
  </si>
  <si>
    <t>Aug 4, 2025</t>
  </si>
  <si>
    <t>Jul 28, 2025</t>
  </si>
  <si>
    <t>Jul 21, 2025</t>
  </si>
  <si>
    <t>Jul 14, 2025</t>
  </si>
  <si>
    <t>Jul 7, 2025</t>
  </si>
  <si>
    <t>Jun 30, 2025</t>
  </si>
  <si>
    <t>Jun 23, 2025</t>
  </si>
  <si>
    <t>Jun 16, 2025</t>
  </si>
  <si>
    <t>Jun 9, 2025</t>
  </si>
  <si>
    <t>Jun 2, 2025</t>
  </si>
  <si>
    <t>May 26, 2025</t>
  </si>
  <si>
    <t>May 19, 2025</t>
  </si>
  <si>
    <t>May 12, 2025</t>
  </si>
  <si>
    <t>May 5, 2025</t>
  </si>
  <si>
    <t>Apr 28, 2025</t>
  </si>
  <si>
    <t>Apr 21, 2025</t>
  </si>
  <si>
    <t>Apr 7, 2025</t>
  </si>
  <si>
    <t>Mar 24, 2025</t>
  </si>
  <si>
    <t>Mar 17, 2025</t>
  </si>
  <si>
    <t>Mar 10, 2025</t>
  </si>
  <si>
    <t>Mar 3, 2025</t>
  </si>
  <si>
    <t>Feb 24, 2025</t>
  </si>
  <si>
    <t>Feb 17, 2025</t>
  </si>
  <si>
    <t>Feb 10, 2025</t>
  </si>
  <si>
    <t>Feb 3, 2025</t>
  </si>
  <si>
    <t>Jan 27, 2025</t>
  </si>
  <si>
    <t>Jan 20, 2025</t>
  </si>
  <si>
    <t>Jan 13, 2025</t>
  </si>
  <si>
    <t>Jan 6, 2025</t>
  </si>
  <si>
    <t>Dec 30, 2024</t>
  </si>
  <si>
    <t>Dec 23, 2024</t>
  </si>
  <si>
    <t>Dec 16, 2024</t>
  </si>
  <si>
    <t>Dec 9, 2024</t>
  </si>
  <si>
    <t>Dec 2, 2024</t>
  </si>
  <si>
    <t>Nov 25, 2024</t>
  </si>
  <si>
    <t>Nov 18, 2024</t>
  </si>
  <si>
    <t>Nov 11, 2024</t>
  </si>
  <si>
    <t>Nov 4, 2024</t>
  </si>
  <si>
    <t>Oct 28, 2024</t>
  </si>
  <si>
    <t>Oct 21, 2024</t>
  </si>
  <si>
    <t>Oct 14, 2024</t>
  </si>
  <si>
    <t>Oct 7, 2024</t>
  </si>
  <si>
    <t>Sep 30, 2024</t>
  </si>
  <si>
    <t>Sep 23, 2024</t>
  </si>
  <si>
    <t>Sep 16, 2024</t>
  </si>
  <si>
    <t>Sep 9, 2024</t>
  </si>
  <si>
    <t>Sep 2, 2024</t>
  </si>
  <si>
    <t>Aug 26, 2024</t>
  </si>
  <si>
    <t>Aug 19, 2024</t>
  </si>
  <si>
    <t>Aug 12, 2024</t>
  </si>
  <si>
    <t>Aug 5, 2024</t>
  </si>
  <si>
    <t>Growth Rate</t>
  </si>
  <si>
    <t>Regression Beta 2 years Weekly</t>
  </si>
  <si>
    <t>Titagarh Rail Systems</t>
  </si>
  <si>
    <t>NIFTY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</si>
  <si>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</si>
  <si>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</si>
  <si>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</si>
  <si>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</si>
  <si>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</si>
  <si>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</si>
  <si>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</si>
  <si>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</si>
  <si>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</si>
  <si>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</si>
  <si>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</si>
  <si>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</si>
  <si>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</si>
  <si>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</si>
  <si>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</si>
  <si>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</si>
  <si>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</si>
  <si>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</si>
  <si>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</si>
  <si>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</si>
  <si>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</si>
  <si>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</si>
  <si>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</si>
  <si>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</si>
  <si>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</si>
  <si>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Jan 26, 2026</t>
  </si>
  <si>
    <t>Apr 14, 2025</t>
  </si>
  <si>
    <t>Mar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</si>
</sst>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 #,##0;[Red]&quot;₹&quot;\ \-#,##0"/>
    <numFmt numFmtId="8" formatCode="&quot;₹&quot;\ #,##0.00;[Red]&quot;₹&quot;\ \-#,##0.00"/>
    <numFmt numFmtId="43" formatCode="_ * #,##0.00_ ;_ * \-#,##0.00_ ;_ * &quot;-&quot;??_ ;_ @_ "/>
    <numFmt numFmtId="164" formatCode="0.0%"/>
    <numFmt numFmtId="165" formatCode="[$-409]mmm\-yy;@"/>
    <numFmt numFmtId="166" formatCode="0.0"/>
  </numFmts>
  <fonts count="33" x14ac:knownFonts="1">
    <font>
      <sz val="11"/>
      <color theme="1"/>
      <name val="Calibri"/>
      <scheme val="minor"/>
    </font>
    <font>
      <sz val="11"/>
      <color theme="1"/>
      <name val="Calibri"/>
      <family val="2"/>
      <scheme val="minor"/>
    </font>
    <font>
      <sz val="11"/>
      <color theme="1"/>
      <name val="Calibri"/>
      <family val="2"/>
      <scheme val="minor"/>
    </font>
    <font>
      <b/>
      <sz val="16"/>
      <color rgb="FF002060"/>
      <name val="Calibri"/>
    </font>
    <font>
      <sz val="11"/>
      <color rgb="FF000000"/>
      <name val="Calibri"/>
    </font>
    <font>
      <i/>
      <sz val="11"/>
      <color rgb="FF2F75B5"/>
      <name val="Calibri"/>
    </font>
    <font>
      <b/>
      <sz val="11"/>
      <color rgb="FFFFFFFF"/>
      <name val="Calibri"/>
    </font>
    <font>
      <b/>
      <sz val="11"/>
      <color rgb="FF0070C0"/>
      <name val="Calibri"/>
    </font>
    <font>
      <b/>
      <sz val="11"/>
      <color rgb="FF000000"/>
      <name val="Calibri"/>
    </font>
    <font>
      <i/>
      <sz val="11"/>
      <color rgb="FF375623"/>
      <name val="Calibri"/>
    </font>
    <font>
      <b/>
      <sz val="11"/>
      <color rgb="FF375623"/>
      <name val="Calibri"/>
    </font>
    <font>
      <b/>
      <sz val="11"/>
      <color theme="1"/>
      <name val="Calibri"/>
      <scheme val="minor"/>
    </font>
    <font>
      <sz val="11"/>
      <color theme="1"/>
      <name val="Calibri"/>
      <scheme val="minor"/>
    </font>
    <font>
      <b/>
      <sz val="11"/>
      <color theme="1"/>
      <name val="Calibri"/>
      <family val="2"/>
      <scheme val="minor"/>
    </font>
    <font>
      <b/>
      <sz val="11"/>
      <color rgb="FFFFFFFF"/>
      <name val="Calibri"/>
      <family val="2"/>
    </font>
    <font>
      <sz val="11"/>
      <color rgb="FF000000"/>
      <name val="Calibri"/>
      <family val="2"/>
    </font>
    <font>
      <b/>
      <sz val="11"/>
      <color rgb="FF000000"/>
      <name val="Calibri"/>
      <family val="2"/>
    </font>
    <font>
      <b/>
      <sz val="11"/>
      <color rgb="FF0070C0"/>
      <name val="Calibri"/>
      <family val="2"/>
      <scheme val="minor"/>
    </font>
    <font>
      <i/>
      <sz val="10"/>
      <color theme="9" tint="-0.499984740745262"/>
      <name val="Calibri"/>
      <family val="2"/>
      <scheme val="minor"/>
    </font>
    <font>
      <b/>
      <sz val="11"/>
      <color theme="9" tint="-0.499984740745262"/>
      <name val="Calibri"/>
      <family val="2"/>
      <scheme val="minor"/>
    </font>
    <font>
      <b/>
      <sz val="16"/>
      <color rgb="FF002060"/>
      <name val="Calibri"/>
      <family val="2"/>
    </font>
    <font>
      <sz val="11"/>
      <color rgb="FFC00000"/>
      <name val="Calibri"/>
      <family val="2"/>
    </font>
    <font>
      <sz val="11"/>
      <color theme="8"/>
      <name val="Calibri"/>
      <family val="2"/>
      <scheme val="minor"/>
    </font>
    <font>
      <b/>
      <sz val="11"/>
      <color theme="0"/>
      <name val="Calibri"/>
      <family val="2"/>
      <scheme val="minor"/>
    </font>
    <font>
      <b/>
      <sz val="11"/>
      <color rgb="FFFFFFFF"/>
      <name val="Calibri"/>
      <family val="2"/>
      <scheme val="minor"/>
    </font>
    <font>
      <b/>
      <sz val="11"/>
      <color rgb="FF682697"/>
      <name val="Calibri"/>
      <family val="2"/>
      <scheme val="minor"/>
    </font>
    <font>
      <b/>
      <sz val="11"/>
      <color rgb="FF000060"/>
      <name val="Calibri"/>
      <family val="2"/>
      <scheme val="minor"/>
    </font>
    <font>
      <b/>
      <sz val="11"/>
      <color rgb="FFD2EBF2"/>
      <name val="Calibri"/>
      <family val="2"/>
      <scheme val="minor"/>
    </font>
    <font>
      <b/>
      <sz val="11"/>
      <color theme="0"/>
      <name val="Calibri"/>
      <family val="2"/>
    </font>
    <font>
      <b/>
      <sz val="12"/>
      <color rgb="FF000000"/>
      <name val="Calibri"/>
      <family val="2"/>
      <scheme val="minor"/>
    </font>
    <font>
      <b/>
      <sz val="12"/>
      <color theme="1"/>
      <name val="Calibri"/>
      <family val="2"/>
      <scheme val="minor"/>
    </font>
    <font>
      <i/>
      <sz val="11"/>
      <color theme="1"/>
      <name val="Calibri"/>
      <family val="2"/>
      <scheme val="minor"/>
    </font>
    <font>
      <sz val="11"/>
      <color rgb="FF0070C0"/>
      <name val="Calibri"/>
      <family val="2"/>
      <scheme val="minor"/>
    </font>
  </fonts>
  <fills count="17">
    <fill>
      <patternFill patternType="none"/>
    </fill>
    <fill>
      <patternFill patternType="gray125"/>
    </fill>
    <fill>
      <patternFill patternType="solid">
        <fgColor rgb="FF002060"/>
        <bgColor rgb="FF002060"/>
      </patternFill>
    </fill>
    <fill>
      <patternFill patternType="solid">
        <fgColor rgb="FF548235"/>
        <bgColor rgb="FF548235"/>
      </patternFill>
    </fill>
    <fill>
      <patternFill patternType="solid">
        <fgColor rgb="FFE2EFDA"/>
        <bgColor rgb="FFE2EFDA"/>
      </patternFill>
    </fill>
    <fill>
      <patternFill patternType="solid">
        <fgColor rgb="FFA9D08E"/>
        <bgColor rgb="FFA9D08E"/>
      </patternFill>
    </fill>
    <fill>
      <patternFill patternType="solid">
        <fgColor rgb="FFD9E1F2"/>
        <bgColor rgb="FFD9E1F2"/>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79998168889431442"/>
        <bgColor theme="4" tint="0.79998168889431442"/>
      </patternFill>
    </fill>
    <fill>
      <patternFill patternType="solid">
        <fgColor rgb="FF0275D8"/>
        <bgColor indexed="64"/>
      </patternFill>
    </fill>
    <fill>
      <patternFill patternType="solid">
        <fgColor theme="2" tint="-4.9989318521683403E-2"/>
        <bgColor indexed="64"/>
      </patternFill>
    </fill>
    <fill>
      <patternFill patternType="solid">
        <fgColor rgb="FFE9F8FB"/>
        <bgColor indexed="64"/>
      </patternFill>
    </fill>
    <fill>
      <patternFill patternType="solid">
        <fgColor theme="8" tint="-0.249977111117893"/>
        <bgColor indexed="64"/>
      </patternFill>
    </fill>
    <fill>
      <patternFill patternType="solid">
        <fgColor theme="7" tint="0.79998168889431442"/>
        <bgColor indexed="64"/>
      </patternFill>
    </fill>
  </fills>
  <borders count="18">
    <border>
      <left/>
      <right/>
      <top/>
      <bottom/>
      <diagonal/>
    </border>
    <border>
      <left/>
      <right/>
      <top style="thin">
        <color rgb="FF000000"/>
      </top>
      <bottom style="thin">
        <color rgb="FF000000"/>
      </bottom>
      <diagonal/>
    </border>
    <border>
      <left/>
      <right/>
      <top/>
      <bottom style="thin">
        <color rgb="FF000000"/>
      </bottom>
      <diagonal/>
    </border>
    <border>
      <left/>
      <right/>
      <top style="thin">
        <color indexed="64"/>
      </top>
      <bottom style="thin">
        <color indexed="64"/>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rgb="FF000000"/>
      </top>
      <bottom/>
      <diagonal/>
    </border>
    <border>
      <left style="thin">
        <color theme="4" tint="0.39997558519241921"/>
      </left>
      <right/>
      <top style="thin">
        <color rgb="FF000000"/>
      </top>
      <bottom style="thin">
        <color rgb="FF000000"/>
      </bottom>
      <diagonal/>
    </border>
    <border>
      <left/>
      <right style="thin">
        <color theme="4" tint="0.39997558519241921"/>
      </right>
      <top style="thin">
        <color rgb="FF000000"/>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rgb="FF000000"/>
      </top>
      <bottom/>
      <diagonal/>
    </border>
    <border>
      <left/>
      <right style="thin">
        <color theme="4" tint="0.39997558519241921"/>
      </right>
      <top style="thin">
        <color rgb="FF000000"/>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s>
  <cellStyleXfs count="3">
    <xf numFmtId="0" fontId="0" fillId="0" borderId="0"/>
    <xf numFmtId="9" fontId="12" fillId="0" borderId="0" applyFont="0" applyFill="0" applyBorder="0" applyAlignment="0" applyProtection="0"/>
    <xf numFmtId="43" fontId="12" fillId="0" borderId="0" applyFont="0" applyFill="0" applyBorder="0" applyAlignment="0" applyProtection="0"/>
  </cellStyleXfs>
  <cellXfs count="154">
    <xf numFmtId="0" fontId="0" fillId="0" borderId="0" xfId="0"/>
    <xf numFmtId="0" fontId="3" fillId="0" borderId="0" xfId="0" applyFont="1"/>
    <xf numFmtId="0" fontId="4" fillId="0" borderId="0" xfId="0" applyFont="1"/>
    <xf numFmtId="0" fontId="5" fillId="0" borderId="0" xfId="0" applyFont="1"/>
    <xf numFmtId="0" fontId="6" fillId="2" borderId="0" xfId="0" applyFont="1" applyFill="1"/>
    <xf numFmtId="0" fontId="7" fillId="0" borderId="0" xfId="0" applyFont="1"/>
    <xf numFmtId="0" fontId="4" fillId="0" borderId="0" xfId="0" applyFont="1" applyAlignment="1">
      <alignment horizontal="left" vertical="top"/>
    </xf>
    <xf numFmtId="0" fontId="8" fillId="0" borderId="0" xfId="0" applyFont="1"/>
    <xf numFmtId="0" fontId="8" fillId="4" borderId="2" xfId="0" applyFont="1" applyFill="1" applyBorder="1"/>
    <xf numFmtId="0" fontId="6" fillId="2" borderId="0" xfId="0" applyFont="1" applyFill="1" applyAlignment="1">
      <alignment horizontal="center"/>
    </xf>
    <xf numFmtId="0" fontId="8" fillId="4" borderId="1" xfId="0" applyFont="1" applyFill="1" applyBorder="1"/>
    <xf numFmtId="0" fontId="8" fillId="6" borderId="0" xfId="0" applyFont="1" applyFill="1"/>
    <xf numFmtId="0" fontId="11" fillId="0" borderId="0" xfId="0" applyFont="1"/>
    <xf numFmtId="17" fontId="0" fillId="0" borderId="0" xfId="0" applyNumberFormat="1"/>
    <xf numFmtId="0" fontId="14" fillId="2" borderId="0" xfId="0" applyFont="1" applyFill="1" applyAlignment="1">
      <alignment horizontal="center"/>
    </xf>
    <xf numFmtId="0" fontId="0" fillId="0" borderId="0" xfId="0" applyAlignment="1">
      <alignment horizontal="center"/>
    </xf>
    <xf numFmtId="0" fontId="15" fillId="0" borderId="0" xfId="0" applyFont="1"/>
    <xf numFmtId="0" fontId="13" fillId="0" borderId="0" xfId="0" applyFont="1"/>
    <xf numFmtId="0" fontId="2" fillId="0" borderId="0" xfId="0" applyFont="1" applyAlignment="1">
      <alignment horizontal="center"/>
    </xf>
    <xf numFmtId="0" fontId="16" fillId="0" borderId="0" xfId="0" applyFont="1"/>
    <xf numFmtId="0" fontId="17" fillId="0" borderId="0" xfId="0" applyFont="1"/>
    <xf numFmtId="3" fontId="0" fillId="0" borderId="0" xfId="0" applyNumberFormat="1" applyAlignment="1">
      <alignment horizontal="center"/>
    </xf>
    <xf numFmtId="0" fontId="1" fillId="0" borderId="0" xfId="0" applyFont="1"/>
    <xf numFmtId="164" fontId="0" fillId="0" borderId="0" xfId="1" applyNumberFormat="1" applyFont="1" applyAlignment="1">
      <alignment horizontal="center"/>
    </xf>
    <xf numFmtId="0" fontId="18" fillId="0" borderId="0" xfId="0" applyFont="1"/>
    <xf numFmtId="1" fontId="0" fillId="0" borderId="0" xfId="0" applyNumberFormat="1" applyAlignment="1">
      <alignment horizontal="center"/>
    </xf>
    <xf numFmtId="0" fontId="0" fillId="8" borderId="0" xfId="0" applyFill="1"/>
    <xf numFmtId="0" fontId="1" fillId="8" borderId="0" xfId="0" applyFont="1" applyFill="1"/>
    <xf numFmtId="164" fontId="0" fillId="0" borderId="0" xfId="0" applyNumberFormat="1"/>
    <xf numFmtId="0" fontId="1" fillId="0" borderId="0" xfId="0" applyFont="1" applyAlignment="1">
      <alignment horizontal="center"/>
    </xf>
    <xf numFmtId="0" fontId="19" fillId="0" borderId="0" xfId="0" applyFont="1"/>
    <xf numFmtId="3" fontId="19" fillId="0" borderId="0" xfId="0" applyNumberFormat="1" applyFont="1" applyAlignment="1">
      <alignment horizontal="center"/>
    </xf>
    <xf numFmtId="1" fontId="19" fillId="0" borderId="0" xfId="0" applyNumberFormat="1" applyFont="1" applyAlignment="1">
      <alignment horizontal="center"/>
    </xf>
    <xf numFmtId="1" fontId="13" fillId="0" borderId="0" xfId="0" applyNumberFormat="1" applyFont="1" applyAlignment="1">
      <alignment horizontal="center"/>
    </xf>
    <xf numFmtId="0" fontId="20" fillId="0" borderId="0" xfId="0" applyFont="1"/>
    <xf numFmtId="0" fontId="13" fillId="9" borderId="3" xfId="0" applyFont="1" applyFill="1" applyBorder="1"/>
    <xf numFmtId="3" fontId="13" fillId="9" borderId="3" xfId="0" applyNumberFormat="1" applyFont="1" applyFill="1" applyBorder="1"/>
    <xf numFmtId="3" fontId="13" fillId="9" borderId="3" xfId="0" applyNumberFormat="1" applyFont="1" applyFill="1" applyBorder="1" applyAlignment="1">
      <alignment horizontal="center"/>
    </xf>
    <xf numFmtId="0" fontId="1" fillId="10" borderId="0" xfId="0" applyFont="1" applyFill="1"/>
    <xf numFmtId="3" fontId="0" fillId="10" borderId="0" xfId="0" applyNumberFormat="1" applyFill="1" applyAlignment="1">
      <alignment horizontal="center"/>
    </xf>
    <xf numFmtId="0" fontId="0" fillId="10" borderId="0" xfId="0" applyFill="1"/>
    <xf numFmtId="0" fontId="21" fillId="0" borderId="0" xfId="0" applyFont="1"/>
    <xf numFmtId="3" fontId="0" fillId="0" borderId="0" xfId="0" applyNumberFormat="1"/>
    <xf numFmtId="164" fontId="0" fillId="10" borderId="0" xfId="0" applyNumberFormat="1" applyFill="1"/>
    <xf numFmtId="164" fontId="0" fillId="10" borderId="0" xfId="1" applyNumberFormat="1" applyFont="1" applyFill="1"/>
    <xf numFmtId="3" fontId="0" fillId="10" borderId="0" xfId="0" applyNumberFormat="1" applyFill="1"/>
    <xf numFmtId="1" fontId="0" fillId="10" borderId="0" xfId="0" applyNumberFormat="1" applyFill="1"/>
    <xf numFmtId="164" fontId="0" fillId="0" borderId="0" xfId="1" applyNumberFormat="1" applyFont="1"/>
    <xf numFmtId="1" fontId="0" fillId="0" borderId="0" xfId="0" applyNumberFormat="1"/>
    <xf numFmtId="0" fontId="13" fillId="10" borderId="0" xfId="0" applyFont="1" applyFill="1"/>
    <xf numFmtId="9" fontId="0" fillId="0" borderId="0" xfId="1" applyFont="1"/>
    <xf numFmtId="10" fontId="0" fillId="0" borderId="0" xfId="0" applyNumberFormat="1"/>
    <xf numFmtId="164" fontId="13" fillId="0" borderId="0" xfId="0" applyNumberFormat="1" applyFont="1"/>
    <xf numFmtId="10" fontId="22" fillId="0" borderId="0" xfId="0" applyNumberFormat="1" applyFont="1"/>
    <xf numFmtId="9" fontId="22" fillId="0" borderId="0" xfId="0" applyNumberFormat="1" applyFont="1"/>
    <xf numFmtId="0" fontId="13" fillId="0" borderId="4" xfId="0" applyFont="1" applyBorder="1"/>
    <xf numFmtId="164" fontId="13" fillId="0" borderId="4" xfId="0" applyNumberFormat="1" applyFont="1" applyBorder="1"/>
    <xf numFmtId="0" fontId="5" fillId="10" borderId="0" xfId="0" applyFont="1" applyFill="1"/>
    <xf numFmtId="0" fontId="1" fillId="0" borderId="5" xfId="0" applyFont="1" applyBorder="1"/>
    <xf numFmtId="0" fontId="0" fillId="0" borderId="5" xfId="0" applyBorder="1"/>
    <xf numFmtId="0" fontId="13" fillId="7" borderId="3" xfId="0" applyFont="1" applyFill="1" applyBorder="1"/>
    <xf numFmtId="164" fontId="13" fillId="7" borderId="3" xfId="0" applyNumberFormat="1" applyFont="1" applyFill="1" applyBorder="1"/>
    <xf numFmtId="8" fontId="0" fillId="0" borderId="5" xfId="0" applyNumberFormat="1" applyBorder="1"/>
    <xf numFmtId="8" fontId="0" fillId="0" borderId="0" xfId="0" applyNumberFormat="1"/>
    <xf numFmtId="0" fontId="1" fillId="7" borderId="6" xfId="0" applyFont="1" applyFill="1" applyBorder="1"/>
    <xf numFmtId="0" fontId="1" fillId="10" borderId="6" xfId="0" applyFont="1" applyFill="1" applyBorder="1"/>
    <xf numFmtId="8" fontId="1" fillId="10" borderId="6" xfId="0" applyNumberFormat="1" applyFont="1" applyFill="1" applyBorder="1"/>
    <xf numFmtId="1" fontId="0" fillId="10" borderId="6" xfId="0" applyNumberFormat="1" applyFill="1" applyBorder="1"/>
    <xf numFmtId="6" fontId="0" fillId="10" borderId="6" xfId="0" applyNumberFormat="1" applyFill="1" applyBorder="1"/>
    <xf numFmtId="8" fontId="0" fillId="10" borderId="0" xfId="0" applyNumberFormat="1" applyFill="1"/>
    <xf numFmtId="6" fontId="1" fillId="7" borderId="6" xfId="0" applyNumberFormat="1" applyFont="1" applyFill="1" applyBorder="1"/>
    <xf numFmtId="0" fontId="6" fillId="2" borderId="10" xfId="0" applyFont="1" applyFill="1" applyBorder="1"/>
    <xf numFmtId="0" fontId="7" fillId="11" borderId="10" xfId="0" applyFont="1" applyFill="1" applyBorder="1"/>
    <xf numFmtId="0" fontId="4" fillId="0" borderId="10" xfId="0" applyFont="1" applyBorder="1"/>
    <xf numFmtId="0" fontId="8" fillId="11" borderId="13" xfId="0" applyFont="1" applyFill="1" applyBorder="1"/>
    <xf numFmtId="0" fontId="4" fillId="0" borderId="13" xfId="0" applyFont="1" applyBorder="1"/>
    <xf numFmtId="0" fontId="4" fillId="11" borderId="10" xfId="0" applyFont="1" applyFill="1" applyBorder="1"/>
    <xf numFmtId="0" fontId="7" fillId="0" borderId="10" xfId="0" applyFont="1" applyBorder="1"/>
    <xf numFmtId="0" fontId="7" fillId="4" borderId="13" xfId="0" applyFont="1" applyFill="1" applyBorder="1"/>
    <xf numFmtId="0" fontId="4" fillId="11" borderId="13" xfId="0" applyFont="1" applyFill="1" applyBorder="1"/>
    <xf numFmtId="0" fontId="7" fillId="4" borderId="8" xfId="0" applyFont="1" applyFill="1" applyBorder="1"/>
    <xf numFmtId="3" fontId="0" fillId="0" borderId="0" xfId="0" applyNumberFormat="1" applyAlignment="1">
      <alignment horizontal="right"/>
    </xf>
    <xf numFmtId="3" fontId="13" fillId="10" borderId="0" xfId="0" applyNumberFormat="1" applyFont="1" applyFill="1" applyAlignment="1">
      <alignment horizontal="right"/>
    </xf>
    <xf numFmtId="0" fontId="6" fillId="3" borderId="0" xfId="0" applyFont="1" applyFill="1" applyAlignment="1">
      <alignment horizontal="right"/>
    </xf>
    <xf numFmtId="0" fontId="6" fillId="2" borderId="0" xfId="0" applyFont="1" applyFill="1" applyAlignment="1">
      <alignment horizontal="right"/>
    </xf>
    <xf numFmtId="0" fontId="14" fillId="2" borderId="0" xfId="0" applyFont="1" applyFill="1" applyAlignment="1">
      <alignment horizontal="right"/>
    </xf>
    <xf numFmtId="9" fontId="0" fillId="0" borderId="0" xfId="0" applyNumberFormat="1"/>
    <xf numFmtId="165" fontId="23" fillId="12" borderId="0" xfId="2" applyNumberFormat="1" applyFont="1" applyFill="1" applyBorder="1"/>
    <xf numFmtId="165" fontId="23" fillId="12" borderId="0" xfId="0" applyNumberFormat="1" applyFont="1" applyFill="1" applyAlignment="1">
      <alignment horizontal="center"/>
    </xf>
    <xf numFmtId="43" fontId="1" fillId="0" borderId="0" xfId="2" applyFont="1" applyBorder="1"/>
    <xf numFmtId="43" fontId="0" fillId="0" borderId="0" xfId="2" applyFont="1" applyBorder="1"/>
    <xf numFmtId="0" fontId="0" fillId="0" borderId="15" xfId="0" applyBorder="1"/>
    <xf numFmtId="0" fontId="0" fillId="0" borderId="3" xfId="0" applyBorder="1"/>
    <xf numFmtId="3" fontId="0" fillId="0" borderId="3" xfId="0" applyNumberFormat="1" applyBorder="1"/>
    <xf numFmtId="3" fontId="0" fillId="0" borderId="16" xfId="0" applyNumberFormat="1" applyBorder="1"/>
    <xf numFmtId="0" fontId="15" fillId="0" borderId="10" xfId="0" applyFont="1" applyBorder="1"/>
    <xf numFmtId="1" fontId="0" fillId="10" borderId="0" xfId="0" applyNumberFormat="1" applyFill="1" applyAlignment="1">
      <alignment horizontal="right"/>
    </xf>
    <xf numFmtId="9" fontId="0" fillId="0" borderId="0" xfId="1" applyFont="1" applyAlignment="1">
      <alignment horizontal="center"/>
    </xf>
    <xf numFmtId="9" fontId="0" fillId="10" borderId="0" xfId="1" applyFont="1" applyFill="1"/>
    <xf numFmtId="0" fontId="6" fillId="3" borderId="11" xfId="0" applyFont="1" applyFill="1" applyBorder="1" applyAlignment="1">
      <alignment horizontal="right"/>
    </xf>
    <xf numFmtId="0" fontId="6" fillId="3" borderId="12" xfId="0" applyFont="1" applyFill="1" applyBorder="1" applyAlignment="1">
      <alignment horizontal="right"/>
    </xf>
    <xf numFmtId="38" fontId="4" fillId="11" borderId="11" xfId="0" applyNumberFormat="1" applyFont="1" applyFill="1" applyBorder="1" applyAlignment="1">
      <alignment horizontal="right"/>
    </xf>
    <xf numFmtId="38" fontId="4" fillId="0" borderId="11" xfId="0" applyNumberFormat="1" applyFont="1" applyBorder="1" applyAlignment="1">
      <alignment horizontal="right"/>
    </xf>
    <xf numFmtId="38" fontId="8" fillId="11" borderId="7" xfId="0" applyNumberFormat="1" applyFont="1" applyFill="1" applyBorder="1" applyAlignment="1">
      <alignment horizontal="right"/>
    </xf>
    <xf numFmtId="38" fontId="8" fillId="11" borderId="14" xfId="0" applyNumberFormat="1" applyFont="1" applyFill="1" applyBorder="1" applyAlignment="1">
      <alignment horizontal="right"/>
    </xf>
    <xf numFmtId="38" fontId="4" fillId="0" borderId="7" xfId="0" applyNumberFormat="1" applyFont="1" applyBorder="1" applyAlignment="1">
      <alignment horizontal="right"/>
    </xf>
    <xf numFmtId="38" fontId="4" fillId="11" borderId="12" xfId="0" applyNumberFormat="1" applyFont="1" applyFill="1" applyBorder="1" applyAlignment="1">
      <alignment horizontal="right"/>
    </xf>
    <xf numFmtId="38" fontId="4" fillId="0" borderId="12" xfId="0" applyNumberFormat="1" applyFont="1" applyBorder="1" applyAlignment="1">
      <alignment horizontal="right"/>
    </xf>
    <xf numFmtId="38" fontId="8" fillId="4" borderId="7" xfId="0" applyNumberFormat="1" applyFont="1" applyFill="1" applyBorder="1" applyAlignment="1">
      <alignment horizontal="right"/>
    </xf>
    <xf numFmtId="38" fontId="8" fillId="4" borderId="14" xfId="0" applyNumberFormat="1" applyFont="1" applyFill="1" applyBorder="1" applyAlignment="1">
      <alignment horizontal="right"/>
    </xf>
    <xf numFmtId="38" fontId="4" fillId="11" borderId="7" xfId="0" applyNumberFormat="1" applyFont="1" applyFill="1" applyBorder="1" applyAlignment="1">
      <alignment horizontal="right"/>
    </xf>
    <xf numFmtId="38" fontId="4" fillId="11" borderId="14" xfId="0" applyNumberFormat="1" applyFont="1" applyFill="1" applyBorder="1" applyAlignment="1">
      <alignment horizontal="right"/>
    </xf>
    <xf numFmtId="38" fontId="8" fillId="4" borderId="1" xfId="0" applyNumberFormat="1" applyFont="1" applyFill="1" applyBorder="1" applyAlignment="1">
      <alignment horizontal="right"/>
    </xf>
    <xf numFmtId="38" fontId="8" fillId="4" borderId="9" xfId="0" applyNumberFormat="1" applyFont="1" applyFill="1" applyBorder="1" applyAlignment="1">
      <alignment horizontal="right"/>
    </xf>
    <xf numFmtId="0" fontId="6" fillId="2" borderId="11" xfId="0" applyFont="1" applyFill="1" applyBorder="1" applyAlignment="1">
      <alignment horizontal="right"/>
    </xf>
    <xf numFmtId="0" fontId="14" fillId="2" borderId="11" xfId="0" applyFont="1" applyFill="1" applyBorder="1" applyAlignment="1">
      <alignment horizontal="right"/>
    </xf>
    <xf numFmtId="0" fontId="9" fillId="13" borderId="1" xfId="0" applyFont="1" applyFill="1" applyBorder="1"/>
    <xf numFmtId="38" fontId="4" fillId="0" borderId="0" xfId="0" applyNumberFormat="1" applyFont="1" applyAlignment="1">
      <alignment horizontal="right"/>
    </xf>
    <xf numFmtId="38" fontId="9" fillId="13" borderId="1" xfId="0" applyNumberFormat="1" applyFont="1" applyFill="1" applyBorder="1" applyAlignment="1">
      <alignment horizontal="right"/>
    </xf>
    <xf numFmtId="38" fontId="8" fillId="0" borderId="0" xfId="0" applyNumberFormat="1" applyFont="1" applyAlignment="1">
      <alignment horizontal="right"/>
    </xf>
    <xf numFmtId="38" fontId="0" fillId="0" borderId="0" xfId="0" applyNumberFormat="1" applyAlignment="1">
      <alignment horizontal="right"/>
    </xf>
    <xf numFmtId="38" fontId="15" fillId="0" borderId="0" xfId="0" applyNumberFormat="1" applyFont="1" applyAlignment="1">
      <alignment horizontal="right"/>
    </xf>
    <xf numFmtId="38" fontId="8" fillId="4" borderId="2" xfId="0" applyNumberFormat="1" applyFont="1" applyFill="1" applyBorder="1" applyAlignment="1">
      <alignment horizontal="right"/>
    </xf>
    <xf numFmtId="38" fontId="7" fillId="0" borderId="0" xfId="0" applyNumberFormat="1" applyFont="1" applyAlignment="1">
      <alignment horizontal="right"/>
    </xf>
    <xf numFmtId="0" fontId="10" fillId="5" borderId="0" xfId="0" applyFont="1" applyFill="1" applyAlignment="1">
      <alignment horizontal="right"/>
    </xf>
    <xf numFmtId="0" fontId="24" fillId="14" borderId="0" xfId="0" applyFont="1" applyFill="1"/>
    <xf numFmtId="0" fontId="25" fillId="14" borderId="0" xfId="0" applyFont="1" applyFill="1"/>
    <xf numFmtId="9" fontId="26" fillId="14" borderId="0" xfId="0" applyNumberFormat="1" applyFont="1" applyFill="1"/>
    <xf numFmtId="164" fontId="26" fillId="14" borderId="0" xfId="0" applyNumberFormat="1" applyFont="1" applyFill="1"/>
    <xf numFmtId="6" fontId="27" fillId="14" borderId="0" xfId="0" applyNumberFormat="1" applyFont="1" applyFill="1"/>
    <xf numFmtId="4" fontId="0" fillId="0" borderId="0" xfId="0" applyNumberFormat="1"/>
    <xf numFmtId="0" fontId="0" fillId="0" borderId="4" xfId="0" applyBorder="1"/>
    <xf numFmtId="0" fontId="31" fillId="0" borderId="17" xfId="0" applyFont="1" applyBorder="1" applyAlignment="1">
      <alignment horizontal="center"/>
    </xf>
    <xf numFmtId="0" fontId="31" fillId="0" borderId="17" xfId="0" applyFont="1" applyBorder="1" applyAlignment="1">
      <alignment horizontal="centerContinuous"/>
    </xf>
    <xf numFmtId="2" fontId="0" fillId="0" borderId="0" xfId="0" applyNumberFormat="1"/>
    <xf numFmtId="166" fontId="0" fillId="0" borderId="0" xfId="0" applyNumberFormat="1"/>
    <xf numFmtId="0" fontId="32" fillId="0" borderId="0" xfId="0" applyFont="1"/>
    <xf numFmtId="10" fontId="32" fillId="0" borderId="0" xfId="0" applyNumberFormat="1" applyFont="1"/>
    <xf numFmtId="164" fontId="17" fillId="14" borderId="0" xfId="0" applyNumberFormat="1" applyFont="1" applyFill="1"/>
    <xf numFmtId="9" fontId="17" fillId="14" borderId="0" xfId="0" applyNumberFormat="1" applyFont="1" applyFill="1"/>
    <xf numFmtId="0" fontId="13" fillId="16" borderId="0" xfId="0" applyFont="1" applyFill="1"/>
    <xf numFmtId="0" fontId="13" fillId="16" borderId="0" xfId="0" applyFont="1" applyFill="1" applyAlignment="1">
      <alignment horizontal="right"/>
    </xf>
    <xf numFmtId="3" fontId="13" fillId="16" borderId="0" xfId="0" applyNumberFormat="1" applyFont="1" applyFill="1" applyAlignment="1">
      <alignment horizontal="right"/>
    </xf>
    <xf numFmtId="0" fontId="4" fillId="0" borderId="0" xfId="0" applyFont="1" applyAlignment="1">
      <alignment horizontal="right"/>
    </xf>
    <xf numFmtId="0" fontId="0" fillId="0" borderId="0" xfId="0" applyAlignment="1">
      <alignment horizontal="right"/>
    </xf>
    <xf numFmtId="38" fontId="21" fillId="0" borderId="0" xfId="0" applyNumberFormat="1" applyFont="1" applyAlignment="1">
      <alignment horizontal="right"/>
    </xf>
    <xf numFmtId="38" fontId="8" fillId="6" borderId="0" xfId="0" applyNumberFormat="1" applyFont="1" applyFill="1" applyAlignment="1">
      <alignment horizontal="right"/>
    </xf>
    <xf numFmtId="0" fontId="28" fillId="15" borderId="0" xfId="0" applyFont="1" applyFill="1" applyAlignment="1">
      <alignment horizontal="center"/>
    </xf>
    <xf numFmtId="0" fontId="0" fillId="15" borderId="0" xfId="0" applyFill="1" applyAlignment="1">
      <alignment horizontal="center"/>
    </xf>
    <xf numFmtId="0" fontId="29" fillId="7" borderId="0" xfId="0" applyFont="1" applyFill="1" applyAlignment="1">
      <alignment horizontal="center" vertical="center"/>
    </xf>
    <xf numFmtId="0" fontId="30" fillId="7" borderId="0" xfId="0" applyFont="1" applyFill="1" applyAlignment="1">
      <alignment horizontal="center"/>
    </xf>
    <xf numFmtId="0" fontId="0" fillId="7" borderId="0" xfId="0" applyFill="1" applyAlignment="1">
      <alignment horizontal="left"/>
    </xf>
    <xf numFmtId="0" fontId="26" fillId="14" borderId="0" xfId="0" applyFont="1" applyFill="1" applyAlignment="1">
      <alignment horizontal="center"/>
    </xf>
    <xf numFmtId="0" fontId="26" fillId="14" borderId="0" xfId="0" applyFont="1" applyFill="1" applyAlignment="1">
      <alignment horizontal="center" vertical="center" textRotation="255"/>
    </xf>
  </cellXfs>
  <cellStyles count="3">
    <cellStyle name="Comma" xfId="2" builtinId="3"/>
    <cellStyle name="Normal" xfId="0" builtinId="0"/>
    <cellStyle name="Percent" xfId="1" builtinId="5"/>
  </cellStyles>
  <dxfs count="0"/>
  <tableStyles count="1" defaultTableStyle="TableStyleMedium2" defaultPivotStyle="PivotStyleLight16">
    <tableStyle name="Invisible" pivot="0" table="0" count="0" xr9:uid="{A8F23A1C-4AF5-4642-BFFD-739C7EC44CDE}"/>
  </tableStyles>
  <colors>
    <mruColors>
      <color rgb="FF002465"/>
      <color rgb="FF00204F"/>
      <color rgb="FFD2EBF2"/>
      <color rgb="FFE9F8FB"/>
      <color rgb="FF000060"/>
      <color rgb="FF00003A"/>
      <color rgb="FF000066"/>
      <color rgb="FFFFFFFF"/>
      <color rgb="FFCAB2D0"/>
      <color rgb="FFB0B0B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ustomXml" Target="../customXml/item1.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7620</xdr:rowOff>
    </xdr:from>
    <xdr:to>
      <xdr:col>18</xdr:col>
      <xdr:colOff>60960</xdr:colOff>
      <xdr:row>33</xdr:row>
      <xdr:rowOff>22860</xdr:rowOff>
    </xdr:to>
    <xdr:sp macro="" textlink="">
      <xdr:nvSpPr>
        <xdr:cNvPr id="2" name="Rectangle 1">
          <a:extLst>
            <a:ext uri="{FF2B5EF4-FFF2-40B4-BE49-F238E27FC236}">
              <a16:creationId xmlns:a16="http://schemas.microsoft.com/office/drawing/2014/main" id="{DE917828-C20E-6BEF-3E84-0CED1C034EF3}"/>
            </a:ext>
          </a:extLst>
        </xdr:cNvPr>
        <xdr:cNvSpPr/>
      </xdr:nvSpPr>
      <xdr:spPr>
        <a:xfrm>
          <a:off x="0" y="7620"/>
          <a:ext cx="11033760" cy="605028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IN" sz="1800" b="1">
            <a:solidFill>
              <a:srgbClr val="002465"/>
            </a:solidFill>
          </a:endParaRPr>
        </a:p>
        <a:p>
          <a:endParaRPr lang="en-IN" sz="1800" b="1">
            <a:solidFill>
              <a:srgbClr val="002465"/>
            </a:solidFill>
          </a:endParaRPr>
        </a:p>
        <a:p>
          <a:r>
            <a:rPr lang="en-IN" sz="1800" b="1">
              <a:solidFill>
                <a:srgbClr val="002465"/>
              </a:solidFill>
            </a:rPr>
            <a:t>Titagarh Rail Systems – DCF Valuation Summary</a:t>
          </a:r>
        </a:p>
        <a:p>
          <a:endParaRPr lang="en-IN" sz="1800" b="1"/>
        </a:p>
        <a:p>
          <a:r>
            <a:rPr lang="en-IN" sz="1400" b="1"/>
            <a:t>Company Overview</a:t>
          </a:r>
        </a:p>
        <a:p>
          <a:r>
            <a:rPr lang="en-IN"/>
            <a:t>This Discounted Cash Flow (DCF) model estimates the intrinsic value of </a:t>
          </a:r>
          <a:r>
            <a:rPr lang="en-IN" b="1"/>
            <a:t>Titagarh Rail Systems Limited</a:t>
          </a:r>
          <a:r>
            <a:rPr lang="en-IN"/>
            <a:t> based on the present value of its expected future Free Cash Flows to the Firm (FCFF). Historical financial statements for FY2023–FY2025 have been used as the basis for forecasting the company's future financial performance.</a:t>
          </a:r>
        </a:p>
        <a:p>
          <a:r>
            <a:rPr lang="en-IN"/>
            <a:t>The model follows a </a:t>
          </a:r>
          <a:r>
            <a:rPr lang="en-IN" b="1"/>
            <a:t>three-statement approach</a:t>
          </a:r>
          <a:r>
            <a:rPr lang="en-IN"/>
            <a:t>, linking the Income Statement, Balance Sheet, and Cash Flow Statement to forecast operating performance, working capital requirements, capital expenditure, and free cash flow.</a:t>
          </a:r>
        </a:p>
        <a:p>
          <a:pPr algn="l"/>
          <a:endParaRPr lang="en-IN" sz="1100"/>
        </a:p>
        <a:p>
          <a:pPr algn="l"/>
          <a:r>
            <a:rPr lang="en-IN" sz="1400" b="1"/>
            <a:t>Key DCF Assumptions</a:t>
          </a:r>
        </a:p>
        <a:p>
          <a:pPr>
            <a:buNone/>
          </a:pPr>
          <a:r>
            <a:rPr lang="en-IN" sz="1200" b="1"/>
            <a:t>AssumptionBasis / Explanation</a:t>
          </a:r>
        </a:p>
        <a:p>
          <a:pPr>
            <a:buNone/>
          </a:pPr>
          <a:r>
            <a:rPr lang="en-IN" b="1"/>
            <a:t>Historical Period                                                     </a:t>
          </a:r>
          <a:r>
            <a:rPr lang="en-IN"/>
            <a:t>FY2023–FY2025</a:t>
          </a:r>
        </a:p>
        <a:p>
          <a:pPr>
            <a:buNone/>
          </a:pPr>
          <a:r>
            <a:rPr lang="en-IN" b="1"/>
            <a:t>Forecast Period                                                       </a:t>
          </a:r>
          <a:r>
            <a:rPr lang="en-IN"/>
            <a:t>FY2026–FY2030</a:t>
          </a:r>
        </a:p>
        <a:p>
          <a:pPr>
            <a:buNone/>
          </a:pPr>
          <a:r>
            <a:rPr lang="en-IN" b="1"/>
            <a:t>Valuation Method                                                  </a:t>
          </a:r>
          <a:r>
            <a:rPr lang="en-IN"/>
            <a:t>Discounted Cash Flow (DCF) using FCFF</a:t>
          </a:r>
        </a:p>
        <a:p>
          <a:pPr>
            <a:buNone/>
          </a:pPr>
          <a:r>
            <a:rPr lang="en-IN" b="1"/>
            <a:t>Currency                                                                   </a:t>
          </a:r>
          <a:r>
            <a:rPr lang="en-IN"/>
            <a:t>₹ Crores, unless otherwise stated</a:t>
          </a:r>
        </a:p>
        <a:p>
          <a:pPr>
            <a:buNone/>
          </a:pPr>
          <a:r>
            <a:rPr lang="en-IN" b="1"/>
            <a:t>Revenue Growth                                                    </a:t>
          </a:r>
          <a:r>
            <a:rPr lang="en-IN"/>
            <a:t>Based on historical growth trends, company outlook, industry growth and expected business performance</a:t>
          </a:r>
        </a:p>
        <a:p>
          <a:pPr>
            <a:buNone/>
          </a:pPr>
          <a:r>
            <a:rPr lang="en-IN" b="1"/>
            <a:t>EBIT Margin                                                             </a:t>
          </a:r>
          <a:r>
            <a:rPr lang="en-IN"/>
            <a:t>Forecast based on historical operating margins and expected operating efficiency</a:t>
          </a:r>
        </a:p>
        <a:p>
          <a:pPr>
            <a:buNone/>
          </a:pPr>
          <a:r>
            <a:rPr lang="en-IN" b="1"/>
            <a:t>Tax Rate                                                                   </a:t>
          </a:r>
          <a:r>
            <a:rPr lang="en-IN"/>
            <a:t>Based on the company's normalized effective tax rate and expected future tax profile</a:t>
          </a:r>
        </a:p>
        <a:p>
          <a:pPr>
            <a:buNone/>
          </a:pPr>
          <a:r>
            <a:rPr lang="en-IN" b="1"/>
            <a:t>Depreciation &amp; Amortisation                              </a:t>
          </a:r>
          <a:r>
            <a:rPr lang="en-IN"/>
            <a:t>Forecast with reference to historical D&amp;A and projected asset base</a:t>
          </a:r>
        </a:p>
        <a:p>
          <a:pPr>
            <a:buNone/>
          </a:pPr>
          <a:r>
            <a:rPr lang="en-IN" b="1"/>
            <a:t>Capital Expenditure                                               </a:t>
          </a:r>
          <a:r>
            <a:rPr lang="en-IN"/>
            <a:t>Estimated based on historical capex levels and expected future investment requirements</a:t>
          </a:r>
        </a:p>
        <a:p>
          <a:pPr>
            <a:buNone/>
          </a:pPr>
          <a:r>
            <a:rPr lang="en-IN" b="1"/>
            <a:t>Working Capital                                                      </a:t>
          </a:r>
          <a:r>
            <a:rPr lang="en-IN"/>
            <a:t>Forecast using historical working capital ratios and expected changes in operating activity</a:t>
          </a:r>
        </a:p>
        <a:p>
          <a:pPr>
            <a:buNone/>
          </a:pPr>
          <a:r>
            <a:rPr lang="en-IN" b="1"/>
            <a:t>Terminal Growth Rate                                          </a:t>
          </a:r>
          <a:r>
            <a:rPr lang="en-IN"/>
            <a:t>Conservative long-term growth assumption reflecting sustainable growth beyond the explicit forecast period</a:t>
          </a:r>
        </a:p>
        <a:p>
          <a:pPr>
            <a:buNone/>
          </a:pPr>
          <a:r>
            <a:rPr lang="en-IN" b="1"/>
            <a:t>Risk-Free Rate                                                        </a:t>
          </a:r>
          <a:r>
            <a:rPr lang="en-IN"/>
            <a:t>Based on the prevailing yield on a suitable Indian government security</a:t>
          </a:r>
        </a:p>
        <a:p>
          <a:pPr>
            <a:buNone/>
          </a:pPr>
          <a:r>
            <a:rPr lang="en-IN" b="1"/>
            <a:t>Beta                                                                          </a:t>
          </a:r>
          <a:r>
            <a:rPr lang="en-IN"/>
            <a:t>Calculated using regression of Titagarh Rail Systems' historical stock returns against NIFTY 50 returns</a:t>
          </a:r>
        </a:p>
        <a:p>
          <a:pPr>
            <a:buNone/>
          </a:pPr>
          <a:r>
            <a:rPr lang="en-IN" b="1"/>
            <a:t>Market Risk Premium                                           </a:t>
          </a:r>
          <a:r>
            <a:rPr lang="en-IN"/>
            <a:t>Based on the assumed long-term equity market risk premium</a:t>
          </a:r>
        </a:p>
        <a:p>
          <a:pPr>
            <a:buNone/>
          </a:pPr>
          <a:r>
            <a:rPr lang="en-IN" b="1"/>
            <a:t>Cost of Equity                                                         </a:t>
          </a:r>
          <a:r>
            <a:rPr lang="en-IN"/>
            <a:t>Calculated using CAPM</a:t>
          </a:r>
        </a:p>
        <a:p>
          <a:pPr>
            <a:buNone/>
          </a:pPr>
          <a:r>
            <a:rPr lang="en-IN" b="1"/>
            <a:t>Cost of Debt                                                            </a:t>
          </a:r>
          <a:r>
            <a:rPr lang="en-IN"/>
            <a:t>Based on the company's borrowing cost / estimated pre-tax cost of debt</a:t>
          </a:r>
        </a:p>
        <a:p>
          <a:pPr>
            <a:buNone/>
          </a:pPr>
          <a:r>
            <a:rPr lang="en-IN" b="1"/>
            <a:t>WACC                                                                       </a:t>
          </a:r>
          <a:r>
            <a:rPr lang="en-IN"/>
            <a:t>Calculated using the market-value-based capital structure</a:t>
          </a:r>
        </a:p>
        <a:p>
          <a:pPr>
            <a:buNone/>
          </a:pPr>
          <a:r>
            <a:rPr lang="en-IN" b="1"/>
            <a:t>Terminal Value                                                      </a:t>
          </a:r>
          <a:r>
            <a:rPr lang="en-IN"/>
            <a:t>Calculated using the Gordon Growth Method</a:t>
          </a:r>
        </a:p>
        <a:p>
          <a:pPr>
            <a:buNone/>
          </a:pPr>
          <a:r>
            <a:rPr lang="en-IN" b="1"/>
            <a:t>Net Debt                                                                 </a:t>
          </a:r>
          <a:r>
            <a:rPr lang="en-IN"/>
            <a:t>Total interest-bearing debt less cash and cash equivalents</a:t>
          </a:r>
        </a:p>
        <a:p>
          <a:pPr>
            <a:buNone/>
          </a:pPr>
          <a:r>
            <a:rPr lang="en-IN" b="1"/>
            <a:t>Equity Value                                                           </a:t>
          </a:r>
          <a:r>
            <a:rPr lang="en-IN"/>
            <a:t>Enterprise Value less Net Debt and other applicable adjustments</a:t>
          </a:r>
        </a:p>
        <a:p>
          <a:pPr>
            <a:buNone/>
          </a:pPr>
          <a:r>
            <a:rPr lang="en-IN" b="1"/>
            <a:t>Implied Share Price                                              </a:t>
          </a:r>
          <a:r>
            <a:rPr lang="en-IN"/>
            <a:t>Equity Value divided by diluted shares outstanding</a:t>
          </a:r>
        </a:p>
        <a:p>
          <a:pPr algn="l"/>
          <a:endParaRPr lang="en-IN" sz="1100"/>
        </a:p>
      </xdr:txBody>
    </xdr:sp>
    <xdr:clientData/>
  </xdr:twoCellAnchor>
  <xdr:twoCellAnchor editAs="oneCell">
    <xdr:from>
      <xdr:col>9</xdr:col>
      <xdr:colOff>430724</xdr:colOff>
      <xdr:row>1</xdr:row>
      <xdr:rowOff>175260</xdr:rowOff>
    </xdr:from>
    <xdr:to>
      <xdr:col>12</xdr:col>
      <xdr:colOff>15239</xdr:colOff>
      <xdr:row>7</xdr:row>
      <xdr:rowOff>0</xdr:rowOff>
    </xdr:to>
    <xdr:pic>
      <xdr:nvPicPr>
        <xdr:cNvPr id="4" name="Picture 3">
          <a:extLst>
            <a:ext uri="{FF2B5EF4-FFF2-40B4-BE49-F238E27FC236}">
              <a16:creationId xmlns:a16="http://schemas.microsoft.com/office/drawing/2014/main" id="{6F744717-D4AA-62D0-3B87-BF425A68CB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17124" y="358140"/>
          <a:ext cx="1413315" cy="9220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4DA9F-EFCC-41A6-8F71-C0085FAE48FF}">
  <dimension ref="A1"/>
  <sheetViews>
    <sheetView showGridLines="0" tabSelected="1" workbookViewId="0">
      <selection activeCell="U9" sqref="U9"/>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745E8-7411-4040-BFAF-061974153B5D}">
  <dimension ref="B2:J40"/>
  <sheetViews>
    <sheetView showGridLines="0" zoomScale="110" zoomScaleNormal="110" workbookViewId="0">
      <selection activeCell="E44" sqref="E44"/>
    </sheetView>
  </sheetViews>
  <sheetFormatPr defaultRowHeight="14.4" x14ac:dyDescent="0.3"/>
  <cols>
    <col min="1" max="1" width="3.21875" customWidth="1"/>
    <col min="2" max="2" width="35.5546875" customWidth="1"/>
    <col min="6" max="6" width="10.44140625" customWidth="1"/>
  </cols>
  <sheetData>
    <row r="2" spans="2:10" ht="21" x14ac:dyDescent="0.4">
      <c r="B2" s="34" t="s">
        <v>237</v>
      </c>
      <c r="C2" s="2"/>
      <c r="D2" s="2"/>
      <c r="E2" s="2"/>
      <c r="F2" s="2"/>
      <c r="G2" s="2"/>
      <c r="H2" s="2"/>
      <c r="I2" s="2"/>
    </row>
    <row r="3" spans="2:10" x14ac:dyDescent="0.3">
      <c r="B3" s="3" t="s">
        <v>0</v>
      </c>
      <c r="C3" s="2"/>
      <c r="D3" s="2"/>
      <c r="E3" s="2"/>
      <c r="F3" s="2"/>
      <c r="G3" s="2"/>
      <c r="H3" s="2"/>
      <c r="I3" s="2"/>
    </row>
    <row r="4" spans="2:10" x14ac:dyDescent="0.3">
      <c r="B4" s="4" t="s">
        <v>1</v>
      </c>
      <c r="C4" s="9" t="s">
        <v>2</v>
      </c>
      <c r="D4" s="9" t="s">
        <v>3</v>
      </c>
      <c r="E4" s="14" t="s">
        <v>91</v>
      </c>
      <c r="F4" s="83" t="s">
        <v>4</v>
      </c>
      <c r="G4" s="83" t="s">
        <v>5</v>
      </c>
      <c r="H4" s="83" t="s">
        <v>6</v>
      </c>
      <c r="I4" s="83" t="s">
        <v>7</v>
      </c>
      <c r="J4" s="83" t="s">
        <v>170</v>
      </c>
    </row>
    <row r="5" spans="2:10" x14ac:dyDescent="0.3">
      <c r="B5" s="26" t="s">
        <v>106</v>
      </c>
      <c r="C5" s="26"/>
      <c r="D5" s="26"/>
      <c r="E5" s="26"/>
      <c r="F5" s="40"/>
      <c r="G5" s="40"/>
      <c r="H5" s="40"/>
      <c r="I5" s="40"/>
      <c r="J5" s="40"/>
    </row>
    <row r="6" spans="2:10" x14ac:dyDescent="0.3">
      <c r="B6" s="20" t="s">
        <v>107</v>
      </c>
      <c r="C6" s="21">
        <f>'(IS)'!K4</f>
        <v>2780</v>
      </c>
      <c r="D6" s="21">
        <f>'(IS)'!L4</f>
        <v>3853</v>
      </c>
      <c r="E6" s="21">
        <f>'(IS)'!M4</f>
        <v>3868</v>
      </c>
      <c r="F6" s="46">
        <f>E6*(1+F7)</f>
        <v>4621.9975433512527</v>
      </c>
      <c r="G6" s="46">
        <f t="shared" ref="G6:J6" si="0">F6*(1+G7)</f>
        <v>5522.9734464180492</v>
      </c>
      <c r="H6" s="46">
        <f t="shared" si="0"/>
        <v>6599.5785163749797</v>
      </c>
      <c r="I6" s="46">
        <f t="shared" si="0"/>
        <v>7886.0485237432413</v>
      </c>
      <c r="J6" s="46">
        <f t="shared" si="0"/>
        <v>9423.2928912849093</v>
      </c>
    </row>
    <row r="7" spans="2:10" x14ac:dyDescent="0.3">
      <c r="B7" s="22" t="s">
        <v>108</v>
      </c>
      <c r="C7" s="23"/>
      <c r="D7" s="23">
        <f t="shared" ref="D7" si="1">D6/C6-1</f>
        <v>0.38597122302158282</v>
      </c>
      <c r="E7" s="23">
        <f>E6/D6-1</f>
        <v>3.8930703348041273E-3</v>
      </c>
      <c r="F7" s="44">
        <f>AVERAGE(D7:E7)</f>
        <v>0.19493214667819347</v>
      </c>
      <c r="G7" s="44">
        <f>F7</f>
        <v>0.19493214667819347</v>
      </c>
      <c r="H7" s="44">
        <f t="shared" ref="H7:J7" si="2">AVERAGE(F7:G7)</f>
        <v>0.19493214667819347</v>
      </c>
      <c r="I7" s="44">
        <f t="shared" si="2"/>
        <v>0.19493214667819347</v>
      </c>
      <c r="J7" s="44">
        <f t="shared" si="2"/>
        <v>0.19493214667819347</v>
      </c>
    </row>
    <row r="8" spans="2:10" x14ac:dyDescent="0.3">
      <c r="F8" s="40"/>
      <c r="G8" s="40"/>
      <c r="H8" s="40"/>
      <c r="I8" s="40"/>
      <c r="J8" s="40"/>
    </row>
    <row r="9" spans="2:10" x14ac:dyDescent="0.3">
      <c r="B9" s="20" t="s">
        <v>109</v>
      </c>
      <c r="C9" s="21">
        <f>'(IS)'!V5+'(IS)'!V7+'(IS)'!V8-'(IS)'!V6</f>
        <v>2382.62</v>
      </c>
      <c r="D9" s="21">
        <f>'(IS)'!W5+'(IS)'!W7+'(IS)'!W8-'(IS)'!W6</f>
        <v>3253.82</v>
      </c>
      <c r="E9" s="21">
        <f>'(IS)'!X5+'(IS)'!X7+'(IS)'!X8-'(IS)'!X6</f>
        <v>3248.97</v>
      </c>
      <c r="F9" s="46">
        <f>F6*F10</f>
        <v>3915.6157822881319</v>
      </c>
      <c r="G9" s="46">
        <f t="shared" ref="G9:J9" si="3">G6*G10</f>
        <v>4678.8951722965712</v>
      </c>
      <c r="H9" s="46">
        <f t="shared" si="3"/>
        <v>5590.9622523145781</v>
      </c>
      <c r="I9" s="46">
        <f t="shared" si="3"/>
        <v>6680.8205261550056</v>
      </c>
      <c r="J9" s="46">
        <f t="shared" si="3"/>
        <v>7983.1272128901383</v>
      </c>
    </row>
    <row r="10" spans="2:10" x14ac:dyDescent="0.3">
      <c r="B10" s="24" t="s">
        <v>110</v>
      </c>
      <c r="C10" s="23">
        <f>C9/C6</f>
        <v>0.85705755395683447</v>
      </c>
      <c r="D10" s="23">
        <f>D9/D6</f>
        <v>0.8444900077861407</v>
      </c>
      <c r="E10" s="23">
        <f>E9/E6</f>
        <v>0.83996122026887277</v>
      </c>
      <c r="F10" s="44">
        <f>AVERAGE(C10:E10)</f>
        <v>0.84716959400394931</v>
      </c>
      <c r="G10" s="44">
        <f>F10</f>
        <v>0.84716959400394931</v>
      </c>
      <c r="H10" s="44">
        <f t="shared" ref="H10:J10" si="4">G10</f>
        <v>0.84716959400394931</v>
      </c>
      <c r="I10" s="44">
        <f t="shared" si="4"/>
        <v>0.84716959400394931</v>
      </c>
      <c r="J10" s="44">
        <f t="shared" si="4"/>
        <v>0.84716959400394931</v>
      </c>
    </row>
    <row r="11" spans="2:10" x14ac:dyDescent="0.3">
      <c r="F11" s="40"/>
      <c r="G11" s="40"/>
      <c r="H11" s="40"/>
      <c r="I11" s="40"/>
      <c r="J11" s="40"/>
    </row>
    <row r="12" spans="2:10" x14ac:dyDescent="0.3">
      <c r="B12" s="20" t="s">
        <v>111</v>
      </c>
      <c r="C12" s="21">
        <f>'(IS)'!V9+'(IS)'!V10+'(IS)'!V11</f>
        <v>146.19999999999999</v>
      </c>
      <c r="D12" s="21">
        <f>'(IS)'!W9+'(IS)'!W10+'(IS)'!W11</f>
        <v>150.16999999999999</v>
      </c>
      <c r="E12" s="21">
        <f>'(IS)'!X9+'(IS)'!X10+'(IS)'!X11</f>
        <v>209.66000000000003</v>
      </c>
      <c r="F12" s="46">
        <f>F6*F13</f>
        <v>224.58051223081</v>
      </c>
      <c r="G12" s="46">
        <f t="shared" ref="G12:J12" si="5">G6*G13</f>
        <v>268.35847358205012</v>
      </c>
      <c r="H12" s="46">
        <f t="shared" si="5"/>
        <v>320.67016691668238</v>
      </c>
      <c r="I12" s="46">
        <f t="shared" si="5"/>
        <v>383.17909092940585</v>
      </c>
      <c r="J12" s="46">
        <f t="shared" si="5"/>
        <v>451.59013343123041</v>
      </c>
    </row>
    <row r="13" spans="2:10" x14ac:dyDescent="0.3">
      <c r="B13" s="24" t="s">
        <v>110</v>
      </c>
      <c r="C13" s="23">
        <f>C12/C6</f>
        <v>5.2589928057553956E-2</v>
      </c>
      <c r="D13" s="23">
        <f>D12/D6</f>
        <v>3.8974824811834931E-2</v>
      </c>
      <c r="E13" s="23">
        <f>E12/E6</f>
        <v>5.4203722854188216E-2</v>
      </c>
      <c r="F13" s="43">
        <f>AVERAGE(C13:E13)</f>
        <v>4.858949190785903E-2</v>
      </c>
      <c r="G13" s="43">
        <f>AVERAGE(C13:F13)</f>
        <v>4.858949190785903E-2</v>
      </c>
      <c r="H13" s="43">
        <f>AVERAGE(C13:G13)</f>
        <v>4.858949190785903E-2</v>
      </c>
      <c r="I13" s="43">
        <f t="shared" ref="I13:J13" si="6">AVERAGE(C13:H13)</f>
        <v>4.858949190785903E-2</v>
      </c>
      <c r="J13" s="43">
        <f t="shared" si="6"/>
        <v>4.7922752549576543E-2</v>
      </c>
    </row>
    <row r="14" spans="2:10" x14ac:dyDescent="0.3">
      <c r="F14" s="40"/>
      <c r="G14" s="40"/>
      <c r="H14" s="40"/>
      <c r="I14" s="40"/>
      <c r="J14" s="40"/>
    </row>
    <row r="15" spans="2:10" x14ac:dyDescent="0.3">
      <c r="B15" s="20" t="s">
        <v>112</v>
      </c>
      <c r="C15" s="25">
        <f>'(IS)'!V14</f>
        <v>80.75</v>
      </c>
      <c r="D15" s="25">
        <f>'(IS)'!W14</f>
        <v>73.45</v>
      </c>
      <c r="E15" s="25">
        <f>'(IS)'!X14</f>
        <v>73.150000000000006</v>
      </c>
      <c r="F15" s="46">
        <f>F18*F19</f>
        <v>147.79599823057293</v>
      </c>
      <c r="G15" s="46">
        <f t="shared" ref="G15:I15" si="7">G18*G19</f>
        <v>145.58051581133751</v>
      </c>
      <c r="H15" s="46">
        <f t="shared" si="7"/>
        <v>144.9003238405196</v>
      </c>
      <c r="I15" s="46">
        <f t="shared" si="7"/>
        <v>146.09227929414334</v>
      </c>
      <c r="J15" s="46">
        <f t="shared" ref="J15" si="8">J18*J19</f>
        <v>149.40146721566211</v>
      </c>
    </row>
    <row r="16" spans="2:10" x14ac:dyDescent="0.3">
      <c r="B16" s="22" t="s">
        <v>113</v>
      </c>
      <c r="C16" s="21">
        <f>'(BS)'!K8</f>
        <v>200</v>
      </c>
      <c r="D16" s="21">
        <f>'(BS)'!L8</f>
        <v>29</v>
      </c>
      <c r="E16" s="21">
        <f>'(BS)'!M8</f>
        <v>504</v>
      </c>
      <c r="F16" s="45">
        <f>AVERAGE(C16:E16)</f>
        <v>244.33333333333334</v>
      </c>
      <c r="G16" s="45">
        <f>AVERAGE(C16:F16)</f>
        <v>244.33333333333334</v>
      </c>
      <c r="H16" s="45">
        <f>AVERAGE(C16:G16)</f>
        <v>244.33333333333334</v>
      </c>
      <c r="I16" s="45">
        <f t="shared" ref="I16:J16" si="9">AVERAGE(C16:H16)</f>
        <v>244.33333333333334</v>
      </c>
      <c r="J16" s="45">
        <f t="shared" si="9"/>
        <v>251.7222222222222</v>
      </c>
    </row>
    <row r="17" spans="2:10" x14ac:dyDescent="0.3">
      <c r="B17" s="22" t="s">
        <v>114</v>
      </c>
      <c r="C17" s="21">
        <f>'(BS)'!K7</f>
        <v>50</v>
      </c>
      <c r="D17" s="21">
        <f>'(BS)'!L7</f>
        <v>37</v>
      </c>
      <c r="E17" s="21">
        <f>'(BS)'!M7</f>
        <v>25</v>
      </c>
      <c r="F17" s="45">
        <f>AVERAGE(C17:E17)</f>
        <v>37.333333333333336</v>
      </c>
      <c r="G17" s="45">
        <f t="shared" ref="G17:J17" si="10">AVERAGE(D17:F17)</f>
        <v>33.111111111111114</v>
      </c>
      <c r="H17" s="45">
        <f t="shared" si="10"/>
        <v>31.81481481481482</v>
      </c>
      <c r="I17" s="45">
        <f t="shared" si="10"/>
        <v>34.086419753086425</v>
      </c>
      <c r="J17" s="45">
        <f t="shared" si="10"/>
        <v>33.004115226337454</v>
      </c>
    </row>
    <row r="18" spans="2:10" x14ac:dyDescent="0.3">
      <c r="B18" s="22" t="s">
        <v>115</v>
      </c>
      <c r="C18" s="21">
        <f t="shared" ref="C18:E18" si="11">C16+C17</f>
        <v>250</v>
      </c>
      <c r="D18" s="21">
        <f t="shared" si="11"/>
        <v>66</v>
      </c>
      <c r="E18" s="21">
        <f t="shared" si="11"/>
        <v>529</v>
      </c>
      <c r="F18" s="45">
        <f>F16+F17</f>
        <v>281.66666666666669</v>
      </c>
      <c r="G18" s="45">
        <f t="shared" ref="G18:I18" si="12">G16+G17</f>
        <v>277.44444444444446</v>
      </c>
      <c r="H18" s="45">
        <f t="shared" si="12"/>
        <v>276.14814814814815</v>
      </c>
      <c r="I18" s="45">
        <f t="shared" si="12"/>
        <v>278.41975308641975</v>
      </c>
      <c r="J18" s="45">
        <f t="shared" ref="J18" si="13">J16+J17</f>
        <v>284.72633744855966</v>
      </c>
    </row>
    <row r="19" spans="2:10" x14ac:dyDescent="0.3">
      <c r="B19" s="22" t="s">
        <v>116</v>
      </c>
      <c r="C19" s="23">
        <f>C15/C18</f>
        <v>0.32300000000000001</v>
      </c>
      <c r="D19" s="23">
        <f t="shared" ref="D19:E19" si="14">D15/D18</f>
        <v>1.112878787878788</v>
      </c>
      <c r="E19" s="23">
        <f t="shared" si="14"/>
        <v>0.13827977315689982</v>
      </c>
      <c r="F19" s="43">
        <f>AVERAGE(C19:E19)</f>
        <v>0.52471952034522928</v>
      </c>
      <c r="G19" s="43">
        <f>F19</f>
        <v>0.52471952034522928</v>
      </c>
      <c r="H19" s="43">
        <f t="shared" ref="H19:J19" si="15">G19</f>
        <v>0.52471952034522928</v>
      </c>
      <c r="I19" s="43">
        <f t="shared" si="15"/>
        <v>0.52471952034522928</v>
      </c>
      <c r="J19" s="43">
        <f t="shared" si="15"/>
        <v>0.52471952034522928</v>
      </c>
    </row>
    <row r="20" spans="2:10" x14ac:dyDescent="0.3">
      <c r="F20" s="40"/>
      <c r="G20" s="40"/>
      <c r="H20" s="40"/>
      <c r="I20" s="40"/>
      <c r="J20" s="40"/>
    </row>
    <row r="21" spans="2:10" x14ac:dyDescent="0.3">
      <c r="B21" s="20" t="s">
        <v>117</v>
      </c>
      <c r="C21" s="25">
        <f>'(IS)'!V16</f>
        <v>55.47</v>
      </c>
      <c r="D21" s="25">
        <f>'(IS)'!W16</f>
        <v>100.14</v>
      </c>
      <c r="E21" s="25">
        <f>'(IS)'!X16</f>
        <v>106.68</v>
      </c>
      <c r="F21" s="40"/>
      <c r="G21" s="40"/>
      <c r="H21" s="40"/>
      <c r="I21" s="40"/>
      <c r="J21" s="40"/>
    </row>
    <row r="22" spans="2:10" x14ac:dyDescent="0.3">
      <c r="B22" s="22" t="s">
        <v>118</v>
      </c>
      <c r="C22" s="97">
        <f>C21/IS!C14</f>
        <v>0.30546836279530787</v>
      </c>
      <c r="D22" s="97">
        <f>D21/IS!D14</f>
        <v>0.25944349448157944</v>
      </c>
      <c r="E22" s="97">
        <f>E21/IS!E14</f>
        <v>0.2793767186067827</v>
      </c>
      <c r="F22" s="98">
        <f>AVERAGE(C22:E22)</f>
        <v>0.28142952529455667</v>
      </c>
      <c r="G22" s="98">
        <f>F22</f>
        <v>0.28142952529455667</v>
      </c>
      <c r="H22" s="98">
        <f t="shared" ref="H22:J22" si="16">G22</f>
        <v>0.28142952529455667</v>
      </c>
      <c r="I22" s="98">
        <f t="shared" si="16"/>
        <v>0.28142952529455667</v>
      </c>
      <c r="J22" s="98">
        <f t="shared" si="16"/>
        <v>0.28142952529455667</v>
      </c>
    </row>
    <row r="23" spans="2:10" x14ac:dyDescent="0.3">
      <c r="F23" s="40"/>
      <c r="G23" s="40"/>
      <c r="H23" s="40"/>
      <c r="I23" s="40"/>
      <c r="J23" s="40"/>
    </row>
    <row r="24" spans="2:10" x14ac:dyDescent="0.3">
      <c r="B24" s="20" t="s">
        <v>119</v>
      </c>
      <c r="C24" s="21">
        <f>IS!C17</f>
        <v>5.98</v>
      </c>
      <c r="D24" s="21">
        <f>IS!D17</f>
        <v>10.77</v>
      </c>
      <c r="E24" s="21">
        <f>IS!E17</f>
        <v>13.46</v>
      </c>
      <c r="F24" s="40"/>
      <c r="G24" s="40"/>
      <c r="H24" s="40"/>
      <c r="I24" s="40"/>
      <c r="J24" s="40"/>
    </row>
    <row r="25" spans="2:10" x14ac:dyDescent="0.3">
      <c r="B25" s="22" t="s">
        <v>120</v>
      </c>
      <c r="C25" s="23">
        <f>C24/IS!C16</f>
        <v>4.7415160164922247E-2</v>
      </c>
      <c r="D25" s="23">
        <f>D24/IS!D16</f>
        <v>3.7678421494542418E-2</v>
      </c>
      <c r="E25" s="23">
        <f>E24/IS!E16</f>
        <v>4.8915216048261052E-2</v>
      </c>
      <c r="F25" s="43">
        <f>AVERAGE(C25:E25)</f>
        <v>4.4669599235908575E-2</v>
      </c>
      <c r="G25" s="43">
        <f>F25</f>
        <v>4.4669599235908575E-2</v>
      </c>
      <c r="H25" s="43">
        <f t="shared" ref="H25:J25" si="17">G25</f>
        <v>4.4669599235908575E-2</v>
      </c>
      <c r="I25" s="43">
        <f t="shared" si="17"/>
        <v>4.4669599235908575E-2</v>
      </c>
      <c r="J25" s="43">
        <f t="shared" si="17"/>
        <v>4.4669599235908575E-2</v>
      </c>
    </row>
    <row r="26" spans="2:10" x14ac:dyDescent="0.3">
      <c r="F26" s="40"/>
      <c r="G26" s="40"/>
      <c r="H26" s="40"/>
      <c r="I26" s="40"/>
      <c r="J26" s="40"/>
    </row>
    <row r="27" spans="2:10" x14ac:dyDescent="0.3">
      <c r="B27" s="27" t="s">
        <v>121</v>
      </c>
      <c r="C27" s="26"/>
      <c r="D27" s="26"/>
      <c r="E27" s="26"/>
      <c r="F27" s="40"/>
      <c r="G27" s="40"/>
      <c r="H27" s="40"/>
      <c r="I27" s="40"/>
      <c r="J27" s="40"/>
    </row>
    <row r="28" spans="2:10" x14ac:dyDescent="0.3">
      <c r="B28" s="20" t="s">
        <v>122</v>
      </c>
      <c r="F28" s="40"/>
      <c r="G28" s="40"/>
      <c r="H28" s="40"/>
      <c r="I28" s="40"/>
      <c r="J28" s="40"/>
    </row>
    <row r="29" spans="2:10" x14ac:dyDescent="0.3">
      <c r="B29" s="22" t="s">
        <v>123</v>
      </c>
      <c r="C29" s="23">
        <f>'(BS)'!K31/IS!C5</f>
        <v>1.1510791366906475E-2</v>
      </c>
      <c r="D29" s="23">
        <f>'(BS)'!L31/IS!D5</f>
        <v>5.1388528419413444E-2</v>
      </c>
      <c r="E29" s="23">
        <f>'(BS)'!M31/IS!E5</f>
        <v>7.7300930713547059E-2</v>
      </c>
      <c r="F29" s="43">
        <f>AVERAGE(C29:E29)</f>
        <v>4.6733416833288993E-2</v>
      </c>
      <c r="G29" s="43">
        <f>AVERAGE(D29:F29)</f>
        <v>5.8474291988749837E-2</v>
      </c>
      <c r="H29" s="43">
        <f t="shared" ref="H29:J29" si="18">AVERAGE(E29:G29)</f>
        <v>6.0836213178528629E-2</v>
      </c>
      <c r="I29" s="43">
        <f t="shared" si="18"/>
        <v>5.5347974000189155E-2</v>
      </c>
      <c r="J29" s="43">
        <f t="shared" si="18"/>
        <v>5.8219493055822545E-2</v>
      </c>
    </row>
    <row r="30" spans="2:10" x14ac:dyDescent="0.3">
      <c r="B30" s="22" t="s">
        <v>124</v>
      </c>
      <c r="C30" s="23">
        <f>'(BS)'!K33/IS!C6</f>
        <v>0.19348448346777919</v>
      </c>
      <c r="D30" s="23">
        <f>'(BS)'!L33/IS!D6</f>
        <v>0.16104148354856751</v>
      </c>
      <c r="E30" s="23">
        <f>'(BS)'!M33/IS!E6</f>
        <v>0.16097409332803936</v>
      </c>
      <c r="F30" s="43">
        <f>AVERAGE(C30:E30)</f>
        <v>0.17183335344812867</v>
      </c>
      <c r="G30" s="43">
        <f t="shared" ref="G30:J30" si="19">AVERAGE(D30:F30)</f>
        <v>0.16461631010824518</v>
      </c>
      <c r="H30" s="43">
        <f t="shared" si="19"/>
        <v>0.16580791896147107</v>
      </c>
      <c r="I30" s="43">
        <f t="shared" si="19"/>
        <v>0.16741919417261497</v>
      </c>
      <c r="J30" s="43">
        <f t="shared" si="19"/>
        <v>0.16594780774744375</v>
      </c>
    </row>
    <row r="31" spans="2:10" x14ac:dyDescent="0.3">
      <c r="B31" s="22" t="s">
        <v>125</v>
      </c>
      <c r="C31" s="23">
        <f>'(BS)'!K34/IS!C5</f>
        <v>0.10035971223021582</v>
      </c>
      <c r="D31" s="23">
        <f>'(BS)'!L34/IS!D5</f>
        <v>0.13833376589670388</v>
      </c>
      <c r="E31" s="23">
        <f>'(BS)'!M34/IS!E5</f>
        <v>0.17347466390899691</v>
      </c>
      <c r="F31" s="43">
        <f>AVERAGE(C31:E31)</f>
        <v>0.13738938067863887</v>
      </c>
      <c r="G31" s="43">
        <f t="shared" ref="G31:J31" si="20">AVERAGE(D31:F31)</f>
        <v>0.14973260349477988</v>
      </c>
      <c r="H31" s="43">
        <f t="shared" si="20"/>
        <v>0.15353221602747189</v>
      </c>
      <c r="I31" s="43">
        <f t="shared" si="20"/>
        <v>0.14688473340029687</v>
      </c>
      <c r="J31" s="43">
        <f t="shared" si="20"/>
        <v>0.15004985097418289</v>
      </c>
    </row>
    <row r="32" spans="2:10" x14ac:dyDescent="0.3">
      <c r="B32" s="16" t="s">
        <v>126</v>
      </c>
      <c r="C32" s="23">
        <f>'(BS)'!K13/IS!C6</f>
        <v>0.13556505023881274</v>
      </c>
      <c r="D32" s="23">
        <f>'(BS)'!L13/IS!D6</f>
        <v>9.8038613076322598E-2</v>
      </c>
      <c r="E32" s="23">
        <f>'(BS)'!M13/IS!E6</f>
        <v>7.2330615548927821E-2</v>
      </c>
      <c r="F32" s="43">
        <f>AVERAGE(C32:E32)</f>
        <v>0.10197809295468772</v>
      </c>
      <c r="G32" s="43">
        <f t="shared" ref="G32:J32" si="21">AVERAGE(D32:F32)</f>
        <v>9.0782440526646038E-2</v>
      </c>
      <c r="H32" s="43">
        <f t="shared" si="21"/>
        <v>8.8363716343420537E-2</v>
      </c>
      <c r="I32" s="43">
        <f t="shared" si="21"/>
        <v>9.37080832749181E-2</v>
      </c>
      <c r="J32" s="43">
        <f t="shared" si="21"/>
        <v>9.0951413381661558E-2</v>
      </c>
    </row>
    <row r="33" spans="2:10" x14ac:dyDescent="0.3">
      <c r="F33" s="40"/>
      <c r="G33" s="40"/>
      <c r="H33" s="40"/>
      <c r="I33" s="40"/>
      <c r="J33" s="40"/>
    </row>
    <row r="34" spans="2:10" x14ac:dyDescent="0.3">
      <c r="B34" s="20" t="s">
        <v>127</v>
      </c>
      <c r="F34" s="40"/>
      <c r="G34" s="40"/>
      <c r="H34" s="40"/>
      <c r="I34" s="40"/>
      <c r="J34" s="40"/>
    </row>
    <row r="35" spans="2:10" x14ac:dyDescent="0.3">
      <c r="B35" s="22" t="s">
        <v>128</v>
      </c>
      <c r="C35" s="25">
        <f>'(BS)'!J5</f>
        <v>818</v>
      </c>
      <c r="D35" s="25">
        <f t="shared" ref="D35:E35" si="22">C38</f>
        <v>940</v>
      </c>
      <c r="E35" s="25">
        <f t="shared" si="22"/>
        <v>2191</v>
      </c>
      <c r="F35" s="46">
        <f>E38</f>
        <v>2456</v>
      </c>
      <c r="G35" s="46">
        <f t="shared" ref="G35:H35" si="23">F38</f>
        <v>2694.2261267358349</v>
      </c>
      <c r="H35" s="46">
        <f t="shared" si="23"/>
        <v>2998.5817973594139</v>
      </c>
      <c r="I35" s="46">
        <f>H38</f>
        <v>3380.4012532071829</v>
      </c>
      <c r="J35" s="46">
        <f>I38</f>
        <v>3845.5255699794634</v>
      </c>
    </row>
    <row r="36" spans="2:10" x14ac:dyDescent="0.3">
      <c r="B36" s="22" t="s">
        <v>129</v>
      </c>
      <c r="C36" s="25">
        <f>IS!C18</f>
        <v>120.14000000000014</v>
      </c>
      <c r="D36" s="25">
        <f>IS!D18</f>
        <v>275.06999999999988</v>
      </c>
      <c r="E36" s="25">
        <f>IS!E18</f>
        <v>261.71000000000015</v>
      </c>
      <c r="F36" s="96">
        <f>IS!F18</f>
        <v>238.22612673583473</v>
      </c>
      <c r="G36" s="96">
        <f>IS!G18</f>
        <v>304.35567062357887</v>
      </c>
      <c r="H36" s="96">
        <f>IS!H18</f>
        <v>381.81945584776872</v>
      </c>
      <c r="I36" s="96">
        <f>IS!I18</f>
        <v>465.12431677228068</v>
      </c>
      <c r="J36" s="96">
        <f>IS!J18</f>
        <v>573.48166196395937</v>
      </c>
    </row>
    <row r="37" spans="2:10" x14ac:dyDescent="0.3">
      <c r="B37" s="17" t="s">
        <v>130</v>
      </c>
      <c r="C37" s="33">
        <f>C38-C36-C35</f>
        <v>1.8599999999999</v>
      </c>
      <c r="D37" s="33">
        <f>D38-D36-D35</f>
        <v>975.93000000000006</v>
      </c>
      <c r="E37" s="33">
        <f t="shared" ref="E37" si="24">E38-E36-E35</f>
        <v>3.2899999999999636</v>
      </c>
      <c r="F37" s="40">
        <v>0</v>
      </c>
      <c r="G37" s="40">
        <f>F37</f>
        <v>0</v>
      </c>
      <c r="H37" s="40">
        <f>G37</f>
        <v>0</v>
      </c>
      <c r="I37" s="40">
        <f>H37</f>
        <v>0</v>
      </c>
      <c r="J37" s="40">
        <f>I37</f>
        <v>0</v>
      </c>
    </row>
    <row r="38" spans="2:10" x14ac:dyDescent="0.3">
      <c r="B38" s="22" t="s">
        <v>131</v>
      </c>
      <c r="C38" s="32">
        <f>BS!D36</f>
        <v>940</v>
      </c>
      <c r="D38" s="32">
        <f>BS!E36</f>
        <v>2191</v>
      </c>
      <c r="E38" s="32">
        <f>BS!F36</f>
        <v>2456</v>
      </c>
      <c r="F38" s="46">
        <f>F35+F36</f>
        <v>2694.2261267358349</v>
      </c>
      <c r="G38" s="46">
        <f t="shared" ref="G38:J38" si="25">G35+G36</f>
        <v>2998.5817973594139</v>
      </c>
      <c r="H38" s="46">
        <f t="shared" si="25"/>
        <v>3380.4012532071829</v>
      </c>
      <c r="I38" s="46">
        <f t="shared" si="25"/>
        <v>3845.5255699794634</v>
      </c>
      <c r="J38" s="46">
        <f t="shared" si="25"/>
        <v>4419.007231943423</v>
      </c>
    </row>
    <row r="39" spans="2:10" x14ac:dyDescent="0.3">
      <c r="B39" s="22"/>
      <c r="C39" s="25"/>
      <c r="D39" s="25"/>
      <c r="E39" s="25"/>
    </row>
    <row r="40" spans="2:10" x14ac:dyDescent="0.3">
      <c r="B40"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88502-D443-4DD1-A277-57DBF24DDBE4}">
  <sheetPr>
    <tabColor rgb="FFFFFF00"/>
  </sheetPr>
  <dimension ref="A1"/>
  <sheetViews>
    <sheetView showGridLines="0" workbookViewId="0">
      <selection activeCell="P19" sqref="P19"/>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8B8F4-7993-4F33-82FC-F1FBDE041B5E}">
  <dimension ref="B2:J12"/>
  <sheetViews>
    <sheetView showGridLines="0" workbookViewId="0">
      <selection activeCell="I18" sqref="I18"/>
    </sheetView>
  </sheetViews>
  <sheetFormatPr defaultRowHeight="14.4" x14ac:dyDescent="0.3"/>
  <cols>
    <col min="1" max="1" width="3.21875" customWidth="1"/>
    <col min="2" max="2" width="42.44140625" customWidth="1"/>
  </cols>
  <sheetData>
    <row r="2" spans="2:10" ht="21" x14ac:dyDescent="0.4">
      <c r="B2" s="34" t="s">
        <v>132</v>
      </c>
      <c r="C2" s="2"/>
      <c r="D2" s="2"/>
      <c r="E2" s="2"/>
      <c r="F2" s="2"/>
      <c r="G2" s="2"/>
      <c r="H2" s="2"/>
      <c r="I2" s="2"/>
    </row>
    <row r="3" spans="2:10" x14ac:dyDescent="0.3">
      <c r="B3" s="3" t="s">
        <v>0</v>
      </c>
      <c r="C3" s="2"/>
      <c r="D3" s="2"/>
      <c r="E3" s="2"/>
      <c r="F3" s="2"/>
      <c r="G3" s="2"/>
      <c r="H3" s="2"/>
      <c r="I3" s="2"/>
    </row>
    <row r="4" spans="2:10" x14ac:dyDescent="0.3">
      <c r="B4" s="4" t="s">
        <v>1</v>
      </c>
      <c r="C4" s="84" t="s">
        <v>2</v>
      </c>
      <c r="D4" s="84" t="s">
        <v>3</v>
      </c>
      <c r="E4" s="85" t="s">
        <v>91</v>
      </c>
      <c r="F4" s="83" t="s">
        <v>4</v>
      </c>
      <c r="G4" s="83" t="s">
        <v>5</v>
      </c>
      <c r="H4" s="83" t="s">
        <v>6</v>
      </c>
      <c r="I4" s="83" t="s">
        <v>7</v>
      </c>
      <c r="J4" s="83" t="s">
        <v>170</v>
      </c>
    </row>
    <row r="5" spans="2:10" x14ac:dyDescent="0.3">
      <c r="B5" s="22" t="s">
        <v>133</v>
      </c>
      <c r="C5" s="21"/>
      <c r="D5" s="21">
        <f t="shared" ref="D5" si="0">C8</f>
        <v>691</v>
      </c>
      <c r="E5" s="21">
        <f>D8</f>
        <v>706</v>
      </c>
      <c r="F5" s="42">
        <f>E8</f>
        <v>882</v>
      </c>
      <c r="G5" s="42">
        <f t="shared" ref="G5:J5" si="1">F8</f>
        <v>1001.5107595429706</v>
      </c>
      <c r="H5" s="42">
        <f t="shared" si="1"/>
        <v>1137.2151944221516</v>
      </c>
      <c r="I5" s="42">
        <f t="shared" si="1"/>
        <v>1291.3075432307664</v>
      </c>
      <c r="J5" s="42">
        <f t="shared" si="1"/>
        <v>1466.2793632932112</v>
      </c>
    </row>
    <row r="6" spans="2:10" x14ac:dyDescent="0.3">
      <c r="B6" s="38" t="s">
        <v>134</v>
      </c>
      <c r="C6" s="39"/>
      <c r="D6" s="39">
        <f>D8+D7-D5</f>
        <v>42.100000000000023</v>
      </c>
      <c r="E6" s="39">
        <f t="shared" ref="E6" si="2">E8+E7-E5</f>
        <v>205.58000000000004</v>
      </c>
      <c r="F6" s="46">
        <f>F5*F11</f>
        <v>155.28315406911199</v>
      </c>
      <c r="G6" s="46">
        <f t="shared" ref="G6:I6" si="3">G5*G11</f>
        <v>176.32397911109351</v>
      </c>
      <c r="H6" s="46">
        <f t="shared" si="3"/>
        <v>200.21583020996613</v>
      </c>
      <c r="I6" s="46">
        <f t="shared" si="3"/>
        <v>227.34502061917189</v>
      </c>
      <c r="J6" s="46">
        <f t="shared" ref="J6" si="4">J5*J11</f>
        <v>258.15020893267479</v>
      </c>
    </row>
    <row r="7" spans="2:10" x14ac:dyDescent="0.3">
      <c r="B7" s="22" t="s">
        <v>135</v>
      </c>
      <c r="C7" s="21">
        <f>IS!C10</f>
        <v>22.5</v>
      </c>
      <c r="D7" s="21">
        <f>IS!D10</f>
        <v>27.1</v>
      </c>
      <c r="E7" s="21">
        <f>IS!E10</f>
        <v>29.58</v>
      </c>
      <c r="F7" s="48">
        <f>F5*F12</f>
        <v>35.772394526141447</v>
      </c>
      <c r="G7" s="48">
        <f t="shared" ref="G7:I7" si="5">G5*G12</f>
        <v>40.619544231912386</v>
      </c>
      <c r="H7" s="48">
        <f t="shared" si="5"/>
        <v>46.123481401351313</v>
      </c>
      <c r="I7" s="48">
        <f t="shared" si="5"/>
        <v>52.373200556727241</v>
      </c>
      <c r="J7" s="48">
        <f t="shared" ref="J7" si="6">J5*J12</f>
        <v>59.469754953814324</v>
      </c>
    </row>
    <row r="8" spans="2:10" x14ac:dyDescent="0.3">
      <c r="B8" s="35" t="s">
        <v>136</v>
      </c>
      <c r="C8" s="37">
        <f>SUM('(BS)'!K18:K26)-'(BS)'!K29</f>
        <v>691</v>
      </c>
      <c r="D8" s="37">
        <f>SUM('(BS)'!L18:L26)-'(BS)'!L29</f>
        <v>706</v>
      </c>
      <c r="E8" s="37">
        <f>SUM('(BS)'!M18:M26)-'(BS)'!M29</f>
        <v>882</v>
      </c>
      <c r="F8" s="36">
        <f>F5+F6-F7</f>
        <v>1001.5107595429706</v>
      </c>
      <c r="G8" s="36">
        <f t="shared" ref="G8:I8" si="7">G5+G6-G7</f>
        <v>1137.2151944221516</v>
      </c>
      <c r="H8" s="36">
        <f t="shared" si="7"/>
        <v>1291.3075432307664</v>
      </c>
      <c r="I8" s="36">
        <f t="shared" si="7"/>
        <v>1466.2793632932112</v>
      </c>
      <c r="J8" s="36">
        <f t="shared" ref="J8" si="8">J5+J6-J7</f>
        <v>1664.9598172720716</v>
      </c>
    </row>
    <row r="11" spans="2:10" x14ac:dyDescent="0.3">
      <c r="B11" t="s">
        <v>140</v>
      </c>
      <c r="C11" s="47"/>
      <c r="D11" s="47">
        <f t="shared" ref="D11" si="9">D6/D5</f>
        <v>6.0926193921852417E-2</v>
      </c>
      <c r="E11" s="47">
        <f>E6/E5</f>
        <v>0.29118980169971675</v>
      </c>
      <c r="F11" s="28">
        <f>AVERAGE(C11:E11)</f>
        <v>0.17605799781078457</v>
      </c>
      <c r="G11" s="28">
        <f>F11</f>
        <v>0.17605799781078457</v>
      </c>
      <c r="H11" s="28">
        <f t="shared" ref="H11:J12" si="10">G11</f>
        <v>0.17605799781078457</v>
      </c>
      <c r="I11" s="28">
        <f t="shared" si="10"/>
        <v>0.17605799781078457</v>
      </c>
      <c r="J11" s="28">
        <f t="shared" si="10"/>
        <v>0.17605799781078457</v>
      </c>
    </row>
    <row r="12" spans="2:10" x14ac:dyDescent="0.3">
      <c r="B12" t="s">
        <v>139</v>
      </c>
      <c r="C12" s="47"/>
      <c r="D12" s="47">
        <f t="shared" ref="D12:E12" si="11">D7/D5</f>
        <v>3.921852387843705E-2</v>
      </c>
      <c r="E12" s="47">
        <f t="shared" si="11"/>
        <v>4.1898016997167137E-2</v>
      </c>
      <c r="F12" s="28">
        <f>AVERAGE(C12:E12)</f>
        <v>4.0558270437802094E-2</v>
      </c>
      <c r="G12" s="28">
        <f>F12</f>
        <v>4.0558270437802094E-2</v>
      </c>
      <c r="H12" s="28">
        <f t="shared" si="10"/>
        <v>4.0558270437802094E-2</v>
      </c>
      <c r="I12" s="28">
        <f t="shared" si="10"/>
        <v>4.0558270437802094E-2</v>
      </c>
      <c r="J12" s="28">
        <f t="shared" si="10"/>
        <v>4.0558270437802094E-2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J25"/>
  <sheetViews>
    <sheetView showGridLines="0" zoomScaleNormal="100" workbookViewId="0">
      <pane xSplit="2" ySplit="4" topLeftCell="C5" activePane="bottomRight" state="frozen"/>
      <selection pane="topRight" activeCell="C1" sqref="C1"/>
      <selection pane="bottomLeft" activeCell="A5" sqref="A5"/>
      <selection pane="bottomRight" activeCell="H24" sqref="H24"/>
    </sheetView>
  </sheetViews>
  <sheetFormatPr defaultColWidth="14.44140625" defaultRowHeight="15" customHeight="1" x14ac:dyDescent="0.3"/>
  <cols>
    <col min="1" max="1" width="3" customWidth="1"/>
    <col min="2" max="2" width="25.44140625" customWidth="1"/>
  </cols>
  <sheetData>
    <row r="2" spans="2:10" ht="15" customHeight="1" x14ac:dyDescent="0.4">
      <c r="B2" s="34" t="s">
        <v>234</v>
      </c>
      <c r="C2" s="2"/>
      <c r="D2" s="2"/>
      <c r="E2" s="2"/>
      <c r="F2" s="2"/>
      <c r="G2" s="2"/>
      <c r="H2" s="2"/>
      <c r="I2" s="2"/>
    </row>
    <row r="3" spans="2:10" ht="14.4" x14ac:dyDescent="0.3">
      <c r="B3" s="3" t="s">
        <v>0</v>
      </c>
      <c r="C3" s="2"/>
      <c r="D3" s="2"/>
      <c r="E3" s="2"/>
      <c r="F3" s="2"/>
      <c r="G3" s="2"/>
      <c r="H3" s="2"/>
      <c r="I3" s="2"/>
    </row>
    <row r="4" spans="2:10" ht="14.4" x14ac:dyDescent="0.3">
      <c r="B4" s="71" t="s">
        <v>1</v>
      </c>
      <c r="C4" s="114" t="s">
        <v>2</v>
      </c>
      <c r="D4" s="114" t="s">
        <v>3</v>
      </c>
      <c r="E4" s="115" t="s">
        <v>91</v>
      </c>
      <c r="F4" s="99" t="s">
        <v>4</v>
      </c>
      <c r="G4" s="99" t="s">
        <v>5</v>
      </c>
      <c r="H4" s="99" t="s">
        <v>6</v>
      </c>
      <c r="I4" s="100" t="s">
        <v>7</v>
      </c>
      <c r="J4" s="100" t="s">
        <v>170</v>
      </c>
    </row>
    <row r="5" spans="2:10" ht="14.4" x14ac:dyDescent="0.3">
      <c r="B5" s="72" t="s">
        <v>8</v>
      </c>
      <c r="C5" s="101">
        <f>'Assumptions ( Driver)'!C6</f>
        <v>2780</v>
      </c>
      <c r="D5" s="101">
        <f>'Assumptions ( Driver)'!D6</f>
        <v>3853</v>
      </c>
      <c r="E5" s="101">
        <f>'Assumptions ( Driver)'!E6</f>
        <v>3868</v>
      </c>
      <c r="F5" s="101">
        <f>'Assumptions ( Driver)'!F6</f>
        <v>4621.9975433512527</v>
      </c>
      <c r="G5" s="101">
        <f>'Assumptions ( Driver)'!G6</f>
        <v>5522.9734464180492</v>
      </c>
      <c r="H5" s="101">
        <f>'Assumptions ( Driver)'!H6</f>
        <v>6599.5785163749797</v>
      </c>
      <c r="I5" s="101">
        <f>'Assumptions ( Driver)'!I6</f>
        <v>7886.0485237432413</v>
      </c>
      <c r="J5" s="101">
        <f>'Assumptions ( Driver)'!J6</f>
        <v>9423.2928912849093</v>
      </c>
    </row>
    <row r="6" spans="2:10" ht="14.4" x14ac:dyDescent="0.3">
      <c r="B6" s="73" t="s">
        <v>9</v>
      </c>
      <c r="C6" s="102">
        <f>'Assumptions ( Driver)'!C9</f>
        <v>2382.62</v>
      </c>
      <c r="D6" s="102">
        <f>'Assumptions ( Driver)'!D9</f>
        <v>3253.82</v>
      </c>
      <c r="E6" s="102">
        <f>'Assumptions ( Driver)'!E9</f>
        <v>3248.97</v>
      </c>
      <c r="F6" s="102">
        <f>'Assumptions ( Driver)'!F9</f>
        <v>3915.6157822881319</v>
      </c>
      <c r="G6" s="102">
        <f>'Assumptions ( Driver)'!G9</f>
        <v>4678.8951722965712</v>
      </c>
      <c r="H6" s="102">
        <f>'Assumptions ( Driver)'!H9</f>
        <v>5590.9622523145781</v>
      </c>
      <c r="I6" s="102">
        <f>'Assumptions ( Driver)'!I9</f>
        <v>6680.8205261550056</v>
      </c>
      <c r="J6" s="102">
        <f>'Assumptions ( Driver)'!J9</f>
        <v>7983.1272128901383</v>
      </c>
    </row>
    <row r="7" spans="2:10" ht="14.4" x14ac:dyDescent="0.3">
      <c r="B7" s="74" t="s">
        <v>10</v>
      </c>
      <c r="C7" s="103">
        <f t="shared" ref="C7:J7" si="0">C5-C6</f>
        <v>397.38000000000011</v>
      </c>
      <c r="D7" s="103">
        <f t="shared" si="0"/>
        <v>599.17999999999984</v>
      </c>
      <c r="E7" s="103">
        <f t="shared" si="0"/>
        <v>619.0300000000002</v>
      </c>
      <c r="F7" s="103">
        <f t="shared" si="0"/>
        <v>706.38176106312085</v>
      </c>
      <c r="G7" s="103">
        <f t="shared" si="0"/>
        <v>844.07827412147799</v>
      </c>
      <c r="H7" s="103">
        <f t="shared" si="0"/>
        <v>1008.6162640604016</v>
      </c>
      <c r="I7" s="104">
        <f t="shared" si="0"/>
        <v>1205.2279975882357</v>
      </c>
      <c r="J7" s="104">
        <f t="shared" si="0"/>
        <v>1440.165678394771</v>
      </c>
    </row>
    <row r="8" spans="2:10" ht="14.4" x14ac:dyDescent="0.3">
      <c r="B8" s="75" t="s">
        <v>11</v>
      </c>
      <c r="C8" s="105">
        <f>'Assumptions ( Driver)'!C12</f>
        <v>146.19999999999999</v>
      </c>
      <c r="D8" s="105">
        <f>'Assumptions ( Driver)'!D12</f>
        <v>150.16999999999999</v>
      </c>
      <c r="E8" s="105">
        <f>'Assumptions ( Driver)'!E12</f>
        <v>209.66000000000003</v>
      </c>
      <c r="F8" s="105">
        <f>'Assumptions ( Driver)'!F12</f>
        <v>224.58051223081</v>
      </c>
      <c r="G8" s="105">
        <f>'Assumptions ( Driver)'!G12</f>
        <v>268.35847358205012</v>
      </c>
      <c r="H8" s="105">
        <f>'Assumptions ( Driver)'!H12</f>
        <v>320.67016691668238</v>
      </c>
      <c r="I8" s="105">
        <f>'Assumptions ( Driver)'!I12</f>
        <v>383.17909092940585</v>
      </c>
      <c r="J8" s="105">
        <f>'Assumptions ( Driver)'!J12</f>
        <v>451.59013343123041</v>
      </c>
    </row>
    <row r="9" spans="2:10" ht="14.4" x14ac:dyDescent="0.3">
      <c r="B9" s="72" t="s">
        <v>12</v>
      </c>
      <c r="C9" s="101">
        <f t="shared" ref="C9:J9" si="1">C7-C8</f>
        <v>251.18000000000012</v>
      </c>
      <c r="D9" s="101">
        <f t="shared" si="1"/>
        <v>449.00999999999988</v>
      </c>
      <c r="E9" s="101">
        <f t="shared" si="1"/>
        <v>409.37000000000018</v>
      </c>
      <c r="F9" s="101">
        <f t="shared" si="1"/>
        <v>481.80124883231088</v>
      </c>
      <c r="G9" s="101">
        <f t="shared" si="1"/>
        <v>575.71980053942787</v>
      </c>
      <c r="H9" s="101">
        <f t="shared" si="1"/>
        <v>687.94609714371927</v>
      </c>
      <c r="I9" s="106">
        <f t="shared" si="1"/>
        <v>822.04890665882976</v>
      </c>
      <c r="J9" s="106">
        <f t="shared" si="1"/>
        <v>988.57554496354055</v>
      </c>
    </row>
    <row r="10" spans="2:10" ht="14.4" x14ac:dyDescent="0.3">
      <c r="B10" s="73" t="s">
        <v>13</v>
      </c>
      <c r="C10" s="102">
        <f>'(IS)'!V13</f>
        <v>22.5</v>
      </c>
      <c r="D10" s="102">
        <f>'(IS)'!W13</f>
        <v>27.1</v>
      </c>
      <c r="E10" s="102">
        <f>'(IS)'!X13</f>
        <v>29.58</v>
      </c>
      <c r="F10" s="102">
        <f>Capex!F7</f>
        <v>35.772394526141447</v>
      </c>
      <c r="G10" s="102">
        <f>Capex!G7</f>
        <v>40.619544231912386</v>
      </c>
      <c r="H10" s="102">
        <f>Capex!H7</f>
        <v>46.123481401351313</v>
      </c>
      <c r="I10" s="107">
        <f>Capex!I7</f>
        <v>52.373200556727241</v>
      </c>
      <c r="J10" s="107">
        <f>Capex!J7</f>
        <v>59.469754953814324</v>
      </c>
    </row>
    <row r="11" spans="2:10" ht="14.4" x14ac:dyDescent="0.3">
      <c r="B11" s="95" t="s">
        <v>90</v>
      </c>
      <c r="C11" s="102">
        <f>'(IS)'!V12</f>
        <v>33.659999999999997</v>
      </c>
      <c r="D11" s="102">
        <f>'(IS)'!W12</f>
        <v>37.520000000000003</v>
      </c>
      <c r="E11" s="102">
        <f>'(IS)'!X12</f>
        <v>75.209999999999994</v>
      </c>
      <c r="F11" s="102">
        <f>AVERAGE(C11:E11)</f>
        <v>48.79666666666666</v>
      </c>
      <c r="G11" s="102">
        <f t="shared" ref="G11:J11" si="2">AVERAGE(D11:F11)</f>
        <v>53.842222222222212</v>
      </c>
      <c r="H11" s="102">
        <f t="shared" si="2"/>
        <v>59.282962962962955</v>
      </c>
      <c r="I11" s="102">
        <f t="shared" si="2"/>
        <v>53.973950617283947</v>
      </c>
      <c r="J11" s="102">
        <f t="shared" si="2"/>
        <v>55.699711934156369</v>
      </c>
    </row>
    <row r="12" spans="2:10" ht="14.4" x14ac:dyDescent="0.3">
      <c r="B12" s="72" t="s">
        <v>14</v>
      </c>
      <c r="C12" s="101">
        <f>C9-C10+C11</f>
        <v>262.34000000000015</v>
      </c>
      <c r="D12" s="101">
        <f t="shared" ref="D12:J12" si="3">D9-D10+D11</f>
        <v>459.42999999999984</v>
      </c>
      <c r="E12" s="101">
        <f t="shared" si="3"/>
        <v>455.00000000000017</v>
      </c>
      <c r="F12" s="101">
        <f t="shared" si="3"/>
        <v>494.8255209728361</v>
      </c>
      <c r="G12" s="101">
        <f t="shared" si="3"/>
        <v>588.94247852973763</v>
      </c>
      <c r="H12" s="101">
        <f t="shared" si="3"/>
        <v>701.10557870533091</v>
      </c>
      <c r="I12" s="101">
        <f t="shared" si="3"/>
        <v>823.64965671938648</v>
      </c>
      <c r="J12" s="101">
        <f t="shared" si="3"/>
        <v>984.80550194388252</v>
      </c>
    </row>
    <row r="13" spans="2:10" ht="14.4" x14ac:dyDescent="0.3">
      <c r="B13" s="73" t="s">
        <v>15</v>
      </c>
      <c r="C13" s="102">
        <f>'Assumptions ( Driver)'!C15</f>
        <v>80.75</v>
      </c>
      <c r="D13" s="102">
        <f>'Assumptions ( Driver)'!D15</f>
        <v>73.45</v>
      </c>
      <c r="E13" s="102">
        <f>'Assumptions ( Driver)'!E15</f>
        <v>73.150000000000006</v>
      </c>
      <c r="F13" s="102">
        <f>'Assumptions ( Driver)'!F15</f>
        <v>147.79599823057293</v>
      </c>
      <c r="G13" s="102">
        <f>'Assumptions ( Driver)'!G15</f>
        <v>145.58051581133751</v>
      </c>
      <c r="H13" s="102">
        <f>'Assumptions ( Driver)'!H15</f>
        <v>144.9003238405196</v>
      </c>
      <c r="I13" s="107">
        <f>'Assumptions ( Driver)'!I15</f>
        <v>146.09227929414334</v>
      </c>
      <c r="J13" s="107">
        <f>'Assumptions ( Driver)'!J15</f>
        <v>149.40146721566211</v>
      </c>
    </row>
    <row r="14" spans="2:10" ht="14.4" x14ac:dyDescent="0.3">
      <c r="B14" s="77" t="s">
        <v>16</v>
      </c>
      <c r="C14" s="102">
        <f>C12-C13</f>
        <v>181.59000000000015</v>
      </c>
      <c r="D14" s="102">
        <f t="shared" ref="D14:J14" si="4">D12-D13</f>
        <v>385.97999999999985</v>
      </c>
      <c r="E14" s="102">
        <f t="shared" si="4"/>
        <v>381.85000000000014</v>
      </c>
      <c r="F14" s="102">
        <f t="shared" si="4"/>
        <v>347.02952274226317</v>
      </c>
      <c r="G14" s="102">
        <f t="shared" si="4"/>
        <v>443.36196271840015</v>
      </c>
      <c r="H14" s="102">
        <f t="shared" si="4"/>
        <v>556.20525486481131</v>
      </c>
      <c r="I14" s="102">
        <f t="shared" si="4"/>
        <v>677.5573774252432</v>
      </c>
      <c r="J14" s="102">
        <f t="shared" si="4"/>
        <v>835.40403472822038</v>
      </c>
    </row>
    <row r="15" spans="2:10" ht="14.4" x14ac:dyDescent="0.3">
      <c r="B15" s="76" t="s">
        <v>17</v>
      </c>
      <c r="C15" s="101">
        <f>'(IS)'!V16</f>
        <v>55.47</v>
      </c>
      <c r="D15" s="101">
        <f>'(IS)'!W16</f>
        <v>100.14</v>
      </c>
      <c r="E15" s="101">
        <f>'(IS)'!X16</f>
        <v>106.68</v>
      </c>
      <c r="F15" s="101">
        <f>IS!F14*'Assumptions ( Driver)'!F22</f>
        <v>97.664353848551684</v>
      </c>
      <c r="G15" s="101">
        <f>IS!G14*'Assumptions ( Driver)'!G22</f>
        <v>124.77514670150228</v>
      </c>
      <c r="H15" s="101">
        <f>IS!H14*'Assumptions ( Driver)'!H22</f>
        <v>156.53258084294174</v>
      </c>
      <c r="I15" s="106">
        <f>IS!I14*'Assumptions ( Driver)'!I22</f>
        <v>190.68465108861096</v>
      </c>
      <c r="J15" s="106">
        <f>IS!J14*'Assumptions ( Driver)'!J22</f>
        <v>235.1073609227204</v>
      </c>
    </row>
    <row r="16" spans="2:10" ht="14.4" x14ac:dyDescent="0.3">
      <c r="B16" s="78" t="s">
        <v>18</v>
      </c>
      <c r="C16" s="108">
        <f t="shared" ref="C16:J16" si="5">C14-C15</f>
        <v>126.12000000000015</v>
      </c>
      <c r="D16" s="108">
        <f t="shared" si="5"/>
        <v>285.83999999999986</v>
      </c>
      <c r="E16" s="108">
        <f t="shared" si="5"/>
        <v>275.17000000000013</v>
      </c>
      <c r="F16" s="108">
        <f t="shared" si="5"/>
        <v>249.36516889371148</v>
      </c>
      <c r="G16" s="108">
        <f t="shared" si="5"/>
        <v>318.58681601689784</v>
      </c>
      <c r="H16" s="108">
        <f t="shared" si="5"/>
        <v>399.67267402186957</v>
      </c>
      <c r="I16" s="109">
        <f t="shared" si="5"/>
        <v>486.87272633663224</v>
      </c>
      <c r="J16" s="109">
        <f t="shared" si="5"/>
        <v>600.29667380549995</v>
      </c>
    </row>
    <row r="17" spans="2:10" ht="14.4" x14ac:dyDescent="0.3">
      <c r="B17" s="79" t="s">
        <v>19</v>
      </c>
      <c r="C17" s="110">
        <f>'(IS)'!V18</f>
        <v>5.98</v>
      </c>
      <c r="D17" s="110">
        <f>'(IS)'!W18</f>
        <v>10.77</v>
      </c>
      <c r="E17" s="110">
        <f>'(IS)'!X18</f>
        <v>13.46</v>
      </c>
      <c r="F17" s="110">
        <f>F16*'Assumptions ( Driver)'!F25</f>
        <v>11.139042157876748</v>
      </c>
      <c r="G17" s="110">
        <f>G16*'Assumptions ( Driver)'!G25</f>
        <v>14.231145393318965</v>
      </c>
      <c r="H17" s="110">
        <f>H16*'Assumptions ( Driver)'!H25</f>
        <v>17.853218174100842</v>
      </c>
      <c r="I17" s="111">
        <f>I16*'Assumptions ( Driver)'!I25</f>
        <v>21.748409564351551</v>
      </c>
      <c r="J17" s="111">
        <f>J16*'Assumptions ( Driver)'!J25</f>
        <v>26.81501184154062</v>
      </c>
    </row>
    <row r="18" spans="2:10" ht="14.4" x14ac:dyDescent="0.3">
      <c r="B18" s="80" t="s">
        <v>20</v>
      </c>
      <c r="C18" s="112">
        <f t="shared" ref="C18:J18" si="6">C16-C17</f>
        <v>120.14000000000014</v>
      </c>
      <c r="D18" s="112">
        <f t="shared" si="6"/>
        <v>275.06999999999988</v>
      </c>
      <c r="E18" s="112">
        <f t="shared" si="6"/>
        <v>261.71000000000015</v>
      </c>
      <c r="F18" s="112">
        <f t="shared" si="6"/>
        <v>238.22612673583473</v>
      </c>
      <c r="G18" s="112">
        <f t="shared" si="6"/>
        <v>304.35567062357887</v>
      </c>
      <c r="H18" s="112">
        <f t="shared" si="6"/>
        <v>381.81945584776872</v>
      </c>
      <c r="I18" s="113">
        <f t="shared" si="6"/>
        <v>465.12431677228068</v>
      </c>
      <c r="J18" s="113">
        <f t="shared" si="6"/>
        <v>573.48166196395937</v>
      </c>
    </row>
    <row r="20" spans="2:10" ht="15" customHeight="1" x14ac:dyDescent="0.3">
      <c r="B20" s="22"/>
      <c r="C20" s="15"/>
      <c r="D20" s="15"/>
      <c r="E20" s="15"/>
    </row>
    <row r="21" spans="2:10" ht="15" customHeight="1" x14ac:dyDescent="0.3">
      <c r="B21" s="29"/>
      <c r="C21" s="25"/>
      <c r="D21" s="25"/>
      <c r="E21" s="25"/>
      <c r="F21" s="25"/>
      <c r="G21" s="25"/>
      <c r="H21" s="25"/>
      <c r="I21" s="25"/>
      <c r="J21" s="25"/>
    </row>
    <row r="22" spans="2:10" ht="15" customHeight="1" x14ac:dyDescent="0.3">
      <c r="B22" s="29"/>
      <c r="C22" s="25"/>
      <c r="D22" s="25"/>
      <c r="E22" s="25"/>
      <c r="F22" s="25"/>
      <c r="G22" s="25"/>
      <c r="H22" s="25"/>
      <c r="I22" s="25"/>
      <c r="J22" s="25"/>
    </row>
    <row r="23" spans="2:10" ht="15" customHeight="1" x14ac:dyDescent="0.3">
      <c r="B23" s="22"/>
      <c r="C23" s="21"/>
      <c r="D23" s="21"/>
      <c r="E23" s="21"/>
      <c r="F23" s="21"/>
      <c r="G23" s="21"/>
      <c r="H23" s="21"/>
      <c r="I23" s="21"/>
      <c r="J23" s="21"/>
    </row>
    <row r="24" spans="2:10" ht="15" customHeight="1" x14ac:dyDescent="0.3">
      <c r="B24" s="30"/>
      <c r="C24" s="31"/>
      <c r="D24" s="31"/>
      <c r="E24" s="31"/>
      <c r="F24" s="31"/>
      <c r="G24" s="31"/>
      <c r="H24" s="31"/>
      <c r="I24" s="31"/>
      <c r="J24" s="31"/>
    </row>
    <row r="25" spans="2:10" ht="15" customHeight="1" x14ac:dyDescent="0.3">
      <c r="B25" s="22"/>
      <c r="C25" s="21"/>
      <c r="D25" s="21"/>
      <c r="E25" s="21"/>
      <c r="F25" s="21"/>
      <c r="G25" s="21"/>
      <c r="H25" s="21"/>
      <c r="I25" s="21"/>
      <c r="J25" s="2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K40"/>
  <sheetViews>
    <sheetView showGridLines="0" topLeftCell="A20" zoomScaleNormal="100" workbookViewId="0">
      <selection activeCell="M37" sqref="M37"/>
    </sheetView>
  </sheetViews>
  <sheetFormatPr defaultColWidth="14.44140625" defaultRowHeight="15" customHeight="1" x14ac:dyDescent="0.3"/>
  <cols>
    <col min="1" max="1" width="4.109375" style="15" customWidth="1"/>
    <col min="2" max="2" width="28.33203125" customWidth="1"/>
    <col min="3" max="3" width="5.109375" customWidth="1"/>
  </cols>
  <sheetData>
    <row r="2" spans="1:11" ht="15" customHeight="1" x14ac:dyDescent="0.4">
      <c r="B2" s="34" t="s">
        <v>235</v>
      </c>
      <c r="C2" s="1"/>
      <c r="D2" s="2"/>
      <c r="E2" s="6"/>
      <c r="F2" s="6"/>
      <c r="G2" s="2"/>
      <c r="H2" s="2"/>
      <c r="I2" s="2"/>
      <c r="J2" s="2"/>
    </row>
    <row r="3" spans="1:11" ht="14.4" x14ac:dyDescent="0.3">
      <c r="B3" s="3" t="s">
        <v>0</v>
      </c>
      <c r="C3" s="3"/>
      <c r="D3" s="2"/>
      <c r="E3" s="2"/>
      <c r="F3" s="2"/>
      <c r="G3" s="2"/>
      <c r="H3" s="2"/>
      <c r="I3" s="2"/>
      <c r="J3" s="2"/>
    </row>
    <row r="4" spans="1:11" ht="14.4" x14ac:dyDescent="0.3">
      <c r="B4" s="4" t="s">
        <v>1</v>
      </c>
      <c r="C4" s="4"/>
      <c r="D4" s="84" t="s">
        <v>2</v>
      </c>
      <c r="E4" s="84" t="s">
        <v>3</v>
      </c>
      <c r="F4" s="85" t="s">
        <v>91</v>
      </c>
      <c r="G4" s="83" t="s">
        <v>4</v>
      </c>
      <c r="H4" s="83" t="s">
        <v>5</v>
      </c>
      <c r="I4" s="83" t="s">
        <v>6</v>
      </c>
      <c r="J4" s="83" t="s">
        <v>7</v>
      </c>
      <c r="K4" s="83" t="s">
        <v>170</v>
      </c>
    </row>
    <row r="5" spans="1:11" ht="14.4" x14ac:dyDescent="0.3">
      <c r="B5" s="5" t="s">
        <v>21</v>
      </c>
      <c r="C5" s="5"/>
      <c r="D5" s="2"/>
      <c r="E5" s="2"/>
      <c r="F5" s="2"/>
      <c r="G5" s="2"/>
      <c r="H5" s="2"/>
      <c r="I5" s="2"/>
      <c r="J5" s="2"/>
    </row>
    <row r="6" spans="1:11" ht="14.4" x14ac:dyDescent="0.3">
      <c r="B6" s="7" t="s">
        <v>22</v>
      </c>
      <c r="C6" s="7"/>
      <c r="D6" s="2"/>
      <c r="E6" s="2"/>
      <c r="F6" s="2"/>
      <c r="G6" s="2"/>
      <c r="H6" s="2"/>
      <c r="I6" s="2"/>
      <c r="J6" s="2"/>
    </row>
    <row r="7" spans="1:11" ht="14.4" x14ac:dyDescent="0.3">
      <c r="A7" s="18" t="s">
        <v>93</v>
      </c>
      <c r="B7" s="2" t="s">
        <v>57</v>
      </c>
      <c r="C7" s="117">
        <v>0</v>
      </c>
      <c r="D7" s="117">
        <f>'(BS)'!K31</f>
        <v>32</v>
      </c>
      <c r="E7" s="117">
        <f>'(BS)'!L31</f>
        <v>198</v>
      </c>
      <c r="F7" s="117">
        <f>'(BS)'!M31</f>
        <v>299</v>
      </c>
      <c r="G7" s="117">
        <f>'Assumptions ( Driver)'!F29*IS!F5</f>
        <v>216.0017377958718</v>
      </c>
      <c r="H7" s="117">
        <f>'Assumptions ( Driver)'!G29*IS!G5</f>
        <v>322.95196195196098</v>
      </c>
      <c r="I7" s="117">
        <f>'Assumptions ( Driver)'!H29*IS!H5</f>
        <v>401.49336551062595</v>
      </c>
      <c r="J7" s="117">
        <f>'Assumptions ( Driver)'!I29*IS!I5</f>
        <v>436.47680865637096</v>
      </c>
      <c r="K7" s="117">
        <f>'Assumptions ( Driver)'!J29*IS!J5</f>
        <v>548.61933504714375</v>
      </c>
    </row>
    <row r="8" spans="1:11" ht="14.4" x14ac:dyDescent="0.3">
      <c r="A8" s="18" t="s">
        <v>98</v>
      </c>
      <c r="B8" s="2" t="s">
        <v>58</v>
      </c>
      <c r="C8" s="117">
        <v>0</v>
      </c>
      <c r="D8" s="117">
        <f>'(BS)'!K33</f>
        <v>461</v>
      </c>
      <c r="E8" s="117">
        <f>'(BS)'!L33</f>
        <v>524</v>
      </c>
      <c r="F8" s="117">
        <f>'(BS)'!M33</f>
        <v>523</v>
      </c>
      <c r="G8" s="117">
        <f>'Assumptions ( Driver)'!F30*IS!F6</f>
        <v>672.83339068498742</v>
      </c>
      <c r="H8" s="117">
        <f>'Assumptions ( Driver)'!G30*IS!G6</f>
        <v>770.22245864674358</v>
      </c>
      <c r="I8" s="117">
        <f>'Assumptions ( Driver)'!H30*IS!H6</f>
        <v>927.0258160484193</v>
      </c>
      <c r="J8" s="117">
        <f>'Assumptions ( Driver)'!I30*IS!I6</f>
        <v>1118.4975889007367</v>
      </c>
      <c r="K8" s="117">
        <f>'Assumptions ( Driver)'!J30*IS!J6</f>
        <v>1324.7824599480791</v>
      </c>
    </row>
    <row r="9" spans="1:11" ht="14.4" x14ac:dyDescent="0.3">
      <c r="A9" s="18" t="s">
        <v>98</v>
      </c>
      <c r="B9" s="2" t="s">
        <v>59</v>
      </c>
      <c r="C9" s="117">
        <v>0</v>
      </c>
      <c r="D9" s="117">
        <f>'(BS)'!K34</f>
        <v>279</v>
      </c>
      <c r="E9" s="117">
        <f>'(BS)'!L34</f>
        <v>533</v>
      </c>
      <c r="F9" s="117">
        <f>'(BS)'!M34</f>
        <v>671</v>
      </c>
      <c r="G9" s="117">
        <f>'Assumptions ( Driver)'!F31*IS!F5</f>
        <v>635.01337997921894</v>
      </c>
      <c r="H9" s="117">
        <f>'Assumptions ( Driver)'!G31*IS!G5</f>
        <v>826.96919316471167</v>
      </c>
      <c r="I9" s="117">
        <f>'Assumptions ( Driver)'!H31*IS!H5</f>
        <v>1013.2479144663458</v>
      </c>
      <c r="J9" s="117">
        <f>'Assumptions ( Driver)'!I31*IS!I5</f>
        <v>1158.3401349918306</v>
      </c>
      <c r="K9" s="117">
        <f>'Assumptions ( Driver)'!J31*IS!J5</f>
        <v>1413.9636940233777</v>
      </c>
    </row>
    <row r="10" spans="1:11" ht="14.4" x14ac:dyDescent="0.3">
      <c r="A10" s="18" t="s">
        <v>99</v>
      </c>
      <c r="B10" s="2" t="s">
        <v>60</v>
      </c>
      <c r="C10" s="117">
        <v>0</v>
      </c>
      <c r="D10" s="117">
        <f>'(BS)'!K35</f>
        <v>100</v>
      </c>
      <c r="E10" s="117">
        <f>'(BS)'!L35</f>
        <v>609</v>
      </c>
      <c r="F10" s="117">
        <f>'(BS)'!M35</f>
        <v>467</v>
      </c>
      <c r="G10" s="117">
        <f>F10+CFS!F34</f>
        <v>493.84055562047411</v>
      </c>
      <c r="H10" s="117">
        <f>BS!G10+CFS!G34</f>
        <v>287.42895632771496</v>
      </c>
      <c r="I10" s="117">
        <f>BS!H10+CFS!H34</f>
        <v>161.51296464946995</v>
      </c>
      <c r="J10" s="117">
        <f>BS!I10+CFS!I34</f>
        <v>214.39831343344892</v>
      </c>
      <c r="K10" s="117">
        <f>BS!J10+CFS!J34</f>
        <v>121.48496631927254</v>
      </c>
    </row>
    <row r="11" spans="1:11" ht="14.4" x14ac:dyDescent="0.3">
      <c r="A11" s="18" t="s">
        <v>98</v>
      </c>
      <c r="B11" s="2" t="s">
        <v>61</v>
      </c>
      <c r="C11" s="117">
        <v>0</v>
      </c>
      <c r="D11" s="117">
        <f>'(BS)'!K36</f>
        <v>8</v>
      </c>
      <c r="E11" s="117">
        <f>'(BS)'!L36</f>
        <v>9</v>
      </c>
      <c r="F11" s="117">
        <f>'(BS)'!M36</f>
        <v>36</v>
      </c>
      <c r="G11" s="117">
        <f>AVERAGE(D11:F11)</f>
        <v>17.666666666666668</v>
      </c>
      <c r="H11" s="117">
        <f>G11</f>
        <v>17.666666666666668</v>
      </c>
      <c r="I11" s="117">
        <f t="shared" ref="I11:K11" si="0">H11</f>
        <v>17.666666666666668</v>
      </c>
      <c r="J11" s="117">
        <f t="shared" si="0"/>
        <v>17.666666666666668</v>
      </c>
      <c r="K11" s="117">
        <f t="shared" si="0"/>
        <v>17.666666666666668</v>
      </c>
    </row>
    <row r="12" spans="1:11" ht="14.4" x14ac:dyDescent="0.3">
      <c r="A12" s="18" t="s">
        <v>98</v>
      </c>
      <c r="B12" s="2" t="s">
        <v>62</v>
      </c>
      <c r="C12" s="117">
        <v>0</v>
      </c>
      <c r="D12" s="117">
        <f>'(BS)'!K37</f>
        <v>623</v>
      </c>
      <c r="E12" s="117">
        <f>'(BS)'!L37</f>
        <v>423</v>
      </c>
      <c r="F12" s="117">
        <f>'(BS)'!M37</f>
        <v>650</v>
      </c>
      <c r="G12" s="117">
        <f>AVERAGE(D12:F12)</f>
        <v>565.33333333333337</v>
      </c>
      <c r="H12" s="117">
        <f>G12</f>
        <v>565.33333333333337</v>
      </c>
      <c r="I12" s="117">
        <f t="shared" ref="I12:K12" si="1">H12</f>
        <v>565.33333333333337</v>
      </c>
      <c r="J12" s="117">
        <f t="shared" si="1"/>
        <v>565.33333333333337</v>
      </c>
      <c r="K12" s="117">
        <f t="shared" si="1"/>
        <v>565.33333333333337</v>
      </c>
    </row>
    <row r="13" spans="1:11" ht="14.4" x14ac:dyDescent="0.3">
      <c r="B13" s="116" t="s">
        <v>23</v>
      </c>
      <c r="C13" s="118">
        <v>0</v>
      </c>
      <c r="D13" s="118">
        <f t="shared" ref="D13:K13" si="2">SUM(D7:D12)</f>
        <v>1503</v>
      </c>
      <c r="E13" s="118">
        <f t="shared" si="2"/>
        <v>2296</v>
      </c>
      <c r="F13" s="118">
        <f t="shared" si="2"/>
        <v>2646</v>
      </c>
      <c r="G13" s="118">
        <f t="shared" si="2"/>
        <v>2600.6890640805523</v>
      </c>
      <c r="H13" s="118">
        <f t="shared" si="2"/>
        <v>2790.5725700911312</v>
      </c>
      <c r="I13" s="118">
        <f t="shared" si="2"/>
        <v>3086.2800606748606</v>
      </c>
      <c r="J13" s="118">
        <f t="shared" si="2"/>
        <v>3510.7128459823875</v>
      </c>
      <c r="K13" s="118">
        <f t="shared" si="2"/>
        <v>3991.8504553378734</v>
      </c>
    </row>
    <row r="14" spans="1:11" ht="14.4" x14ac:dyDescent="0.3">
      <c r="B14" s="7" t="s">
        <v>24</v>
      </c>
      <c r="C14" s="119"/>
      <c r="D14" s="117"/>
      <c r="E14" s="117"/>
      <c r="F14" s="117"/>
      <c r="G14" s="117"/>
      <c r="H14" s="117"/>
      <c r="I14" s="117"/>
      <c r="J14" s="117"/>
      <c r="K14" s="120"/>
    </row>
    <row r="15" spans="1:11" ht="14.4" x14ac:dyDescent="0.3">
      <c r="A15" s="18" t="s">
        <v>100</v>
      </c>
      <c r="B15" s="16" t="s">
        <v>21</v>
      </c>
      <c r="C15" s="121">
        <v>0</v>
      </c>
      <c r="D15" s="117">
        <f>'(BS)'!K17-'(BS)'!K27</f>
        <v>692</v>
      </c>
      <c r="E15" s="117">
        <f>'(BS)'!L17-'(BS)'!L27</f>
        <v>707</v>
      </c>
      <c r="F15" s="117">
        <f>'(BS)'!M17-'(BS)'!M27</f>
        <v>882</v>
      </c>
      <c r="G15" s="117">
        <f>Capex!F8</f>
        <v>1001.5107595429706</v>
      </c>
      <c r="H15" s="117">
        <f>Capex!G8</f>
        <v>1137.2151944221516</v>
      </c>
      <c r="I15" s="117">
        <f>Capex!H8</f>
        <v>1291.3075432307664</v>
      </c>
      <c r="J15" s="117">
        <f>Capex!I8</f>
        <v>1466.2793632932112</v>
      </c>
      <c r="K15" s="117">
        <f>Capex!J8</f>
        <v>1664.9598172720716</v>
      </c>
    </row>
    <row r="16" spans="1:11" ht="14.4" x14ac:dyDescent="0.3">
      <c r="A16" s="18" t="s">
        <v>93</v>
      </c>
      <c r="B16" s="2" t="s">
        <v>55</v>
      </c>
      <c r="C16" s="117">
        <v>0</v>
      </c>
      <c r="D16" s="117">
        <f>'(BS)'!K30</f>
        <v>14</v>
      </c>
      <c r="E16" s="117">
        <f>'(BS)'!L30</f>
        <v>171</v>
      </c>
      <c r="F16" s="117">
        <f>'(BS)'!M30</f>
        <v>122</v>
      </c>
      <c r="G16" s="117">
        <f>F16</f>
        <v>122</v>
      </c>
      <c r="H16" s="117">
        <f t="shared" ref="H16:K16" si="3">G16</f>
        <v>122</v>
      </c>
      <c r="I16" s="117">
        <f t="shared" si="3"/>
        <v>122</v>
      </c>
      <c r="J16" s="117">
        <f t="shared" si="3"/>
        <v>122</v>
      </c>
      <c r="K16" s="117">
        <f t="shared" si="3"/>
        <v>122</v>
      </c>
    </row>
    <row r="17" spans="1:11" ht="14.4" x14ac:dyDescent="0.3">
      <c r="A17" s="18" t="s">
        <v>93</v>
      </c>
      <c r="B17" s="2" t="s">
        <v>56</v>
      </c>
      <c r="C17" s="117">
        <v>0</v>
      </c>
      <c r="D17" s="117">
        <f>'(BS)'!K27</f>
        <v>40</v>
      </c>
      <c r="E17" s="117">
        <f>'(BS)'!L27</f>
        <v>41</v>
      </c>
      <c r="F17" s="117">
        <f>'(BS)'!M27</f>
        <v>110</v>
      </c>
      <c r="G17" s="117">
        <f t="shared" ref="G17:K17" si="4">F17</f>
        <v>110</v>
      </c>
      <c r="H17" s="117">
        <f t="shared" si="4"/>
        <v>110</v>
      </c>
      <c r="I17" s="117">
        <f t="shared" si="4"/>
        <v>110</v>
      </c>
      <c r="J17" s="117">
        <f t="shared" si="4"/>
        <v>110</v>
      </c>
      <c r="K17" s="117">
        <f t="shared" si="4"/>
        <v>110</v>
      </c>
    </row>
    <row r="18" spans="1:11" ht="14.4" x14ac:dyDescent="0.3">
      <c r="B18" s="116" t="s">
        <v>25</v>
      </c>
      <c r="C18" s="118"/>
      <c r="D18" s="118">
        <f t="shared" ref="D18:K18" si="5">SUM(D15:D17)</f>
        <v>746</v>
      </c>
      <c r="E18" s="118">
        <f t="shared" si="5"/>
        <v>919</v>
      </c>
      <c r="F18" s="118">
        <f t="shared" si="5"/>
        <v>1114</v>
      </c>
      <c r="G18" s="118">
        <f t="shared" si="5"/>
        <v>1233.5107595429706</v>
      </c>
      <c r="H18" s="118">
        <f t="shared" si="5"/>
        <v>1369.2151944221516</v>
      </c>
      <c r="I18" s="118">
        <f t="shared" si="5"/>
        <v>1523.3075432307664</v>
      </c>
      <c r="J18" s="118">
        <f t="shared" si="5"/>
        <v>1698.2793632932112</v>
      </c>
      <c r="K18" s="118">
        <f t="shared" si="5"/>
        <v>1896.9598172720716</v>
      </c>
    </row>
    <row r="19" spans="1:11" ht="14.4" x14ac:dyDescent="0.3">
      <c r="B19" s="8" t="s">
        <v>26</v>
      </c>
      <c r="C19" s="122"/>
      <c r="D19" s="122">
        <f t="shared" ref="D19:K19" si="6">D13+D18</f>
        <v>2249</v>
      </c>
      <c r="E19" s="122">
        <f t="shared" si="6"/>
        <v>3215</v>
      </c>
      <c r="F19" s="122">
        <f t="shared" si="6"/>
        <v>3760</v>
      </c>
      <c r="G19" s="122">
        <f t="shared" si="6"/>
        <v>3834.1998236235231</v>
      </c>
      <c r="H19" s="122">
        <f t="shared" si="6"/>
        <v>4159.787764513283</v>
      </c>
      <c r="I19" s="122">
        <f t="shared" si="6"/>
        <v>4609.5876039056275</v>
      </c>
      <c r="J19" s="122">
        <f t="shared" si="6"/>
        <v>5208.9922092755987</v>
      </c>
      <c r="K19" s="122">
        <f t="shared" si="6"/>
        <v>5888.8102726099451</v>
      </c>
    </row>
    <row r="20" spans="1:11" ht="14.4" x14ac:dyDescent="0.3">
      <c r="B20" s="5" t="s">
        <v>27</v>
      </c>
      <c r="C20" s="123"/>
      <c r="D20" s="117"/>
      <c r="E20" s="117"/>
      <c r="F20" s="117"/>
      <c r="G20" s="117"/>
      <c r="H20" s="117"/>
      <c r="I20" s="117"/>
      <c r="J20" s="117"/>
      <c r="K20" s="120"/>
    </row>
    <row r="21" spans="1:11" ht="14.4" x14ac:dyDescent="0.3">
      <c r="B21" s="7" t="s">
        <v>28</v>
      </c>
      <c r="C21" s="119"/>
      <c r="D21" s="117"/>
      <c r="E21" s="117"/>
      <c r="F21" s="117"/>
      <c r="G21" s="117"/>
      <c r="H21" s="117"/>
      <c r="I21" s="117"/>
      <c r="J21" s="117"/>
      <c r="K21" s="120"/>
    </row>
    <row r="22" spans="1:11" ht="14.4" x14ac:dyDescent="0.3">
      <c r="A22" s="18" t="s">
        <v>95</v>
      </c>
      <c r="B22" s="2" t="s">
        <v>51</v>
      </c>
      <c r="C22" s="117">
        <v>0</v>
      </c>
      <c r="D22" s="117">
        <f>'Assumptions ( Driver)'!C16</f>
        <v>200</v>
      </c>
      <c r="E22" s="117">
        <f>'Assumptions ( Driver)'!D16</f>
        <v>29</v>
      </c>
      <c r="F22" s="117">
        <f>'Assumptions ( Driver)'!E16</f>
        <v>504</v>
      </c>
      <c r="G22" s="117">
        <f>'Assumptions ( Driver)'!F16</f>
        <v>244.33333333333334</v>
      </c>
      <c r="H22" s="117">
        <f>'Assumptions ( Driver)'!G16</f>
        <v>244.33333333333334</v>
      </c>
      <c r="I22" s="117">
        <f>'Assumptions ( Driver)'!H16</f>
        <v>244.33333333333334</v>
      </c>
      <c r="J22" s="117">
        <f>'Assumptions ( Driver)'!I16</f>
        <v>244.33333333333334</v>
      </c>
      <c r="K22" s="117">
        <f>'Assumptions ( Driver)'!J16</f>
        <v>251.7222222222222</v>
      </c>
    </row>
    <row r="23" spans="1:11" ht="14.4" x14ac:dyDescent="0.3">
      <c r="A23" s="18" t="s">
        <v>98</v>
      </c>
      <c r="B23" s="2" t="s">
        <v>52</v>
      </c>
      <c r="C23" s="117">
        <v>0</v>
      </c>
      <c r="D23" s="117">
        <f>'(BS)'!K13</f>
        <v>323</v>
      </c>
      <c r="E23" s="117">
        <f>'(BS)'!L13</f>
        <v>319</v>
      </c>
      <c r="F23" s="117">
        <f>'(BS)'!M13</f>
        <v>235</v>
      </c>
      <c r="G23" s="117">
        <f>'Assumptions ( Driver)'!F32*IS!F6</f>
        <v>399.30703022102142</v>
      </c>
      <c r="H23" s="117">
        <f>'Assumptions ( Driver)'!G32*IS!G6</f>
        <v>424.76152270942475</v>
      </c>
      <c r="I23" s="117">
        <f>'Assumptions ( Driver)'!H32*IS!H6</f>
        <v>494.038202550297</v>
      </c>
      <c r="J23" s="117">
        <f>'Assumptions ( Driver)'!I32*IS!I6</f>
        <v>626.04688620971547</v>
      </c>
      <c r="K23" s="117">
        <f>'Assumptions ( Driver)'!J32*IS!J6</f>
        <v>726.07670321796263</v>
      </c>
    </row>
    <row r="24" spans="1:11" ht="14.4" x14ac:dyDescent="0.3">
      <c r="A24" s="18" t="s">
        <v>98</v>
      </c>
      <c r="B24" s="2" t="s">
        <v>53</v>
      </c>
      <c r="C24" s="117">
        <v>0</v>
      </c>
      <c r="D24" s="117">
        <f>'(BS)'!K15</f>
        <v>72</v>
      </c>
      <c r="E24" s="117">
        <f>'(BS)'!L15</f>
        <v>513</v>
      </c>
      <c r="F24" s="117">
        <f>'(BS)'!M15</f>
        <v>414</v>
      </c>
      <c r="G24" s="117">
        <f>AVERAGE(D24:F24)</f>
        <v>333</v>
      </c>
      <c r="H24" s="121">
        <f>G24</f>
        <v>333</v>
      </c>
      <c r="I24" s="121">
        <f t="shared" ref="I24:K24" si="7">H24</f>
        <v>333</v>
      </c>
      <c r="J24" s="121">
        <f t="shared" si="7"/>
        <v>333</v>
      </c>
      <c r="K24" s="121">
        <f t="shared" si="7"/>
        <v>333</v>
      </c>
    </row>
    <row r="25" spans="1:11" ht="14.4" x14ac:dyDescent="0.3">
      <c r="A25" s="18"/>
      <c r="B25" t="s">
        <v>188</v>
      </c>
      <c r="C25" s="117">
        <v>0</v>
      </c>
      <c r="D25" s="117">
        <f>'(BS)'!K14</f>
        <v>536</v>
      </c>
      <c r="E25" s="117">
        <f>'(BS)'!L14</f>
        <v>0</v>
      </c>
      <c r="F25" s="117">
        <f>'(BS)'!M14</f>
        <v>0</v>
      </c>
      <c r="G25" s="117">
        <f>F25</f>
        <v>0</v>
      </c>
      <c r="H25" s="117">
        <f t="shared" ref="H25:K25" si="8">G25</f>
        <v>0</v>
      </c>
      <c r="I25" s="117">
        <f t="shared" si="8"/>
        <v>0</v>
      </c>
      <c r="J25" s="117">
        <f t="shared" si="8"/>
        <v>0</v>
      </c>
      <c r="K25" s="117">
        <f t="shared" si="8"/>
        <v>0</v>
      </c>
    </row>
    <row r="26" spans="1:11" ht="14.4" x14ac:dyDescent="0.3">
      <c r="A26" s="18" t="s">
        <v>98</v>
      </c>
      <c r="B26" s="22" t="s">
        <v>187</v>
      </c>
      <c r="C26" s="117">
        <v>0</v>
      </c>
      <c r="D26" s="117">
        <f>'(BS)'!K12</f>
        <v>0</v>
      </c>
      <c r="E26" s="117">
        <f>'(BS)'!L12</f>
        <v>0</v>
      </c>
      <c r="F26" s="117">
        <f>'(BS)'!M12</f>
        <v>1</v>
      </c>
      <c r="G26" s="117">
        <f>F26</f>
        <v>1</v>
      </c>
      <c r="H26" s="117">
        <f>G26</f>
        <v>1</v>
      </c>
      <c r="I26" s="117">
        <f t="shared" ref="I26:K26" si="9">H26</f>
        <v>1</v>
      </c>
      <c r="J26" s="117">
        <f t="shared" si="9"/>
        <v>1</v>
      </c>
      <c r="K26" s="117">
        <f t="shared" si="9"/>
        <v>1</v>
      </c>
    </row>
    <row r="27" spans="1:11" ht="14.4" x14ac:dyDescent="0.3">
      <c r="B27" s="116" t="s">
        <v>29</v>
      </c>
      <c r="C27" s="118">
        <v>0</v>
      </c>
      <c r="D27" s="118">
        <f>SUM(D22:D26)</f>
        <v>1131</v>
      </c>
      <c r="E27" s="118">
        <f t="shared" ref="E27:K27" si="10">SUM(E22:E26)</f>
        <v>861</v>
      </c>
      <c r="F27" s="118">
        <f t="shared" si="10"/>
        <v>1154</v>
      </c>
      <c r="G27" s="118">
        <f t="shared" si="10"/>
        <v>977.64036355435474</v>
      </c>
      <c r="H27" s="118">
        <f t="shared" si="10"/>
        <v>1003.0948560427581</v>
      </c>
      <c r="I27" s="118">
        <f t="shared" si="10"/>
        <v>1072.3715358836303</v>
      </c>
      <c r="J27" s="118">
        <f t="shared" si="10"/>
        <v>1204.380219543049</v>
      </c>
      <c r="K27" s="118">
        <f t="shared" si="10"/>
        <v>1311.7989254401848</v>
      </c>
    </row>
    <row r="28" spans="1:11" ht="14.4" x14ac:dyDescent="0.3">
      <c r="B28" s="7" t="s">
        <v>30</v>
      </c>
      <c r="C28" s="119"/>
      <c r="D28" s="117"/>
      <c r="E28" s="117"/>
      <c r="F28" s="117"/>
      <c r="G28" s="117"/>
      <c r="H28" s="117"/>
      <c r="I28" s="117"/>
      <c r="J28" s="117"/>
      <c r="K28" s="120"/>
    </row>
    <row r="29" spans="1:11" ht="14.4" x14ac:dyDescent="0.3">
      <c r="A29" s="18" t="s">
        <v>95</v>
      </c>
      <c r="B29" s="2" t="s">
        <v>49</v>
      </c>
      <c r="C29" s="117">
        <v>0</v>
      </c>
      <c r="D29" s="117">
        <f>'Assumptions ( Driver)'!C17</f>
        <v>50</v>
      </c>
      <c r="E29" s="117">
        <f>'Assumptions ( Driver)'!D17</f>
        <v>37</v>
      </c>
      <c r="F29" s="117">
        <f>'Assumptions ( Driver)'!E17</f>
        <v>25</v>
      </c>
      <c r="G29" s="117">
        <f>'Assumptions ( Driver)'!F17</f>
        <v>37.333333333333336</v>
      </c>
      <c r="H29" s="117">
        <f>'Assumptions ( Driver)'!G17</f>
        <v>33.111111111111114</v>
      </c>
      <c r="I29" s="117">
        <f>'Assumptions ( Driver)'!H17</f>
        <v>31.81481481481482</v>
      </c>
      <c r="J29" s="117">
        <f>'Assumptions ( Driver)'!I17</f>
        <v>34.086419753086425</v>
      </c>
      <c r="K29" s="117">
        <f>'Assumptions ( Driver)'!J17</f>
        <v>33.004115226337454</v>
      </c>
    </row>
    <row r="30" spans="1:11" ht="14.4" x14ac:dyDescent="0.3">
      <c r="A30" s="18" t="s">
        <v>98</v>
      </c>
      <c r="B30" t="s">
        <v>184</v>
      </c>
      <c r="C30" s="121">
        <v>0</v>
      </c>
      <c r="D30" s="117">
        <f>'(BS)'!K9</f>
        <v>104</v>
      </c>
      <c r="E30" s="117">
        <f>'(BS)'!L9</f>
        <v>99</v>
      </c>
      <c r="F30" s="117">
        <f>'(BS)'!M9</f>
        <v>98</v>
      </c>
      <c r="G30" s="117">
        <f>F30</f>
        <v>98</v>
      </c>
      <c r="H30" s="117">
        <f t="shared" ref="H30:K30" si="11">G30</f>
        <v>98</v>
      </c>
      <c r="I30" s="117">
        <f t="shared" si="11"/>
        <v>98</v>
      </c>
      <c r="J30" s="117">
        <f t="shared" si="11"/>
        <v>98</v>
      </c>
      <c r="K30" s="117">
        <f t="shared" si="11"/>
        <v>98</v>
      </c>
    </row>
    <row r="31" spans="1:11" ht="14.4" x14ac:dyDescent="0.3">
      <c r="A31" s="18" t="s">
        <v>95</v>
      </c>
      <c r="B31" s="2" t="s">
        <v>50</v>
      </c>
      <c r="C31" s="117">
        <v>0</v>
      </c>
      <c r="D31" s="117">
        <f>'(BS)'!K10</f>
        <v>0</v>
      </c>
      <c r="E31" s="117">
        <f>'(BS)'!L10</f>
        <v>0</v>
      </c>
      <c r="F31" s="117">
        <f>'(BS)'!M10</f>
        <v>0</v>
      </c>
      <c r="G31" s="117">
        <f>F31</f>
        <v>0</v>
      </c>
      <c r="H31" s="117">
        <f t="shared" ref="H31:K31" si="12">G31</f>
        <v>0</v>
      </c>
      <c r="I31" s="117">
        <f t="shared" si="12"/>
        <v>0</v>
      </c>
      <c r="J31" s="117">
        <f t="shared" si="12"/>
        <v>0</v>
      </c>
      <c r="K31" s="117">
        <f t="shared" si="12"/>
        <v>0</v>
      </c>
    </row>
    <row r="32" spans="1:11" ht="14.4" x14ac:dyDescent="0.3">
      <c r="B32" s="116" t="s">
        <v>31</v>
      </c>
      <c r="C32" s="118"/>
      <c r="D32" s="118">
        <f t="shared" ref="D32:K32" si="13">SUM(D29:D31)</f>
        <v>154</v>
      </c>
      <c r="E32" s="118">
        <f t="shared" si="13"/>
        <v>136</v>
      </c>
      <c r="F32" s="118">
        <f t="shared" si="13"/>
        <v>123</v>
      </c>
      <c r="G32" s="118">
        <f t="shared" si="13"/>
        <v>135.33333333333334</v>
      </c>
      <c r="H32" s="118">
        <f t="shared" si="13"/>
        <v>131.11111111111111</v>
      </c>
      <c r="I32" s="118">
        <f t="shared" si="13"/>
        <v>129.81481481481481</v>
      </c>
      <c r="J32" s="118">
        <f t="shared" si="13"/>
        <v>132.08641975308643</v>
      </c>
      <c r="K32" s="118">
        <f t="shared" si="13"/>
        <v>131.00411522633746</v>
      </c>
    </row>
    <row r="33" spans="1:11" ht="14.4" x14ac:dyDescent="0.3">
      <c r="B33" s="7" t="s">
        <v>32</v>
      </c>
      <c r="C33" s="119"/>
      <c r="D33" s="119">
        <f t="shared" ref="D33:K33" si="14">D27+D32</f>
        <v>1285</v>
      </c>
      <c r="E33" s="119">
        <f t="shared" si="14"/>
        <v>997</v>
      </c>
      <c r="F33" s="119">
        <f t="shared" si="14"/>
        <v>1277</v>
      </c>
      <c r="G33" s="119">
        <f t="shared" si="14"/>
        <v>1112.973696887688</v>
      </c>
      <c r="H33" s="119">
        <f t="shared" si="14"/>
        <v>1134.2059671538693</v>
      </c>
      <c r="I33" s="119">
        <f t="shared" si="14"/>
        <v>1202.186350698445</v>
      </c>
      <c r="J33" s="119">
        <f t="shared" si="14"/>
        <v>1336.4666392961353</v>
      </c>
      <c r="K33" s="119">
        <f t="shared" si="14"/>
        <v>1442.8030406665223</v>
      </c>
    </row>
    <row r="34" spans="1:11" ht="14.4" x14ac:dyDescent="0.3">
      <c r="B34" s="5" t="s">
        <v>33</v>
      </c>
      <c r="C34" s="123"/>
      <c r="D34" s="117"/>
      <c r="E34" s="117"/>
      <c r="F34" s="117"/>
      <c r="G34" s="117"/>
      <c r="H34" s="117"/>
      <c r="I34" s="117"/>
      <c r="J34" s="117"/>
      <c r="K34" s="120"/>
    </row>
    <row r="35" spans="1:11" ht="14.4" x14ac:dyDescent="0.3">
      <c r="A35" s="18" t="s">
        <v>95</v>
      </c>
      <c r="B35" s="2" t="s">
        <v>47</v>
      </c>
      <c r="C35" s="117">
        <v>0</v>
      </c>
      <c r="D35" s="117">
        <f>'(BS)'!K4</f>
        <v>24</v>
      </c>
      <c r="E35" s="117">
        <f>'(BS)'!L4</f>
        <v>27</v>
      </c>
      <c r="F35" s="117">
        <f>'(BS)'!M4</f>
        <v>27</v>
      </c>
      <c r="G35" s="117">
        <f>F35</f>
        <v>27</v>
      </c>
      <c r="H35" s="117">
        <f t="shared" ref="H35:K35" si="15">G35</f>
        <v>27</v>
      </c>
      <c r="I35" s="117">
        <f t="shared" si="15"/>
        <v>27</v>
      </c>
      <c r="J35" s="117">
        <f t="shared" si="15"/>
        <v>27</v>
      </c>
      <c r="K35" s="117">
        <f t="shared" si="15"/>
        <v>27</v>
      </c>
    </row>
    <row r="36" spans="1:11" ht="14.4" x14ac:dyDescent="0.3">
      <c r="A36" s="18" t="s">
        <v>102</v>
      </c>
      <c r="B36" s="2" t="s">
        <v>48</v>
      </c>
      <c r="C36" s="117">
        <v>0</v>
      </c>
      <c r="D36" s="117">
        <f>'(BS)'!K5</f>
        <v>940</v>
      </c>
      <c r="E36" s="117">
        <f>'(BS)'!L5</f>
        <v>2191</v>
      </c>
      <c r="F36" s="117">
        <f>'(BS)'!M5</f>
        <v>2456</v>
      </c>
      <c r="G36" s="117">
        <f>'Assumptions ( Driver)'!F38</f>
        <v>2694.2261267358349</v>
      </c>
      <c r="H36" s="117">
        <f>'Assumptions ( Driver)'!G38</f>
        <v>2998.5817973594139</v>
      </c>
      <c r="I36" s="117">
        <f>'Assumptions ( Driver)'!H38</f>
        <v>3380.4012532071829</v>
      </c>
      <c r="J36" s="117">
        <f>'Assumptions ( Driver)'!I38</f>
        <v>3845.5255699794634</v>
      </c>
      <c r="K36" s="117">
        <f>'Assumptions ( Driver)'!J38</f>
        <v>4419.007231943423</v>
      </c>
    </row>
    <row r="37" spans="1:11" ht="14.4" x14ac:dyDescent="0.3">
      <c r="B37" s="116" t="s">
        <v>34</v>
      </c>
      <c r="C37" s="118"/>
      <c r="D37" s="118">
        <f t="shared" ref="D37:K37" si="16">SUM(D35:D36)</f>
        <v>964</v>
      </c>
      <c r="E37" s="118">
        <f t="shared" si="16"/>
        <v>2218</v>
      </c>
      <c r="F37" s="118">
        <f t="shared" si="16"/>
        <v>2483</v>
      </c>
      <c r="G37" s="118">
        <f t="shared" si="16"/>
        <v>2721.2261267358349</v>
      </c>
      <c r="H37" s="118">
        <f t="shared" si="16"/>
        <v>3025.5817973594139</v>
      </c>
      <c r="I37" s="118">
        <f t="shared" si="16"/>
        <v>3407.4012532071829</v>
      </c>
      <c r="J37" s="118">
        <f t="shared" si="16"/>
        <v>3872.5255699794634</v>
      </c>
      <c r="K37" s="118">
        <f t="shared" si="16"/>
        <v>4446.007231943423</v>
      </c>
    </row>
    <row r="38" spans="1:11" ht="14.4" x14ac:dyDescent="0.3">
      <c r="B38" s="8" t="s">
        <v>35</v>
      </c>
      <c r="C38" s="122"/>
      <c r="D38" s="122">
        <f t="shared" ref="D38:K38" si="17">D37+D33</f>
        <v>2249</v>
      </c>
      <c r="E38" s="122">
        <f t="shared" si="17"/>
        <v>3215</v>
      </c>
      <c r="F38" s="122">
        <f t="shared" si="17"/>
        <v>3760</v>
      </c>
      <c r="G38" s="122">
        <f t="shared" si="17"/>
        <v>3834.1998236235231</v>
      </c>
      <c r="H38" s="122">
        <f t="shared" si="17"/>
        <v>4159.787764513283</v>
      </c>
      <c r="I38" s="122">
        <f t="shared" si="17"/>
        <v>4609.5876039056275</v>
      </c>
      <c r="J38" s="122">
        <f t="shared" si="17"/>
        <v>5208.9922092755987</v>
      </c>
      <c r="K38" s="122">
        <f t="shared" si="17"/>
        <v>5888.8102726099451</v>
      </c>
    </row>
    <row r="39" spans="1:11" ht="14.4" x14ac:dyDescent="0.3">
      <c r="B39" s="2"/>
      <c r="C39" s="2"/>
      <c r="D39" s="2"/>
      <c r="E39" s="2"/>
      <c r="F39" s="2"/>
      <c r="G39" s="2"/>
      <c r="H39" s="2"/>
      <c r="I39" s="2"/>
      <c r="J39" s="2"/>
    </row>
    <row r="40" spans="1:11" ht="14.4" x14ac:dyDescent="0.3">
      <c r="B40" s="7" t="s">
        <v>36</v>
      </c>
      <c r="C40" s="7"/>
      <c r="D40" s="124" t="b">
        <f t="shared" ref="D40:K40" si="18">D38=D19</f>
        <v>1</v>
      </c>
      <c r="E40" s="124" t="b">
        <f t="shared" si="18"/>
        <v>1</v>
      </c>
      <c r="F40" s="124" t="b">
        <f t="shared" si="18"/>
        <v>1</v>
      </c>
      <c r="G40" s="124" t="b">
        <f t="shared" si="18"/>
        <v>1</v>
      </c>
      <c r="H40" s="124" t="b">
        <f t="shared" si="18"/>
        <v>1</v>
      </c>
      <c r="I40" s="124" t="b">
        <f t="shared" si="18"/>
        <v>1</v>
      </c>
      <c r="J40" s="124" t="b">
        <f t="shared" si="18"/>
        <v>1</v>
      </c>
      <c r="K40" s="124" t="b">
        <f t="shared" si="18"/>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2:J45"/>
  <sheetViews>
    <sheetView showGridLines="0" zoomScale="92" workbookViewId="0">
      <selection activeCell="K16" sqref="K16"/>
    </sheetView>
  </sheetViews>
  <sheetFormatPr defaultColWidth="14.44140625" defaultRowHeight="15" customHeight="1" x14ac:dyDescent="0.3"/>
  <cols>
    <col min="1" max="1" width="3.77734375" style="15" customWidth="1"/>
    <col min="2" max="2" width="52.33203125" customWidth="1"/>
  </cols>
  <sheetData>
    <row r="2" spans="1:10" ht="15" customHeight="1" x14ac:dyDescent="0.4">
      <c r="B2" s="34" t="s">
        <v>236</v>
      </c>
      <c r="C2" s="2"/>
      <c r="D2" s="2"/>
      <c r="E2" s="2"/>
      <c r="F2" s="2"/>
      <c r="G2" s="2"/>
      <c r="H2" s="2"/>
      <c r="I2" s="2"/>
    </row>
    <row r="3" spans="1:10" ht="14.4" x14ac:dyDescent="0.3">
      <c r="B3" s="3" t="s">
        <v>0</v>
      </c>
      <c r="C3" s="2"/>
      <c r="D3" s="2"/>
      <c r="E3" s="2"/>
      <c r="F3" s="2"/>
      <c r="G3" s="2"/>
      <c r="H3" s="2"/>
      <c r="I3" s="2"/>
    </row>
    <row r="4" spans="1:10" ht="14.4" x14ac:dyDescent="0.3">
      <c r="B4" s="4" t="s">
        <v>1</v>
      </c>
      <c r="C4" s="84" t="s">
        <v>2</v>
      </c>
      <c r="D4" s="84" t="s">
        <v>3</v>
      </c>
      <c r="E4" s="85" t="s">
        <v>91</v>
      </c>
      <c r="F4" s="83" t="s">
        <v>4</v>
      </c>
      <c r="G4" s="83" t="s">
        <v>5</v>
      </c>
      <c r="H4" s="83" t="s">
        <v>6</v>
      </c>
      <c r="I4" s="83" t="s">
        <v>7</v>
      </c>
      <c r="J4" s="83" t="s">
        <v>170</v>
      </c>
    </row>
    <row r="5" spans="1:10" ht="14.4" x14ac:dyDescent="0.3">
      <c r="B5" s="5" t="s">
        <v>37</v>
      </c>
      <c r="C5" s="143"/>
      <c r="D5" s="143"/>
      <c r="E5" s="143"/>
      <c r="F5" s="143"/>
      <c r="G5" s="143"/>
      <c r="H5" s="143"/>
      <c r="I5" s="143"/>
      <c r="J5" s="144"/>
    </row>
    <row r="6" spans="1:10" ht="14.4" x14ac:dyDescent="0.3">
      <c r="A6" s="18" t="s">
        <v>105</v>
      </c>
      <c r="B6" s="16" t="s">
        <v>96</v>
      </c>
      <c r="C6" s="117">
        <f>IS!C16</f>
        <v>126.12000000000015</v>
      </c>
      <c r="D6" s="117">
        <f>IS!D16</f>
        <v>285.83999999999986</v>
      </c>
      <c r="E6" s="117">
        <f>IS!E16</f>
        <v>275.17000000000013</v>
      </c>
      <c r="F6" s="117">
        <f>IS!F16</f>
        <v>249.36516889371148</v>
      </c>
      <c r="G6" s="117">
        <f>IS!G16</f>
        <v>318.58681601689784</v>
      </c>
      <c r="H6" s="117">
        <f>IS!H16</f>
        <v>399.67267402186957</v>
      </c>
      <c r="I6" s="117">
        <f>IS!I16</f>
        <v>486.87272633663224</v>
      </c>
      <c r="J6" s="117">
        <f>IS!J16</f>
        <v>600.29667380549995</v>
      </c>
    </row>
    <row r="7" spans="1:10" ht="14.4" x14ac:dyDescent="0.3">
      <c r="A7" s="18" t="s">
        <v>105</v>
      </c>
      <c r="B7" s="16" t="s">
        <v>97</v>
      </c>
      <c r="C7" s="117">
        <f>IS!C10</f>
        <v>22.5</v>
      </c>
      <c r="D7" s="117">
        <f>IS!D10</f>
        <v>27.1</v>
      </c>
      <c r="E7" s="117">
        <f>IS!E10</f>
        <v>29.58</v>
      </c>
      <c r="F7" s="117">
        <f>IS!F10</f>
        <v>35.772394526141447</v>
      </c>
      <c r="G7" s="117">
        <f>IS!G10</f>
        <v>40.619544231912386</v>
      </c>
      <c r="H7" s="117">
        <f>IS!H10</f>
        <v>46.123481401351313</v>
      </c>
      <c r="I7" s="117">
        <f>IS!I10</f>
        <v>52.373200556727241</v>
      </c>
      <c r="J7" s="117">
        <f>IS!J10</f>
        <v>59.469754953814324</v>
      </c>
    </row>
    <row r="8" spans="1:10" ht="14.4" x14ac:dyDescent="0.3">
      <c r="B8" s="2"/>
      <c r="C8" s="117"/>
      <c r="D8" s="117"/>
      <c r="E8" s="117"/>
      <c r="F8" s="117"/>
      <c r="G8" s="117"/>
      <c r="H8" s="117"/>
      <c r="I8" s="117"/>
      <c r="J8" s="120"/>
    </row>
    <row r="9" spans="1:10" ht="14.4" x14ac:dyDescent="0.3">
      <c r="B9" s="19" t="s">
        <v>103</v>
      </c>
      <c r="C9" s="119"/>
      <c r="D9" s="119"/>
      <c r="E9" s="119"/>
      <c r="F9" s="119"/>
      <c r="G9" s="119"/>
      <c r="H9" s="119"/>
      <c r="I9" s="119"/>
      <c r="J9" s="120"/>
    </row>
    <row r="10" spans="1:10" ht="14.4" x14ac:dyDescent="0.3">
      <c r="A10" s="18" t="s">
        <v>101</v>
      </c>
      <c r="B10" s="2" t="s">
        <v>58</v>
      </c>
      <c r="C10" s="121">
        <f>BS!C8-BS!D8</f>
        <v>-461</v>
      </c>
      <c r="D10" s="121">
        <f>BS!D8-BS!E8</f>
        <v>-63</v>
      </c>
      <c r="E10" s="121">
        <f>BS!E8-BS!F8</f>
        <v>1</v>
      </c>
      <c r="F10" s="121">
        <f>BS!F8-BS!G8</f>
        <v>-149.83339068498742</v>
      </c>
      <c r="G10" s="121">
        <f>BS!G8-BS!H8</f>
        <v>-97.389067961756155</v>
      </c>
      <c r="H10" s="121">
        <f>BS!H8-BS!I8</f>
        <v>-156.80335740167573</v>
      </c>
      <c r="I10" s="121">
        <f>BS!I8-BS!J8</f>
        <v>-191.47177285231737</v>
      </c>
      <c r="J10" s="121">
        <f>BS!J8-BS!K8</f>
        <v>-206.28487104734245</v>
      </c>
    </row>
    <row r="11" spans="1:10" ht="14.4" x14ac:dyDescent="0.3">
      <c r="A11" s="18" t="s">
        <v>101</v>
      </c>
      <c r="B11" s="2" t="s">
        <v>59</v>
      </c>
      <c r="C11" s="121">
        <f>BS!C9-BS!D9</f>
        <v>-279</v>
      </c>
      <c r="D11" s="121">
        <f>BS!D9-BS!E9</f>
        <v>-254</v>
      </c>
      <c r="E11" s="121">
        <f>BS!E9-BS!F9</f>
        <v>-138</v>
      </c>
      <c r="F11" s="121">
        <f>BS!F9-BS!G9</f>
        <v>35.986620020781061</v>
      </c>
      <c r="G11" s="121">
        <f>BS!G9-BS!H9</f>
        <v>-191.95581318549273</v>
      </c>
      <c r="H11" s="121">
        <f>BS!H9-BS!I9</f>
        <v>-186.27872130163416</v>
      </c>
      <c r="I11" s="121">
        <f>BS!I9-BS!J9</f>
        <v>-145.09222052548478</v>
      </c>
      <c r="J11" s="121">
        <f>BS!J9-BS!K9</f>
        <v>-255.62355903154707</v>
      </c>
    </row>
    <row r="12" spans="1:10" ht="14.4" x14ac:dyDescent="0.3">
      <c r="A12" s="18" t="s">
        <v>101</v>
      </c>
      <c r="B12" s="2" t="s">
        <v>61</v>
      </c>
      <c r="C12" s="117">
        <f>BS!C11-BS!D11</f>
        <v>-8</v>
      </c>
      <c r="D12" s="117">
        <f>BS!D11-BS!E11</f>
        <v>-1</v>
      </c>
      <c r="E12" s="117">
        <f>BS!E11-BS!F11</f>
        <v>-27</v>
      </c>
      <c r="F12" s="117">
        <f>BS!F11-BS!G11</f>
        <v>18.333333333333332</v>
      </c>
      <c r="G12" s="117">
        <f>BS!G11-BS!H11</f>
        <v>0</v>
      </c>
      <c r="H12" s="117">
        <f>BS!H11-BS!I11</f>
        <v>0</v>
      </c>
      <c r="I12" s="117">
        <f>BS!I11-BS!J11</f>
        <v>0</v>
      </c>
      <c r="J12" s="117">
        <f>BS!J11-BS!K11</f>
        <v>0</v>
      </c>
    </row>
    <row r="13" spans="1:10" ht="14.4" x14ac:dyDescent="0.3">
      <c r="A13" s="18" t="s">
        <v>101</v>
      </c>
      <c r="B13" s="2" t="s">
        <v>62</v>
      </c>
      <c r="C13" s="117">
        <f>BS!C12-BS!D12</f>
        <v>-623</v>
      </c>
      <c r="D13" s="117">
        <f>BS!D12-BS!E12</f>
        <v>200</v>
      </c>
      <c r="E13" s="117">
        <f>BS!E12-BS!F12</f>
        <v>-227</v>
      </c>
      <c r="F13" s="117">
        <f>BS!F12-BS!G12</f>
        <v>84.666666666666629</v>
      </c>
      <c r="G13" s="117">
        <f>BS!G12-BS!H12</f>
        <v>0</v>
      </c>
      <c r="H13" s="117">
        <f>BS!H12-BS!I12</f>
        <v>0</v>
      </c>
      <c r="I13" s="117">
        <f>BS!I12-BS!J12</f>
        <v>0</v>
      </c>
      <c r="J13" s="117">
        <f>BS!J12-BS!K12</f>
        <v>0</v>
      </c>
    </row>
    <row r="14" spans="1:10" ht="14.4" x14ac:dyDescent="0.3">
      <c r="A14" s="18" t="s">
        <v>104</v>
      </c>
      <c r="B14" s="2" t="s">
        <v>52</v>
      </c>
      <c r="C14" s="117">
        <f>BS!D23-BS!C23</f>
        <v>323</v>
      </c>
      <c r="D14" s="117">
        <f>BS!E23-BS!D23</f>
        <v>-4</v>
      </c>
      <c r="E14" s="117">
        <f>BS!F23-BS!E23</f>
        <v>-84</v>
      </c>
      <c r="F14" s="117">
        <f>BS!G23-BS!F23</f>
        <v>164.30703022102142</v>
      </c>
      <c r="G14" s="117">
        <f>BS!H23-BS!G23</f>
        <v>25.454492488403332</v>
      </c>
      <c r="H14" s="117">
        <f>BS!I23-BS!H23</f>
        <v>69.276679840872248</v>
      </c>
      <c r="I14" s="117">
        <f>BS!J23-BS!I23</f>
        <v>132.00868365941847</v>
      </c>
      <c r="J14" s="117">
        <f>BS!K23-BS!J23</f>
        <v>100.02981700824716</v>
      </c>
    </row>
    <row r="15" spans="1:10" ht="14.4" x14ac:dyDescent="0.3">
      <c r="A15" s="18" t="s">
        <v>104</v>
      </c>
      <c r="B15" s="2" t="s">
        <v>53</v>
      </c>
      <c r="C15" s="117">
        <f>BS!D24-BS!C24</f>
        <v>72</v>
      </c>
      <c r="D15" s="117">
        <f>BS!E24-BS!D24</f>
        <v>441</v>
      </c>
      <c r="E15" s="117">
        <f>BS!F24-BS!E24</f>
        <v>-99</v>
      </c>
      <c r="F15" s="117">
        <f>BS!G24-BS!F24</f>
        <v>-81</v>
      </c>
      <c r="G15" s="117">
        <f>BS!H24-BS!G24</f>
        <v>0</v>
      </c>
      <c r="H15" s="117">
        <f>BS!I24-BS!H24</f>
        <v>0</v>
      </c>
      <c r="I15" s="117">
        <f>BS!J24-BS!I24</f>
        <v>0</v>
      </c>
      <c r="J15" s="117">
        <f>BS!K24-BS!J24</f>
        <v>0</v>
      </c>
    </row>
    <row r="16" spans="1:10" ht="14.4" x14ac:dyDescent="0.3">
      <c r="A16" s="18"/>
      <c r="B16" t="s">
        <v>188</v>
      </c>
      <c r="C16" s="117">
        <f>BS!D25-BS!C25</f>
        <v>536</v>
      </c>
      <c r="D16" s="117">
        <f>BS!E25-BS!D25</f>
        <v>-536</v>
      </c>
      <c r="E16" s="117">
        <f>BS!F25-BS!E25</f>
        <v>0</v>
      </c>
      <c r="F16" s="117">
        <f>BS!G25-BS!F25</f>
        <v>0</v>
      </c>
      <c r="G16" s="117">
        <f>BS!H25-BS!G25</f>
        <v>0</v>
      </c>
      <c r="H16" s="117">
        <f>BS!I25-BS!H25</f>
        <v>0</v>
      </c>
      <c r="I16" s="117">
        <f>BS!J25-BS!I25</f>
        <v>0</v>
      </c>
      <c r="J16" s="117">
        <f>BS!K25-BS!J25</f>
        <v>0</v>
      </c>
    </row>
    <row r="17" spans="1:10" ht="14.4" x14ac:dyDescent="0.3">
      <c r="A17" s="18" t="s">
        <v>104</v>
      </c>
      <c r="B17" s="22" t="s">
        <v>187</v>
      </c>
      <c r="C17" s="117">
        <f>BS!D26-BS!C26</f>
        <v>0</v>
      </c>
      <c r="D17" s="117">
        <f>BS!E26-BS!D26</f>
        <v>0</v>
      </c>
      <c r="E17" s="117">
        <f>BS!F26-BS!E26</f>
        <v>1</v>
      </c>
      <c r="F17" s="117">
        <f>BS!G26-BS!F26</f>
        <v>0</v>
      </c>
      <c r="G17" s="117">
        <f>BS!H26-BS!G26</f>
        <v>0</v>
      </c>
      <c r="H17" s="117">
        <f>BS!I26-BS!H26</f>
        <v>0</v>
      </c>
      <c r="I17" s="117">
        <f>BS!J26-BS!I26</f>
        <v>0</v>
      </c>
      <c r="J17" s="117">
        <f>BS!K26-BS!J26</f>
        <v>0</v>
      </c>
    </row>
    <row r="18" spans="1:10" ht="14.4" x14ac:dyDescent="0.3">
      <c r="B18" s="10" t="s">
        <v>38</v>
      </c>
      <c r="C18" s="112">
        <f t="shared" ref="C18:J18" si="0">SUM(C6:C17)</f>
        <v>-291.37999999999988</v>
      </c>
      <c r="D18" s="112">
        <f t="shared" si="0"/>
        <v>95.939999999999827</v>
      </c>
      <c r="E18" s="112">
        <f t="shared" si="0"/>
        <v>-268.24999999999989</v>
      </c>
      <c r="F18" s="112">
        <f t="shared" si="0"/>
        <v>357.59782297666794</v>
      </c>
      <c r="G18" s="112">
        <f t="shared" si="0"/>
        <v>95.315971589964704</v>
      </c>
      <c r="H18" s="112">
        <f t="shared" si="0"/>
        <v>171.99075656078321</v>
      </c>
      <c r="I18" s="112">
        <f t="shared" si="0"/>
        <v>334.69061717497584</v>
      </c>
      <c r="J18" s="112">
        <f t="shared" si="0"/>
        <v>297.88781568867194</v>
      </c>
    </row>
    <row r="19" spans="1:10" ht="14.4" x14ac:dyDescent="0.3">
      <c r="B19" s="5" t="s">
        <v>39</v>
      </c>
      <c r="C19" s="117"/>
      <c r="D19" s="117"/>
      <c r="E19" s="117"/>
      <c r="F19" s="117"/>
      <c r="G19" s="117"/>
      <c r="H19" s="117"/>
      <c r="I19" s="117"/>
      <c r="J19" s="120"/>
    </row>
    <row r="20" spans="1:10" ht="14.4" x14ac:dyDescent="0.3">
      <c r="B20" s="41" t="s">
        <v>137</v>
      </c>
      <c r="C20" s="145">
        <f>-Capex!C6</f>
        <v>0</v>
      </c>
      <c r="D20" s="145">
        <f>-Capex!D6</f>
        <v>-42.100000000000023</v>
      </c>
      <c r="E20" s="145">
        <f>-Capex!E6</f>
        <v>-205.58000000000004</v>
      </c>
      <c r="F20" s="145">
        <f>-Capex!F6</f>
        <v>-155.28315406911199</v>
      </c>
      <c r="G20" s="145">
        <f>-Capex!G6</f>
        <v>-176.32397911109351</v>
      </c>
      <c r="H20" s="145">
        <f>-Capex!H6</f>
        <v>-200.21583020996613</v>
      </c>
      <c r="I20" s="145">
        <f>-Capex!I6</f>
        <v>-227.34502061917189</v>
      </c>
      <c r="J20" s="145">
        <f>-Capex!J6</f>
        <v>-258.15020893267479</v>
      </c>
    </row>
    <row r="21" spans="1:10" ht="14.4" x14ac:dyDescent="0.3">
      <c r="B21" s="2" t="s">
        <v>57</v>
      </c>
      <c r="C21" s="117">
        <f>BS!C7-BS!D7</f>
        <v>-32</v>
      </c>
      <c r="D21" s="117">
        <f>BS!D7-BS!E7</f>
        <v>-166</v>
      </c>
      <c r="E21" s="117">
        <f>BS!E7-BS!F7</f>
        <v>-101</v>
      </c>
      <c r="F21" s="117">
        <f>BS!F7-BS!G7</f>
        <v>82.998262204128196</v>
      </c>
      <c r="G21" s="117">
        <f>BS!G7-BS!H7</f>
        <v>-106.95022415608918</v>
      </c>
      <c r="H21" s="117">
        <f>BS!H7-BS!I7</f>
        <v>-78.541403558664967</v>
      </c>
      <c r="I21" s="117">
        <f>BS!I7-BS!J7</f>
        <v>-34.983443145745014</v>
      </c>
      <c r="J21" s="117">
        <f>BS!J7-BS!K7</f>
        <v>-112.14252639077279</v>
      </c>
    </row>
    <row r="22" spans="1:10" ht="14.4" x14ac:dyDescent="0.3">
      <c r="B22" s="2" t="s">
        <v>55</v>
      </c>
      <c r="C22" s="117">
        <f>BS!C16-BS!D16</f>
        <v>-14</v>
      </c>
      <c r="D22" s="117">
        <f>BS!D16-BS!E16</f>
        <v>-157</v>
      </c>
      <c r="E22" s="117">
        <f>BS!E16-BS!F16</f>
        <v>49</v>
      </c>
      <c r="F22" s="117">
        <f>BS!F16-BS!G16</f>
        <v>0</v>
      </c>
      <c r="G22" s="117">
        <f>BS!G16-BS!H16</f>
        <v>0</v>
      </c>
      <c r="H22" s="117">
        <f>BS!H16-BS!I16</f>
        <v>0</v>
      </c>
      <c r="I22" s="117">
        <f>BS!I16-BS!J16</f>
        <v>0</v>
      </c>
      <c r="J22" s="117">
        <f>BS!J16-BS!K16</f>
        <v>0</v>
      </c>
    </row>
    <row r="23" spans="1:10" ht="14.4" x14ac:dyDescent="0.3">
      <c r="B23" s="2" t="s">
        <v>56</v>
      </c>
      <c r="C23" s="117">
        <f>BS!C17-BS!D17</f>
        <v>-40</v>
      </c>
      <c r="D23" s="117">
        <f>BS!D17-BS!E17</f>
        <v>-1</v>
      </c>
      <c r="E23" s="117">
        <f>BS!E17-BS!F17</f>
        <v>-69</v>
      </c>
      <c r="F23" s="117">
        <f>BS!F17-BS!G17</f>
        <v>0</v>
      </c>
      <c r="G23" s="117">
        <f>BS!G17-BS!H17</f>
        <v>0</v>
      </c>
      <c r="H23" s="117">
        <f>BS!H17-BS!I17</f>
        <v>0</v>
      </c>
      <c r="I23" s="117">
        <f>BS!I17-BS!J17</f>
        <v>0</v>
      </c>
      <c r="J23" s="117">
        <f>BS!J17-BS!K17</f>
        <v>0</v>
      </c>
    </row>
    <row r="24" spans="1:10" ht="14.4" x14ac:dyDescent="0.3">
      <c r="B24" s="10" t="s">
        <v>40</v>
      </c>
      <c r="C24" s="112">
        <f t="shared" ref="C24:J24" si="1">SUM(C20:C23)</f>
        <v>-86</v>
      </c>
      <c r="D24" s="112">
        <f t="shared" si="1"/>
        <v>-366.1</v>
      </c>
      <c r="E24" s="112">
        <f t="shared" si="1"/>
        <v>-326.58000000000004</v>
      </c>
      <c r="F24" s="112">
        <f t="shared" si="1"/>
        <v>-72.284891864983791</v>
      </c>
      <c r="G24" s="112">
        <f t="shared" si="1"/>
        <v>-283.27420326718266</v>
      </c>
      <c r="H24" s="112">
        <f t="shared" si="1"/>
        <v>-278.75723376863107</v>
      </c>
      <c r="I24" s="112">
        <f t="shared" si="1"/>
        <v>-262.32846376491693</v>
      </c>
      <c r="J24" s="112">
        <f t="shared" si="1"/>
        <v>-370.29273532344757</v>
      </c>
    </row>
    <row r="25" spans="1:10" ht="14.4" x14ac:dyDescent="0.3">
      <c r="B25" s="5" t="s">
        <v>41</v>
      </c>
      <c r="C25" s="117"/>
      <c r="D25" s="117"/>
      <c r="E25" s="117"/>
      <c r="F25" s="117"/>
      <c r="G25" s="117"/>
      <c r="H25" s="117"/>
      <c r="I25" s="117"/>
      <c r="J25" s="120"/>
    </row>
    <row r="26" spans="1:10" ht="14.4" x14ac:dyDescent="0.3">
      <c r="B26" s="2" t="s">
        <v>138</v>
      </c>
      <c r="C26" s="117">
        <f>-IS!C17</f>
        <v>-5.98</v>
      </c>
      <c r="D26" s="117">
        <f>-IS!D17</f>
        <v>-10.77</v>
      </c>
      <c r="E26" s="117">
        <f>-IS!E17</f>
        <v>-13.46</v>
      </c>
      <c r="F26" s="117">
        <f>-IS!F17</f>
        <v>-11.139042157876748</v>
      </c>
      <c r="G26" s="117">
        <f>-IS!G17</f>
        <v>-14.231145393318965</v>
      </c>
      <c r="H26" s="117">
        <f>-IS!H17</f>
        <v>-17.853218174100842</v>
      </c>
      <c r="I26" s="117">
        <f>-IS!I17</f>
        <v>-21.748409564351551</v>
      </c>
      <c r="J26" s="117">
        <f>-IS!J17</f>
        <v>-26.81501184154062</v>
      </c>
    </row>
    <row r="27" spans="1:10" ht="14.4" x14ac:dyDescent="0.3">
      <c r="B27" s="2" t="s">
        <v>51</v>
      </c>
      <c r="C27" s="117">
        <f>BS!D22-BS!C22</f>
        <v>200</v>
      </c>
      <c r="D27" s="117">
        <f>BS!E22-BS!D22</f>
        <v>-171</v>
      </c>
      <c r="E27" s="117">
        <f>BS!F22-BS!E22</f>
        <v>475</v>
      </c>
      <c r="F27" s="117">
        <f>BS!G22-BS!F22</f>
        <v>-259.66666666666663</v>
      </c>
      <c r="G27" s="117">
        <f>BS!H22-BS!G22</f>
        <v>0</v>
      </c>
      <c r="H27" s="117">
        <f>BS!I22-BS!H22</f>
        <v>0</v>
      </c>
      <c r="I27" s="117">
        <f>BS!J22-BS!I22</f>
        <v>0</v>
      </c>
      <c r="J27" s="117">
        <f>BS!K22-BS!J22</f>
        <v>7.3888888888888573</v>
      </c>
    </row>
    <row r="28" spans="1:10" ht="14.4" x14ac:dyDescent="0.3">
      <c r="B28" s="2" t="s">
        <v>49</v>
      </c>
      <c r="C28" s="117">
        <f>BS!D29-BS!C29</f>
        <v>50</v>
      </c>
      <c r="D28" s="117">
        <f>BS!E29-BS!D29</f>
        <v>-13</v>
      </c>
      <c r="E28" s="117">
        <f>BS!F29-BS!E29</f>
        <v>-12</v>
      </c>
      <c r="F28" s="117">
        <f>BS!G29-BS!F29</f>
        <v>12.333333333333336</v>
      </c>
      <c r="G28" s="117">
        <f>BS!H29-BS!G29</f>
        <v>-4.2222222222222214</v>
      </c>
      <c r="H28" s="117">
        <f>BS!I29-BS!H29</f>
        <v>-1.2962962962962941</v>
      </c>
      <c r="I28" s="117">
        <f>BS!J29-BS!I29</f>
        <v>2.2716049382716044</v>
      </c>
      <c r="J28" s="117">
        <f>BS!K29-BS!J29</f>
        <v>-1.0823045267489704</v>
      </c>
    </row>
    <row r="29" spans="1:10" ht="14.4" x14ac:dyDescent="0.3">
      <c r="B29" s="2" t="s">
        <v>50</v>
      </c>
      <c r="C29" s="117">
        <f>BS!D31-BS!C31</f>
        <v>0</v>
      </c>
      <c r="D29" s="117">
        <f>BS!E31-BS!D31</f>
        <v>0</v>
      </c>
      <c r="E29" s="117">
        <f>BS!F31-BS!E31</f>
        <v>0</v>
      </c>
      <c r="F29" s="117">
        <f>BS!G31-BS!F31</f>
        <v>0</v>
      </c>
      <c r="G29" s="117">
        <f>BS!H31-BS!G31</f>
        <v>0</v>
      </c>
      <c r="H29" s="117">
        <f>BS!I31-BS!H31</f>
        <v>0</v>
      </c>
      <c r="I29" s="117">
        <f>BS!J31-BS!I31</f>
        <v>0</v>
      </c>
      <c r="J29" s="117">
        <f>BS!K31-BS!J31</f>
        <v>0</v>
      </c>
    </row>
    <row r="30" spans="1:10" ht="14.4" x14ac:dyDescent="0.3">
      <c r="B30" s="2" t="s">
        <v>47</v>
      </c>
      <c r="C30" s="117">
        <f>BS!D35-BS!C35</f>
        <v>24</v>
      </c>
      <c r="D30" s="117">
        <f>BS!E35-BS!D35</f>
        <v>3</v>
      </c>
      <c r="E30" s="117">
        <f>BS!F35-BS!E35</f>
        <v>0</v>
      </c>
      <c r="F30" s="117">
        <f>BS!G35-BS!F35</f>
        <v>0</v>
      </c>
      <c r="G30" s="117">
        <f>BS!H35-BS!G35</f>
        <v>0</v>
      </c>
      <c r="H30" s="117">
        <f>BS!I35-BS!H35</f>
        <v>0</v>
      </c>
      <c r="I30" s="117">
        <f>BS!J35-BS!I35</f>
        <v>0</v>
      </c>
      <c r="J30" s="117">
        <f>BS!K35-BS!J35</f>
        <v>0</v>
      </c>
    </row>
    <row r="31" spans="1:10" ht="14.4" x14ac:dyDescent="0.3">
      <c r="B31" s="2" t="s">
        <v>48</v>
      </c>
      <c r="C31" s="117">
        <f>'Assumptions ( Driver)'!C37</f>
        <v>1.8599999999999</v>
      </c>
      <c r="D31" s="117">
        <f>'Assumptions ( Driver)'!D37</f>
        <v>975.93000000000006</v>
      </c>
      <c r="E31" s="117">
        <f>'Assumptions ( Driver)'!E37</f>
        <v>3.2899999999999636</v>
      </c>
      <c r="F31" s="117">
        <f>'Assumptions ( Driver)'!F37</f>
        <v>0</v>
      </c>
      <c r="G31" s="117">
        <f>'Assumptions ( Driver)'!G37</f>
        <v>0</v>
      </c>
      <c r="H31" s="117">
        <f>'Assumptions ( Driver)'!H37</f>
        <v>0</v>
      </c>
      <c r="I31" s="117">
        <f>'Assumptions ( Driver)'!I37</f>
        <v>0</v>
      </c>
      <c r="J31" s="117">
        <f>'Assumptions ( Driver)'!J37</f>
        <v>0</v>
      </c>
    </row>
    <row r="32" spans="1:10" ht="14.4" x14ac:dyDescent="0.3">
      <c r="B32" s="10" t="s">
        <v>42</v>
      </c>
      <c r="C32" s="112">
        <f t="shared" ref="C32:J32" si="2">SUM(C26:C31)</f>
        <v>269.87999999999988</v>
      </c>
      <c r="D32" s="112">
        <f t="shared" si="2"/>
        <v>784.16000000000008</v>
      </c>
      <c r="E32" s="112">
        <f t="shared" si="2"/>
        <v>452.83</v>
      </c>
      <c r="F32" s="112">
        <f t="shared" si="2"/>
        <v>-258.47237549121007</v>
      </c>
      <c r="G32" s="112">
        <f t="shared" si="2"/>
        <v>-18.453367615541186</v>
      </c>
      <c r="H32" s="112">
        <f t="shared" si="2"/>
        <v>-19.149514470397136</v>
      </c>
      <c r="I32" s="112">
        <f t="shared" si="2"/>
        <v>-19.476804626079947</v>
      </c>
      <c r="J32" s="112">
        <f t="shared" si="2"/>
        <v>-20.508427479400734</v>
      </c>
    </row>
    <row r="33" spans="2:10" ht="14.4" x14ac:dyDescent="0.3">
      <c r="B33" s="2"/>
      <c r="C33" s="117"/>
      <c r="D33" s="117"/>
      <c r="E33" s="117"/>
      <c r="F33" s="117"/>
      <c r="G33" s="117"/>
      <c r="H33" s="117"/>
      <c r="I33" s="117"/>
      <c r="J33" s="120"/>
    </row>
    <row r="34" spans="2:10" ht="14.4" x14ac:dyDescent="0.3">
      <c r="B34" s="11" t="s">
        <v>43</v>
      </c>
      <c r="C34" s="146">
        <f t="shared" ref="C34:J34" si="3">C18+C24+C32</f>
        <v>-107.5</v>
      </c>
      <c r="D34" s="146">
        <f t="shared" si="3"/>
        <v>513.99999999999989</v>
      </c>
      <c r="E34" s="146">
        <f t="shared" si="3"/>
        <v>-141.99999999999994</v>
      </c>
      <c r="F34" s="146">
        <f t="shared" si="3"/>
        <v>26.840555620474106</v>
      </c>
      <c r="G34" s="146">
        <f t="shared" si="3"/>
        <v>-206.41159929275915</v>
      </c>
      <c r="H34" s="146">
        <f t="shared" si="3"/>
        <v>-125.91599167824499</v>
      </c>
      <c r="I34" s="146">
        <f t="shared" si="3"/>
        <v>52.885348783978962</v>
      </c>
      <c r="J34" s="146">
        <f t="shared" si="3"/>
        <v>-92.913347114176375</v>
      </c>
    </row>
    <row r="35" spans="2:10" ht="14.4" x14ac:dyDescent="0.3">
      <c r="B35" s="2"/>
      <c r="C35" s="117"/>
      <c r="D35" s="117"/>
      <c r="E35" s="117"/>
      <c r="F35" s="117"/>
      <c r="G35" s="117"/>
      <c r="H35" s="117"/>
      <c r="I35" s="117"/>
      <c r="J35" s="120"/>
    </row>
    <row r="36" spans="2:10" ht="14.4" x14ac:dyDescent="0.3">
      <c r="B36" s="11" t="s">
        <v>44</v>
      </c>
      <c r="C36" s="146">
        <f>'(BS)'!J35</f>
        <v>42</v>
      </c>
      <c r="D36" s="146">
        <f>C38</f>
        <v>100</v>
      </c>
      <c r="E36" s="146">
        <f>D38</f>
        <v>609</v>
      </c>
      <c r="F36" s="146">
        <f>E38</f>
        <v>467</v>
      </c>
      <c r="G36" s="146">
        <f t="shared" ref="G36:J36" si="4">F38</f>
        <v>493.84055562047411</v>
      </c>
      <c r="H36" s="146">
        <f t="shared" si="4"/>
        <v>287.42895632771496</v>
      </c>
      <c r="I36" s="146">
        <f t="shared" si="4"/>
        <v>161.51296464946995</v>
      </c>
      <c r="J36" s="146">
        <f t="shared" si="4"/>
        <v>214.39831343344892</v>
      </c>
    </row>
    <row r="37" spans="2:10" ht="15" customHeight="1" x14ac:dyDescent="0.3">
      <c r="C37" s="120">
        <f>C34+C36</f>
        <v>-65.5</v>
      </c>
      <c r="D37" s="120">
        <f>D34+D36</f>
        <v>613.99999999999989</v>
      </c>
      <c r="E37" s="120">
        <f>E34+E36</f>
        <v>467.00000000000006</v>
      </c>
      <c r="F37" s="120">
        <f t="shared" ref="F37:J37" si="5">F34+F36</f>
        <v>493.84055562047411</v>
      </c>
      <c r="G37" s="120">
        <f t="shared" si="5"/>
        <v>287.42895632771496</v>
      </c>
      <c r="H37" s="120">
        <f t="shared" si="5"/>
        <v>161.51296464946995</v>
      </c>
      <c r="I37" s="120">
        <f t="shared" si="5"/>
        <v>214.39831343344892</v>
      </c>
      <c r="J37" s="120">
        <f t="shared" si="5"/>
        <v>121.48496631927254</v>
      </c>
    </row>
    <row r="38" spans="2:10" ht="14.4" x14ac:dyDescent="0.3">
      <c r="B38" s="12" t="s">
        <v>45</v>
      </c>
      <c r="C38" s="120">
        <f>BS!D10</f>
        <v>100</v>
      </c>
      <c r="D38" s="120">
        <f>BS!E10</f>
        <v>609</v>
      </c>
      <c r="E38" s="120">
        <f>BS!F10</f>
        <v>467</v>
      </c>
      <c r="F38" s="120">
        <f>F34+F36</f>
        <v>493.84055562047411</v>
      </c>
      <c r="G38" s="120">
        <f t="shared" ref="G38:J38" si="6">G34+G36</f>
        <v>287.42895632771496</v>
      </c>
      <c r="H38" s="120">
        <f t="shared" si="6"/>
        <v>161.51296464946995</v>
      </c>
      <c r="I38" s="120">
        <f t="shared" si="6"/>
        <v>214.39831343344892</v>
      </c>
      <c r="J38" s="120">
        <f t="shared" si="6"/>
        <v>121.48496631927254</v>
      </c>
    </row>
    <row r="44" spans="2:10" ht="15" customHeight="1" x14ac:dyDescent="0.3">
      <c r="B44" s="17"/>
    </row>
    <row r="45" spans="2:10" ht="15" customHeight="1" x14ac:dyDescent="0.3">
      <c r="B45"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E2995-812F-408C-9630-1B7352BDFE2F}">
  <sheetPr>
    <tabColor theme="9"/>
  </sheetPr>
  <dimension ref="A1"/>
  <sheetViews>
    <sheetView showGridLines="0"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0FE88-4930-4A49-BAE2-795A8197D852}">
  <dimension ref="B2:T508"/>
  <sheetViews>
    <sheetView showGridLines="0" workbookViewId="0">
      <selection activeCell="K5" sqref="K5"/>
    </sheetView>
  </sheetViews>
  <sheetFormatPr defaultRowHeight="14.4" x14ac:dyDescent="0.3"/>
  <cols>
    <col min="1" max="1" width="3.5546875" customWidth="1"/>
    <col min="2" max="2" width="14.6640625" customWidth="1"/>
    <col min="3" max="4" width="11.5546875" customWidth="1"/>
    <col min="6" max="6" width="11.109375" customWidth="1"/>
    <col min="7" max="7" width="12.109375" customWidth="1"/>
    <col min="9" max="9" width="20.21875" customWidth="1"/>
    <col min="10" max="10" width="14.44140625" customWidth="1"/>
    <col min="11" max="11" width="12.109375" customWidth="1"/>
    <col min="12" max="12" width="12" customWidth="1"/>
    <col min="13" max="13" width="13.5546875" customWidth="1"/>
    <col min="14" max="14" width="16.109375" customWidth="1"/>
    <col min="15" max="15" width="12.77734375" customWidth="1"/>
    <col min="16" max="16" width="11.44140625" customWidth="1"/>
    <col min="17" max="17" width="11.5546875" customWidth="1"/>
  </cols>
  <sheetData>
    <row r="2" spans="2:20" x14ac:dyDescent="0.3">
      <c r="B2" s="147" t="s">
        <v>344</v>
      </c>
      <c r="C2" s="148"/>
      <c r="D2" s="148"/>
      <c r="E2" s="148"/>
      <c r="F2" s="148"/>
      <c r="G2" s="148"/>
      <c r="H2" s="148"/>
      <c r="I2" s="148"/>
      <c r="J2" s="148"/>
    </row>
    <row r="4" spans="2:20" ht="15.6" x14ac:dyDescent="0.3">
      <c r="B4" s="149" t="s">
        <v>345</v>
      </c>
      <c r="C4" s="149"/>
      <c r="D4" s="149"/>
      <c r="F4" s="150" t="s">
        <v>346</v>
      </c>
      <c r="G4" s="150"/>
    </row>
    <row r="6" spans="2:20" x14ac:dyDescent="0.3">
      <c r="B6" s="140" t="s">
        <v>238</v>
      </c>
      <c r="C6" s="141" t="s">
        <v>239</v>
      </c>
      <c r="D6" s="141" t="s">
        <v>343</v>
      </c>
      <c r="E6" s="17"/>
      <c r="F6" s="142" t="s">
        <v>239</v>
      </c>
      <c r="G6" s="141" t="s">
        <v>343</v>
      </c>
    </row>
    <row r="7" spans="2:20" x14ac:dyDescent="0.3">
      <c r="B7" t="s">
        <v>240</v>
      </c>
      <c r="C7">
        <v>849.75</v>
      </c>
      <c r="D7" s="29"/>
      <c r="F7" s="130">
        <v>24614.9</v>
      </c>
      <c r="G7" s="29"/>
      <c r="S7" s="42"/>
    </row>
    <row r="8" spans="2:20" x14ac:dyDescent="0.3">
      <c r="B8" t="s">
        <v>241</v>
      </c>
      <c r="C8" s="130">
        <v>859.05</v>
      </c>
      <c r="D8" s="50">
        <f>C8/C7-1</f>
        <v>1.0944395410414698E-2</v>
      </c>
      <c r="F8" s="130">
        <v>24774.3</v>
      </c>
      <c r="G8" s="50">
        <f>F8/F7-1</f>
        <v>6.4757524913769959E-3</v>
      </c>
      <c r="Q8" s="42"/>
      <c r="R8" s="42"/>
      <c r="S8" s="42"/>
    </row>
    <row r="9" spans="2:20" x14ac:dyDescent="0.3">
      <c r="B9" t="s">
        <v>242</v>
      </c>
      <c r="C9">
        <v>825.2</v>
      </c>
      <c r="D9" s="50">
        <f t="shared" ref="D9:D72" si="0">C9/C8-1</f>
        <v>-3.9403992782724995E-2</v>
      </c>
      <c r="F9" s="130">
        <v>24383.599999999999</v>
      </c>
      <c r="G9" s="50">
        <f t="shared" ref="G9:G72" si="1">F9/F8-1</f>
        <v>-1.5770374945003551E-2</v>
      </c>
      <c r="O9" s="130"/>
      <c r="P9" s="130"/>
      <c r="Q9" s="130"/>
      <c r="R9" s="42"/>
      <c r="S9" s="130"/>
    </row>
    <row r="10" spans="2:20" x14ac:dyDescent="0.3">
      <c r="B10" t="s">
        <v>243</v>
      </c>
      <c r="C10">
        <v>819.45</v>
      </c>
      <c r="D10" s="50">
        <f t="shared" si="0"/>
        <v>-6.9680077556956155E-3</v>
      </c>
      <c r="F10" s="130">
        <v>23767.45</v>
      </c>
      <c r="G10" s="50">
        <f t="shared" si="1"/>
        <v>-2.5269033284666675E-2</v>
      </c>
      <c r="I10" s="151" t="s">
        <v>347</v>
      </c>
      <c r="J10" s="151"/>
      <c r="R10" s="130"/>
      <c r="S10" s="130"/>
      <c r="T10" s="42"/>
    </row>
    <row r="11" spans="2:20" ht="15" thickBot="1" x14ac:dyDescent="0.35">
      <c r="B11" t="s">
        <v>244</v>
      </c>
      <c r="C11">
        <v>859.85</v>
      </c>
      <c r="D11" s="50">
        <f t="shared" si="0"/>
        <v>4.9301360668741134E-2</v>
      </c>
      <c r="F11" s="130">
        <v>24334.3</v>
      </c>
      <c r="G11" s="50">
        <f t="shared" si="1"/>
        <v>2.3849845061207686E-2</v>
      </c>
      <c r="R11" s="130"/>
      <c r="S11" s="130"/>
      <c r="T11" s="42"/>
    </row>
    <row r="12" spans="2:20" x14ac:dyDescent="0.3">
      <c r="B12" t="s">
        <v>245</v>
      </c>
      <c r="C12">
        <v>835.8</v>
      </c>
      <c r="D12" s="50">
        <f t="shared" si="0"/>
        <v>-2.7969994766529171E-2</v>
      </c>
      <c r="F12" s="130">
        <v>24206.9</v>
      </c>
      <c r="G12" s="50">
        <f t="shared" si="1"/>
        <v>-5.2354084563762671E-3</v>
      </c>
      <c r="I12" s="133" t="s">
        <v>348</v>
      </c>
      <c r="J12" s="133"/>
      <c r="R12" s="130"/>
      <c r="S12" s="130"/>
      <c r="T12" s="42"/>
    </row>
    <row r="13" spans="2:20" x14ac:dyDescent="0.3">
      <c r="B13" t="s">
        <v>246</v>
      </c>
      <c r="C13">
        <v>877.25</v>
      </c>
      <c r="D13" s="50">
        <f t="shared" si="0"/>
        <v>4.9593204115817136E-2</v>
      </c>
      <c r="F13" s="130">
        <v>24270.85</v>
      </c>
      <c r="G13" s="50">
        <f t="shared" si="1"/>
        <v>2.6418087404829205E-3</v>
      </c>
      <c r="I13" t="s">
        <v>349</v>
      </c>
      <c r="J13">
        <v>0.55019662662531521</v>
      </c>
      <c r="R13" s="130"/>
      <c r="S13" s="130"/>
      <c r="T13" s="42"/>
    </row>
    <row r="14" spans="2:20" x14ac:dyDescent="0.3">
      <c r="B14" t="s">
        <v>247</v>
      </c>
      <c r="C14">
        <v>888.45</v>
      </c>
      <c r="D14" s="50">
        <f t="shared" si="0"/>
        <v>1.2767170133941352E-2</v>
      </c>
      <c r="F14" s="130">
        <v>24056</v>
      </c>
      <c r="G14" s="50">
        <f t="shared" si="1"/>
        <v>-8.8521827624495897E-3</v>
      </c>
      <c r="I14" t="s">
        <v>350</v>
      </c>
      <c r="J14">
        <v>0.30271632794987657</v>
      </c>
      <c r="R14" s="130"/>
      <c r="S14" s="130"/>
      <c r="T14" s="42"/>
    </row>
    <row r="15" spans="2:20" x14ac:dyDescent="0.3">
      <c r="B15" t="s">
        <v>248</v>
      </c>
      <c r="C15">
        <v>922.45</v>
      </c>
      <c r="D15" s="50">
        <f t="shared" si="0"/>
        <v>3.8268895267038028E-2</v>
      </c>
      <c r="F15" s="130">
        <v>24013.1</v>
      </c>
      <c r="G15" s="50">
        <f t="shared" si="1"/>
        <v>-1.7833388759561641E-3</v>
      </c>
      <c r="I15" t="s">
        <v>351</v>
      </c>
      <c r="J15">
        <v>0.29594658356104042</v>
      </c>
      <c r="R15" s="130"/>
      <c r="S15" s="130"/>
      <c r="T15" s="42"/>
    </row>
    <row r="16" spans="2:20" x14ac:dyDescent="0.3">
      <c r="B16" t="s">
        <v>249</v>
      </c>
      <c r="C16">
        <v>858.65</v>
      </c>
      <c r="D16" s="50">
        <f t="shared" si="0"/>
        <v>-6.9163640305707652E-2</v>
      </c>
      <c r="F16" s="130">
        <v>23622.9</v>
      </c>
      <c r="G16" s="50">
        <f t="shared" si="1"/>
        <v>-1.6249463834323685E-2</v>
      </c>
      <c r="I16" t="s">
        <v>352</v>
      </c>
      <c r="J16">
        <v>5.1094207703456435E-2</v>
      </c>
      <c r="R16" s="130"/>
      <c r="S16" s="130"/>
      <c r="T16" s="42"/>
    </row>
    <row r="17" spans="2:20" ht="15" thickBot="1" x14ac:dyDescent="0.35">
      <c r="B17" t="s">
        <v>250</v>
      </c>
      <c r="C17">
        <v>837.9</v>
      </c>
      <c r="D17" s="50">
        <f t="shared" si="0"/>
        <v>-2.416584172829439E-2</v>
      </c>
      <c r="F17" s="130">
        <v>23366.7</v>
      </c>
      <c r="G17" s="50">
        <f t="shared" si="1"/>
        <v>-1.0845408480753882E-2</v>
      </c>
      <c r="I17" s="131" t="s">
        <v>353</v>
      </c>
      <c r="J17" s="131">
        <v>105</v>
      </c>
      <c r="R17" s="130"/>
      <c r="S17" s="130"/>
      <c r="T17" s="42"/>
    </row>
    <row r="18" spans="2:20" x14ac:dyDescent="0.3">
      <c r="B18" t="s">
        <v>251</v>
      </c>
      <c r="C18">
        <v>826.15</v>
      </c>
      <c r="D18" s="50">
        <f t="shared" si="0"/>
        <v>-1.4023153120897525E-2</v>
      </c>
      <c r="F18" s="130">
        <v>23547.75</v>
      </c>
      <c r="G18" s="50">
        <f t="shared" si="1"/>
        <v>7.7482057800202231E-3</v>
      </c>
      <c r="R18" s="130"/>
      <c r="S18" s="130"/>
      <c r="T18" s="42"/>
    </row>
    <row r="19" spans="2:20" ht="15" thickBot="1" x14ac:dyDescent="0.35">
      <c r="B19" t="s">
        <v>252</v>
      </c>
      <c r="C19">
        <v>757.3</v>
      </c>
      <c r="D19" s="50">
        <f t="shared" si="0"/>
        <v>-8.3338376808085757E-2</v>
      </c>
      <c r="F19" s="130">
        <v>23719.3</v>
      </c>
      <c r="G19" s="50">
        <f t="shared" si="1"/>
        <v>7.2851970995104764E-3</v>
      </c>
      <c r="I19" t="s">
        <v>354</v>
      </c>
      <c r="R19" s="130"/>
      <c r="S19" s="130"/>
      <c r="T19" s="42"/>
    </row>
    <row r="20" spans="2:20" x14ac:dyDescent="0.3">
      <c r="B20" t="s">
        <v>253</v>
      </c>
      <c r="C20">
        <v>763.3</v>
      </c>
      <c r="D20" s="50">
        <f t="shared" si="0"/>
        <v>7.9228839297504905E-3</v>
      </c>
      <c r="F20" s="130">
        <v>23643.5</v>
      </c>
      <c r="G20" s="50">
        <f t="shared" si="1"/>
        <v>-3.1957098228024838E-3</v>
      </c>
      <c r="I20" s="132"/>
      <c r="J20" s="132" t="s">
        <v>359</v>
      </c>
      <c r="K20" s="132" t="s">
        <v>360</v>
      </c>
      <c r="L20" s="132" t="s">
        <v>361</v>
      </c>
      <c r="M20" s="132" t="s">
        <v>362</v>
      </c>
      <c r="N20" s="132" t="s">
        <v>363</v>
      </c>
      <c r="R20" s="130"/>
      <c r="S20" s="130"/>
      <c r="T20" s="42"/>
    </row>
    <row r="21" spans="2:20" x14ac:dyDescent="0.3">
      <c r="B21" t="s">
        <v>254</v>
      </c>
      <c r="C21">
        <v>839.95</v>
      </c>
      <c r="D21" s="50">
        <f t="shared" si="0"/>
        <v>0.10041923228088567</v>
      </c>
      <c r="F21" s="130">
        <v>24176.15</v>
      </c>
      <c r="G21" s="50">
        <f t="shared" si="1"/>
        <v>2.2528390466724613E-2</v>
      </c>
      <c r="I21" t="s">
        <v>355</v>
      </c>
      <c r="J21">
        <v>1</v>
      </c>
      <c r="K21">
        <v>0.11673656606023952</v>
      </c>
      <c r="L21">
        <v>0.11673656606023952</v>
      </c>
      <c r="M21">
        <v>44.716064678760986</v>
      </c>
      <c r="N21">
        <v>1.2035816787182707E-9</v>
      </c>
      <c r="R21" s="130"/>
      <c r="S21" s="130"/>
      <c r="T21" s="42"/>
    </row>
    <row r="22" spans="2:20" x14ac:dyDescent="0.3">
      <c r="B22" t="s">
        <v>255</v>
      </c>
      <c r="C22">
        <v>768.4</v>
      </c>
      <c r="D22" s="50">
        <f t="shared" si="0"/>
        <v>-8.5183641883445516E-2</v>
      </c>
      <c r="F22" s="130">
        <v>23997.55</v>
      </c>
      <c r="G22" s="50">
        <f t="shared" si="1"/>
        <v>-7.3874458919225283E-3</v>
      </c>
      <c r="I22" t="s">
        <v>356</v>
      </c>
      <c r="J22">
        <v>103</v>
      </c>
      <c r="K22">
        <v>0.26889366026692652</v>
      </c>
      <c r="L22">
        <v>2.6106180608439469E-3</v>
      </c>
      <c r="R22" s="130"/>
      <c r="S22" s="130"/>
      <c r="T22" s="42"/>
    </row>
    <row r="23" spans="2:20" ht="15" thickBot="1" x14ac:dyDescent="0.35">
      <c r="B23" t="s">
        <v>256</v>
      </c>
      <c r="C23">
        <v>756.65</v>
      </c>
      <c r="D23" s="50">
        <f t="shared" si="0"/>
        <v>-1.5291514836022868E-2</v>
      </c>
      <c r="F23" s="130">
        <v>23897.95</v>
      </c>
      <c r="G23" s="50">
        <f t="shared" si="1"/>
        <v>-4.1504236890849144E-3</v>
      </c>
      <c r="I23" s="131" t="s">
        <v>357</v>
      </c>
      <c r="J23" s="131">
        <v>104</v>
      </c>
      <c r="K23" s="131">
        <v>0.38563022632716604</v>
      </c>
      <c r="L23" s="131"/>
      <c r="M23" s="131"/>
      <c r="N23" s="131"/>
      <c r="R23" s="130"/>
      <c r="S23" s="130"/>
      <c r="T23" s="42"/>
    </row>
    <row r="24" spans="2:20" ht="15" thickBot="1" x14ac:dyDescent="0.35">
      <c r="B24" t="s">
        <v>257</v>
      </c>
      <c r="C24">
        <v>741.05</v>
      </c>
      <c r="D24" s="50">
        <f t="shared" si="0"/>
        <v>-2.061719421132624E-2</v>
      </c>
      <c r="F24" s="130">
        <v>24353.55</v>
      </c>
      <c r="G24" s="50">
        <f t="shared" si="1"/>
        <v>1.9064396736958589E-2</v>
      </c>
      <c r="R24" s="130"/>
      <c r="S24" s="130"/>
      <c r="T24" s="42"/>
    </row>
    <row r="25" spans="2:20" x14ac:dyDescent="0.3">
      <c r="B25" t="s">
        <v>258</v>
      </c>
      <c r="C25">
        <v>710.25</v>
      </c>
      <c r="D25" s="50">
        <f t="shared" si="0"/>
        <v>-4.1562647594629132E-2</v>
      </c>
      <c r="F25" s="130">
        <v>24050.6</v>
      </c>
      <c r="G25" s="50">
        <f t="shared" si="1"/>
        <v>-1.2439664853789334E-2</v>
      </c>
      <c r="I25" s="132"/>
      <c r="J25" s="132" t="s">
        <v>364</v>
      </c>
      <c r="K25" s="132" t="s">
        <v>352</v>
      </c>
      <c r="L25" s="132" t="s">
        <v>365</v>
      </c>
      <c r="M25" s="132" t="s">
        <v>366</v>
      </c>
      <c r="N25" s="132" t="s">
        <v>367</v>
      </c>
      <c r="O25" s="132" t="s">
        <v>368</v>
      </c>
      <c r="P25" s="132" t="s">
        <v>369</v>
      </c>
      <c r="Q25" s="132" t="s">
        <v>370</v>
      </c>
      <c r="R25" s="130"/>
      <c r="S25" s="130"/>
      <c r="T25" s="42"/>
    </row>
    <row r="26" spans="2:20" x14ac:dyDescent="0.3">
      <c r="B26" t="s">
        <v>259</v>
      </c>
      <c r="C26">
        <v>614.9</v>
      </c>
      <c r="D26" s="50">
        <f t="shared" si="0"/>
        <v>-0.13424850404787048</v>
      </c>
      <c r="F26" s="42">
        <v>22713.1</v>
      </c>
      <c r="G26" s="50">
        <f t="shared" si="1"/>
        <v>-5.5611918205782818E-2</v>
      </c>
      <c r="I26" t="s">
        <v>358</v>
      </c>
      <c r="J26">
        <v>6.1577158616593526E-3</v>
      </c>
      <c r="K26">
        <v>4.9863250298154554E-3</v>
      </c>
      <c r="L26">
        <v>1.2349206730086046</v>
      </c>
      <c r="M26">
        <v>0.2196697165984299</v>
      </c>
      <c r="N26">
        <v>-3.7314837841600969E-3</v>
      </c>
      <c r="O26">
        <v>1.6046915507478804E-2</v>
      </c>
      <c r="P26">
        <v>-3.7314837841600969E-3</v>
      </c>
      <c r="Q26">
        <v>1.6046915507478804E-2</v>
      </c>
      <c r="R26" s="130"/>
      <c r="S26" s="130"/>
      <c r="T26" s="42"/>
    </row>
    <row r="27" spans="2:20" ht="15" thickBot="1" x14ac:dyDescent="0.35">
      <c r="B27" t="s">
        <v>260</v>
      </c>
      <c r="C27">
        <v>595.6</v>
      </c>
      <c r="D27" s="50">
        <f t="shared" si="0"/>
        <v>-3.1387217433728964E-2</v>
      </c>
      <c r="F27" s="42">
        <v>22819.599999999999</v>
      </c>
      <c r="G27" s="50">
        <f t="shared" si="1"/>
        <v>4.6889240130145726E-3</v>
      </c>
      <c r="I27" s="131" t="s">
        <v>371</v>
      </c>
      <c r="J27" s="131">
        <v>1.8002308522592005</v>
      </c>
      <c r="K27" s="131">
        <v>0.26921323856516693</v>
      </c>
      <c r="L27" s="131">
        <v>6.6870071540832816</v>
      </c>
      <c r="M27" s="131">
        <v>1.2035816787182836E-9</v>
      </c>
      <c r="N27" s="131">
        <v>1.2663098889145612</v>
      </c>
      <c r="O27" s="131">
        <v>2.3341518156038399</v>
      </c>
      <c r="P27" s="131">
        <v>1.2663098889145612</v>
      </c>
      <c r="Q27" s="131">
        <v>2.3341518156038399</v>
      </c>
      <c r="R27" s="130"/>
      <c r="S27" s="130"/>
      <c r="T27" s="42"/>
    </row>
    <row r="28" spans="2:20" x14ac:dyDescent="0.3">
      <c r="B28" t="s">
        <v>261</v>
      </c>
      <c r="C28">
        <v>626.35</v>
      </c>
      <c r="D28" s="50">
        <f t="shared" si="0"/>
        <v>5.1628609805238312E-2</v>
      </c>
      <c r="F28" s="42">
        <v>23114.5</v>
      </c>
      <c r="G28" s="50">
        <f t="shared" si="1"/>
        <v>1.2923101193710762E-2</v>
      </c>
      <c r="R28" s="130"/>
      <c r="S28" s="130"/>
      <c r="T28" s="42"/>
    </row>
    <row r="29" spans="2:20" x14ac:dyDescent="0.3">
      <c r="B29" t="s">
        <v>262</v>
      </c>
      <c r="C29">
        <v>639.4</v>
      </c>
      <c r="D29" s="50">
        <f t="shared" si="0"/>
        <v>2.083499640775921E-2</v>
      </c>
      <c r="F29" s="42">
        <v>23151.1</v>
      </c>
      <c r="G29" s="50">
        <f t="shared" si="1"/>
        <v>1.5834216617274244E-3</v>
      </c>
      <c r="R29" s="42"/>
      <c r="S29" s="130"/>
      <c r="T29" s="42"/>
    </row>
    <row r="30" spans="2:20" x14ac:dyDescent="0.3">
      <c r="B30" t="s">
        <v>263</v>
      </c>
      <c r="C30" s="130">
        <v>680.3</v>
      </c>
      <c r="D30" s="50">
        <f t="shared" si="0"/>
        <v>6.3966218329684077E-2</v>
      </c>
      <c r="F30" s="42">
        <v>24450.45</v>
      </c>
      <c r="G30" s="50">
        <f t="shared" si="1"/>
        <v>5.6124762970226172E-2</v>
      </c>
      <c r="R30" s="42"/>
      <c r="S30" s="130"/>
      <c r="T30" s="42"/>
    </row>
    <row r="31" spans="2:20" x14ac:dyDescent="0.3">
      <c r="B31" t="s">
        <v>264</v>
      </c>
      <c r="C31" s="130">
        <v>700.95</v>
      </c>
      <c r="D31" s="50">
        <f t="shared" si="0"/>
        <v>3.0354255475525616E-2</v>
      </c>
      <c r="F31" s="42">
        <v>25178.65</v>
      </c>
      <c r="G31" s="50">
        <f t="shared" si="1"/>
        <v>2.9782682936305926E-2</v>
      </c>
      <c r="N31" s="130"/>
      <c r="O31" s="130"/>
      <c r="P31" s="130"/>
      <c r="Q31" s="130"/>
      <c r="R31" s="42"/>
      <c r="S31" s="130"/>
      <c r="T31" s="42"/>
    </row>
    <row r="32" spans="2:20" x14ac:dyDescent="0.3">
      <c r="B32" t="s">
        <v>265</v>
      </c>
      <c r="C32" s="130">
        <v>743.5</v>
      </c>
      <c r="D32" s="50">
        <f t="shared" si="0"/>
        <v>6.070333119338045E-2</v>
      </c>
      <c r="F32" s="130">
        <v>25571.25</v>
      </c>
      <c r="G32" s="50">
        <f t="shared" si="1"/>
        <v>1.5592575455792845E-2</v>
      </c>
      <c r="N32" s="130"/>
      <c r="O32" s="130"/>
      <c r="P32" s="130"/>
      <c r="Q32" s="130"/>
      <c r="R32" s="42"/>
      <c r="S32" s="130"/>
      <c r="T32" s="42"/>
    </row>
    <row r="33" spans="2:20" x14ac:dyDescent="0.3">
      <c r="B33" t="s">
        <v>266</v>
      </c>
      <c r="C33" s="130">
        <v>764.8</v>
      </c>
      <c r="D33" s="50">
        <f t="shared" si="0"/>
        <v>2.8648285137861329E-2</v>
      </c>
      <c r="F33" s="42">
        <v>25471.1</v>
      </c>
      <c r="G33" s="50">
        <f t="shared" si="1"/>
        <v>-3.9165077968421613E-3</v>
      </c>
      <c r="N33" s="130"/>
      <c r="O33" s="130"/>
      <c r="P33" s="130"/>
      <c r="Q33" s="130"/>
      <c r="R33" s="42"/>
      <c r="S33" s="130"/>
      <c r="T33" s="42"/>
    </row>
    <row r="34" spans="2:20" x14ac:dyDescent="0.3">
      <c r="B34" t="s">
        <v>267</v>
      </c>
      <c r="C34" s="130">
        <v>781.5</v>
      </c>
      <c r="D34" s="50">
        <f t="shared" si="0"/>
        <v>2.1835774058577506E-2</v>
      </c>
      <c r="F34" s="42">
        <v>25693.7</v>
      </c>
      <c r="G34" s="50">
        <f t="shared" si="1"/>
        <v>8.7393163232056814E-3</v>
      </c>
      <c r="N34" s="130"/>
      <c r="O34" s="130"/>
      <c r="P34" s="130"/>
      <c r="Q34" s="130"/>
      <c r="R34" s="42"/>
      <c r="S34" s="130"/>
      <c r="T34" s="42"/>
    </row>
    <row r="35" spans="2:20" x14ac:dyDescent="0.3">
      <c r="B35" t="s">
        <v>372</v>
      </c>
      <c r="C35" s="130">
        <v>785.4</v>
      </c>
      <c r="D35" s="50">
        <f t="shared" si="0"/>
        <v>4.9904030710172798E-3</v>
      </c>
      <c r="F35" s="42">
        <v>24825.45</v>
      </c>
      <c r="G35" s="50">
        <f t="shared" si="1"/>
        <v>-3.3792330415627125E-2</v>
      </c>
      <c r="N35" s="130"/>
      <c r="O35" s="130"/>
      <c r="P35" s="130"/>
      <c r="Q35" s="130"/>
      <c r="R35" s="130"/>
      <c r="S35" s="130"/>
      <c r="T35" s="42"/>
    </row>
    <row r="36" spans="2:20" x14ac:dyDescent="0.3">
      <c r="B36" t="s">
        <v>268</v>
      </c>
      <c r="C36" s="130">
        <v>786.55</v>
      </c>
      <c r="D36" s="50">
        <f t="shared" si="0"/>
        <v>1.4642220524572203E-3</v>
      </c>
      <c r="F36" s="42">
        <v>25048.65</v>
      </c>
      <c r="G36" s="50">
        <f t="shared" si="1"/>
        <v>8.9907735811436407E-3</v>
      </c>
      <c r="N36" s="130"/>
      <c r="O36" s="130"/>
      <c r="P36" s="130"/>
      <c r="Q36" s="130"/>
      <c r="R36" s="42"/>
      <c r="S36" s="130"/>
      <c r="T36" s="42"/>
    </row>
    <row r="37" spans="2:20" x14ac:dyDescent="0.3">
      <c r="B37" t="s">
        <v>269</v>
      </c>
      <c r="C37" s="130">
        <v>805.9</v>
      </c>
      <c r="D37" s="50">
        <f t="shared" si="0"/>
        <v>2.4601106096243219E-2</v>
      </c>
      <c r="F37" s="42">
        <v>25694.35</v>
      </c>
      <c r="G37" s="50">
        <f t="shared" si="1"/>
        <v>2.5777836330500792E-2</v>
      </c>
      <c r="N37" s="130"/>
      <c r="O37" s="130"/>
      <c r="P37" s="130"/>
      <c r="Q37" s="130"/>
      <c r="R37" s="42"/>
      <c r="S37" s="130"/>
      <c r="T37" s="42"/>
    </row>
    <row r="38" spans="2:20" x14ac:dyDescent="0.3">
      <c r="B38" t="s">
        <v>270</v>
      </c>
      <c r="C38" s="130">
        <v>803.8</v>
      </c>
      <c r="D38" s="50">
        <f t="shared" si="0"/>
        <v>-2.6057823551309811E-3</v>
      </c>
      <c r="F38" s="42">
        <v>25683.3</v>
      </c>
      <c r="G38" s="50">
        <f t="shared" si="1"/>
        <v>-4.3005563479903142E-4</v>
      </c>
      <c r="N38" s="130"/>
      <c r="O38" s="130"/>
      <c r="P38" s="130"/>
      <c r="Q38" s="130"/>
      <c r="R38" s="42"/>
      <c r="S38" s="130"/>
      <c r="T38" s="42"/>
    </row>
    <row r="39" spans="2:20" x14ac:dyDescent="0.3">
      <c r="B39" t="s">
        <v>271</v>
      </c>
      <c r="C39" s="130">
        <v>890.35</v>
      </c>
      <c r="D39" s="50">
        <f t="shared" si="0"/>
        <v>0.10767603881562593</v>
      </c>
      <c r="F39" s="42">
        <v>26328.55</v>
      </c>
      <c r="G39" s="50">
        <f t="shared" si="1"/>
        <v>2.5123329167201947E-2</v>
      </c>
      <c r="N39" s="130"/>
      <c r="O39" s="130"/>
      <c r="P39" s="130"/>
      <c r="Q39" s="130"/>
      <c r="R39" s="42"/>
      <c r="S39" s="130"/>
      <c r="T39" s="42"/>
    </row>
    <row r="40" spans="2:20" x14ac:dyDescent="0.3">
      <c r="B40" t="s">
        <v>272</v>
      </c>
      <c r="C40" s="130">
        <v>897.75</v>
      </c>
      <c r="D40" s="50">
        <f t="shared" si="0"/>
        <v>8.3113382377715261E-3</v>
      </c>
      <c r="F40" s="42">
        <v>26042.3</v>
      </c>
      <c r="G40" s="50">
        <f t="shared" si="1"/>
        <v>-1.0872228056615363E-2</v>
      </c>
      <c r="N40" s="130"/>
      <c r="O40" s="130"/>
      <c r="P40" s="130"/>
      <c r="Q40" s="130"/>
      <c r="R40" s="42"/>
      <c r="S40" s="130"/>
      <c r="T40" s="42"/>
    </row>
    <row r="41" spans="2:20" x14ac:dyDescent="0.3">
      <c r="B41" t="s">
        <v>273</v>
      </c>
      <c r="C41" s="130">
        <v>785</v>
      </c>
      <c r="D41" s="50">
        <f t="shared" si="0"/>
        <v>-0.12559175717070459</v>
      </c>
      <c r="F41" s="42">
        <v>25966.400000000001</v>
      </c>
      <c r="G41" s="50">
        <f t="shared" si="1"/>
        <v>-2.9144891196245526E-3</v>
      </c>
      <c r="N41" s="130"/>
      <c r="O41" s="130"/>
      <c r="P41" s="130"/>
      <c r="Q41" s="130"/>
      <c r="R41" s="42"/>
      <c r="S41" s="130"/>
      <c r="T41" s="42"/>
    </row>
    <row r="42" spans="2:20" x14ac:dyDescent="0.3">
      <c r="B42" t="s">
        <v>274</v>
      </c>
      <c r="C42" s="130">
        <v>778.45</v>
      </c>
      <c r="D42" s="50">
        <f t="shared" si="0"/>
        <v>-8.3439490445859077E-3</v>
      </c>
      <c r="F42" s="42">
        <v>26046.95</v>
      </c>
      <c r="G42" s="50">
        <f t="shared" si="1"/>
        <v>3.10208577238269E-3</v>
      </c>
      <c r="N42" s="130"/>
      <c r="O42" s="130"/>
      <c r="P42" s="130"/>
      <c r="Q42" s="130"/>
      <c r="R42" s="42"/>
      <c r="S42" s="130"/>
      <c r="T42" s="42"/>
    </row>
    <row r="43" spans="2:20" x14ac:dyDescent="0.3">
      <c r="B43" t="s">
        <v>275</v>
      </c>
      <c r="C43" s="130">
        <v>789.05</v>
      </c>
      <c r="D43" s="50">
        <f t="shared" si="0"/>
        <v>1.3616802620592061E-2</v>
      </c>
      <c r="F43" s="42">
        <v>26186.45</v>
      </c>
      <c r="G43" s="50">
        <f t="shared" si="1"/>
        <v>5.3557134328587885E-3</v>
      </c>
      <c r="N43" s="130"/>
      <c r="O43" s="130"/>
      <c r="P43" s="130"/>
      <c r="Q43" s="130"/>
      <c r="R43" s="42"/>
      <c r="S43" s="130"/>
      <c r="T43" s="42"/>
    </row>
    <row r="44" spans="2:20" x14ac:dyDescent="0.3">
      <c r="B44" t="s">
        <v>276</v>
      </c>
      <c r="C44" s="130">
        <v>826.7</v>
      </c>
      <c r="D44" s="50">
        <f t="shared" si="0"/>
        <v>4.7715607375958591E-2</v>
      </c>
      <c r="F44" s="42">
        <v>26202.95</v>
      </c>
      <c r="G44" s="50">
        <f t="shared" si="1"/>
        <v>6.3009686307236024E-4</v>
      </c>
      <c r="N44" s="130"/>
      <c r="O44" s="130"/>
      <c r="P44" s="130"/>
      <c r="Q44" s="130"/>
      <c r="R44" s="42"/>
      <c r="S44" s="130"/>
      <c r="T44" s="42"/>
    </row>
    <row r="45" spans="2:20" x14ac:dyDescent="0.3">
      <c r="B45" t="s">
        <v>277</v>
      </c>
      <c r="C45" s="130">
        <v>849.8</v>
      </c>
      <c r="D45" s="50">
        <f t="shared" si="0"/>
        <v>2.7942421676545148E-2</v>
      </c>
      <c r="F45" s="42">
        <v>26068.15</v>
      </c>
      <c r="G45" s="50">
        <f t="shared" si="1"/>
        <v>-5.144458925426254E-3</v>
      </c>
      <c r="N45" s="130"/>
      <c r="O45" s="130"/>
      <c r="P45" s="130"/>
      <c r="Q45" s="130"/>
      <c r="R45" s="42"/>
      <c r="S45" s="130"/>
      <c r="T45" s="42"/>
    </row>
    <row r="46" spans="2:20" x14ac:dyDescent="0.3">
      <c r="B46" t="s">
        <v>278</v>
      </c>
      <c r="C46" s="130">
        <v>866.45</v>
      </c>
      <c r="D46" s="50">
        <f t="shared" si="0"/>
        <v>1.9592845375382639E-2</v>
      </c>
      <c r="F46" s="42">
        <v>25910.05</v>
      </c>
      <c r="G46" s="50">
        <f t="shared" si="1"/>
        <v>-6.0648722674989664E-3</v>
      </c>
      <c r="N46" s="130"/>
      <c r="O46" s="130"/>
      <c r="P46" s="130"/>
      <c r="Q46" s="130"/>
      <c r="R46" s="42"/>
      <c r="S46" s="130"/>
      <c r="T46" s="42"/>
    </row>
    <row r="47" spans="2:20" x14ac:dyDescent="0.3">
      <c r="B47" t="s">
        <v>279</v>
      </c>
      <c r="C47" s="130">
        <v>843.3</v>
      </c>
      <c r="D47" s="50">
        <f t="shared" si="0"/>
        <v>-2.6718218016042572E-2</v>
      </c>
      <c r="F47" s="42">
        <v>25492.3</v>
      </c>
      <c r="G47" s="50">
        <f t="shared" si="1"/>
        <v>-1.6123087373432266E-2</v>
      </c>
      <c r="N47" s="130"/>
      <c r="O47" s="130"/>
      <c r="P47" s="130"/>
      <c r="Q47" s="130"/>
      <c r="R47" s="42"/>
      <c r="S47" s="130"/>
      <c r="T47" s="42"/>
    </row>
    <row r="48" spans="2:20" x14ac:dyDescent="0.3">
      <c r="B48" t="s">
        <v>280</v>
      </c>
      <c r="C48" s="130">
        <v>884.55</v>
      </c>
      <c r="D48" s="50">
        <f t="shared" si="0"/>
        <v>4.8914976876556437E-2</v>
      </c>
      <c r="F48" s="42">
        <v>25722.1</v>
      </c>
      <c r="G48" s="50">
        <f t="shared" si="1"/>
        <v>9.0144867273647122E-3</v>
      </c>
      <c r="N48" s="130"/>
      <c r="O48" s="130"/>
      <c r="P48" s="130"/>
      <c r="Q48" s="130"/>
      <c r="R48" s="42"/>
      <c r="S48" s="130"/>
      <c r="T48" s="42"/>
    </row>
    <row r="49" spans="2:20" x14ac:dyDescent="0.3">
      <c r="B49" t="s">
        <v>281</v>
      </c>
      <c r="C49" s="130">
        <v>874.7</v>
      </c>
      <c r="D49" s="50">
        <f t="shared" si="0"/>
        <v>-1.1135605675201998E-2</v>
      </c>
      <c r="F49" s="42">
        <v>25795.15</v>
      </c>
      <c r="G49" s="50">
        <f t="shared" si="1"/>
        <v>2.839970297915162E-3</v>
      </c>
      <c r="N49" s="130"/>
      <c r="O49" s="130"/>
      <c r="P49" s="130"/>
      <c r="Q49" s="130"/>
      <c r="R49" s="42"/>
      <c r="S49" s="130"/>
      <c r="T49" s="42"/>
    </row>
    <row r="50" spans="2:20" x14ac:dyDescent="0.3">
      <c r="B50" t="s">
        <v>282</v>
      </c>
      <c r="C50" s="130">
        <v>866.85</v>
      </c>
      <c r="D50" s="50">
        <f t="shared" si="0"/>
        <v>-8.9745055447582045E-3</v>
      </c>
      <c r="F50" s="42">
        <v>25709.85</v>
      </c>
      <c r="G50" s="50">
        <f t="shared" si="1"/>
        <v>-3.3068231818773608E-3</v>
      </c>
      <c r="N50" s="130"/>
      <c r="O50" s="130"/>
      <c r="P50" s="130"/>
      <c r="Q50" s="130"/>
      <c r="R50" s="42"/>
      <c r="S50" s="130"/>
      <c r="T50" s="42"/>
    </row>
    <row r="51" spans="2:20" x14ac:dyDescent="0.3">
      <c r="B51" t="s">
        <v>283</v>
      </c>
      <c r="C51" s="130">
        <v>900.15</v>
      </c>
      <c r="D51" s="50">
        <f t="shared" si="0"/>
        <v>3.8414950683509197E-2</v>
      </c>
      <c r="F51" s="42">
        <v>25285.35</v>
      </c>
      <c r="G51" s="50">
        <f t="shared" si="1"/>
        <v>-1.6511181512144146E-2</v>
      </c>
      <c r="N51" s="130"/>
      <c r="O51" s="130"/>
      <c r="P51" s="130"/>
      <c r="Q51" s="130"/>
      <c r="R51" s="42"/>
      <c r="S51" s="130"/>
      <c r="T51" s="42"/>
    </row>
    <row r="52" spans="2:20" x14ac:dyDescent="0.3">
      <c r="B52" t="s">
        <v>284</v>
      </c>
      <c r="C52" s="130">
        <v>887.55</v>
      </c>
      <c r="D52" s="50">
        <f t="shared" si="0"/>
        <v>-1.399766705549077E-2</v>
      </c>
      <c r="F52" s="42">
        <v>24894.25</v>
      </c>
      <c r="G52" s="50">
        <f t="shared" si="1"/>
        <v>-1.5467454474626607E-2</v>
      </c>
      <c r="N52" s="130"/>
      <c r="O52" s="130"/>
      <c r="P52" s="130"/>
      <c r="Q52" s="130"/>
      <c r="R52" s="42"/>
      <c r="S52" s="130"/>
      <c r="T52" s="42"/>
    </row>
    <row r="53" spans="2:20" x14ac:dyDescent="0.3">
      <c r="B53" t="s">
        <v>285</v>
      </c>
      <c r="C53" s="130">
        <v>879.25</v>
      </c>
      <c r="D53" s="50">
        <f t="shared" si="0"/>
        <v>-9.351585826150588E-3</v>
      </c>
      <c r="F53" s="130">
        <v>24654.7</v>
      </c>
      <c r="G53" s="50">
        <f t="shared" si="1"/>
        <v>-9.6227040380810758E-3</v>
      </c>
      <c r="N53" s="130"/>
      <c r="O53" s="130"/>
      <c r="P53" s="130"/>
      <c r="Q53" s="130"/>
      <c r="R53" s="42"/>
      <c r="S53" s="130"/>
      <c r="T53" s="42"/>
    </row>
    <row r="54" spans="2:20" x14ac:dyDescent="0.3">
      <c r="B54" t="s">
        <v>286</v>
      </c>
      <c r="C54" s="130">
        <v>955.35</v>
      </c>
      <c r="D54" s="50">
        <f t="shared" si="0"/>
        <v>8.6551037816320786E-2</v>
      </c>
      <c r="F54" s="42">
        <v>25327.05</v>
      </c>
      <c r="G54" s="50">
        <f t="shared" si="1"/>
        <v>2.7270662388915623E-2</v>
      </c>
      <c r="N54" s="130"/>
      <c r="O54" s="130"/>
      <c r="P54" s="130"/>
      <c r="Q54" s="130"/>
      <c r="R54" s="42"/>
      <c r="S54" s="130"/>
      <c r="T54" s="42"/>
    </row>
    <row r="55" spans="2:20" x14ac:dyDescent="0.3">
      <c r="B55" t="s">
        <v>287</v>
      </c>
      <c r="C55" s="130">
        <v>927.5</v>
      </c>
      <c r="D55" s="50">
        <f t="shared" si="0"/>
        <v>-2.9151619825194985E-2</v>
      </c>
      <c r="F55" s="42">
        <v>25114</v>
      </c>
      <c r="G55" s="50">
        <f t="shared" si="1"/>
        <v>-8.4119548072120187E-3</v>
      </c>
      <c r="N55" s="130"/>
      <c r="O55" s="130"/>
      <c r="P55" s="130"/>
      <c r="Q55" s="130"/>
      <c r="R55" s="42"/>
      <c r="S55" s="130"/>
      <c r="T55" s="42"/>
    </row>
    <row r="56" spans="2:20" x14ac:dyDescent="0.3">
      <c r="B56" t="s">
        <v>288</v>
      </c>
      <c r="C56" s="130">
        <v>838.95</v>
      </c>
      <c r="D56" s="50">
        <f t="shared" si="0"/>
        <v>-9.5471698113207548E-2</v>
      </c>
      <c r="F56" s="42">
        <v>24741</v>
      </c>
      <c r="G56" s="50">
        <f t="shared" si="1"/>
        <v>-1.4852273632236956E-2</v>
      </c>
      <c r="N56" s="130"/>
      <c r="O56" s="130"/>
      <c r="P56" s="130"/>
      <c r="Q56" s="130"/>
      <c r="R56" s="130"/>
      <c r="S56" s="130"/>
      <c r="T56" s="42"/>
    </row>
    <row r="57" spans="2:20" x14ac:dyDescent="0.3">
      <c r="B57" t="s">
        <v>289</v>
      </c>
      <c r="C57" s="130">
        <v>824.52</v>
      </c>
      <c r="D57" s="50">
        <f t="shared" si="0"/>
        <v>-1.7200071517968984E-2</v>
      </c>
      <c r="F57" s="42">
        <v>24426.85</v>
      </c>
      <c r="G57" s="50">
        <f t="shared" si="1"/>
        <v>-1.2697546582595698E-2</v>
      </c>
      <c r="N57" s="130"/>
      <c r="O57" s="130"/>
      <c r="P57" s="130"/>
      <c r="Q57" s="130"/>
      <c r="R57" s="42"/>
      <c r="S57" s="130"/>
      <c r="T57" s="42"/>
    </row>
    <row r="58" spans="2:20" x14ac:dyDescent="0.3">
      <c r="B58" t="s">
        <v>290</v>
      </c>
      <c r="C58" s="130">
        <v>857.83</v>
      </c>
      <c r="D58" s="50">
        <f t="shared" si="0"/>
        <v>4.0399262601271024E-2</v>
      </c>
      <c r="F58" s="42">
        <v>24870.1</v>
      </c>
      <c r="G58" s="50">
        <f t="shared" si="1"/>
        <v>1.8146015552557904E-2</v>
      </c>
      <c r="N58" s="130"/>
      <c r="O58" s="130"/>
      <c r="P58" s="130"/>
      <c r="Q58" s="130"/>
      <c r="R58" s="42"/>
      <c r="S58" s="130"/>
      <c r="T58" s="42"/>
    </row>
    <row r="59" spans="2:20" x14ac:dyDescent="0.3">
      <c r="B59" t="s">
        <v>291</v>
      </c>
      <c r="C59" s="130">
        <v>809.39</v>
      </c>
      <c r="D59" s="50">
        <f t="shared" si="0"/>
        <v>-5.6468064768077642E-2</v>
      </c>
      <c r="F59" s="42">
        <v>24631.3</v>
      </c>
      <c r="G59" s="50">
        <f t="shared" si="1"/>
        <v>-9.6018914278591661E-3</v>
      </c>
      <c r="N59" s="130"/>
      <c r="O59" s="130"/>
      <c r="P59" s="130"/>
      <c r="Q59" s="130"/>
      <c r="R59" s="42"/>
      <c r="S59" s="130"/>
      <c r="T59" s="42"/>
    </row>
    <row r="60" spans="2:20" x14ac:dyDescent="0.3">
      <c r="B60" t="s">
        <v>292</v>
      </c>
      <c r="C60" s="130">
        <v>801.99</v>
      </c>
      <c r="D60" s="50">
        <f t="shared" si="0"/>
        <v>-9.1426877030850173E-3</v>
      </c>
      <c r="F60" s="42">
        <v>24363.3</v>
      </c>
      <c r="G60" s="50">
        <f t="shared" si="1"/>
        <v>-1.0880465099284198E-2</v>
      </c>
      <c r="N60" s="130"/>
      <c r="O60" s="130"/>
      <c r="P60" s="130"/>
      <c r="Q60" s="130"/>
      <c r="R60" s="42"/>
      <c r="S60" s="130"/>
      <c r="T60" s="42"/>
    </row>
    <row r="61" spans="2:20" x14ac:dyDescent="0.3">
      <c r="B61" t="s">
        <v>293</v>
      </c>
      <c r="C61" s="130">
        <v>835.2</v>
      </c>
      <c r="D61" s="50">
        <f t="shared" si="0"/>
        <v>4.1409493883963755E-2</v>
      </c>
      <c r="F61" s="42">
        <v>24565.35</v>
      </c>
      <c r="G61" s="50">
        <f t="shared" si="1"/>
        <v>8.2932115107559046E-3</v>
      </c>
      <c r="N61" s="130"/>
      <c r="O61" s="130"/>
      <c r="P61" s="130"/>
      <c r="Q61" s="130"/>
      <c r="R61" s="42"/>
      <c r="S61" s="130"/>
      <c r="T61" s="42"/>
    </row>
    <row r="62" spans="2:20" x14ac:dyDescent="0.3">
      <c r="B62" t="s">
        <v>294</v>
      </c>
      <c r="C62" s="130">
        <v>873.66</v>
      </c>
      <c r="D62" s="50">
        <f t="shared" si="0"/>
        <v>4.604885057471253E-2</v>
      </c>
      <c r="F62" s="42">
        <v>24837</v>
      </c>
      <c r="G62" s="50">
        <f t="shared" si="1"/>
        <v>1.1058258889045103E-2</v>
      </c>
      <c r="N62" s="130"/>
      <c r="O62" s="130"/>
      <c r="P62" s="130"/>
      <c r="Q62" s="130"/>
      <c r="R62" s="42"/>
      <c r="S62" s="130"/>
      <c r="T62" s="42"/>
    </row>
    <row r="63" spans="2:20" x14ac:dyDescent="0.3">
      <c r="B63" t="s">
        <v>295</v>
      </c>
      <c r="C63" s="130">
        <v>924.95</v>
      </c>
      <c r="D63" s="50">
        <f t="shared" si="0"/>
        <v>5.8707048508573223E-2</v>
      </c>
      <c r="F63" s="42">
        <v>24968.400000000001</v>
      </c>
      <c r="G63" s="50">
        <f t="shared" si="1"/>
        <v>5.2904940210170004E-3</v>
      </c>
      <c r="N63" s="130"/>
      <c r="O63" s="130"/>
      <c r="P63" s="130"/>
      <c r="Q63" s="130"/>
      <c r="R63" s="42"/>
      <c r="S63" s="130"/>
      <c r="T63" s="42"/>
    </row>
    <row r="64" spans="2:20" x14ac:dyDescent="0.3">
      <c r="B64" t="s">
        <v>296</v>
      </c>
      <c r="C64" s="130">
        <v>929.54</v>
      </c>
      <c r="D64" s="50">
        <f t="shared" si="0"/>
        <v>4.9624304016433474E-3</v>
      </c>
      <c r="F64" s="42">
        <v>25149.85</v>
      </c>
      <c r="G64" s="50">
        <f t="shared" si="1"/>
        <v>7.267185722753533E-3</v>
      </c>
      <c r="N64" s="130"/>
      <c r="O64" s="130"/>
      <c r="P64" s="130"/>
      <c r="Q64" s="130"/>
      <c r="R64" s="42"/>
      <c r="S64" s="130"/>
      <c r="T64" s="42"/>
    </row>
    <row r="65" spans="2:20" x14ac:dyDescent="0.3">
      <c r="B65" t="s">
        <v>297</v>
      </c>
      <c r="C65" s="130">
        <v>940.08</v>
      </c>
      <c r="D65" s="50">
        <f t="shared" si="0"/>
        <v>1.1338941842201633E-2</v>
      </c>
      <c r="F65" s="42">
        <v>25461</v>
      </c>
      <c r="G65" s="50">
        <f t="shared" si="1"/>
        <v>1.2371843172026997E-2</v>
      </c>
      <c r="N65" s="130"/>
      <c r="O65" s="130"/>
      <c r="P65" s="130"/>
      <c r="Q65" s="130"/>
      <c r="R65" s="42"/>
      <c r="S65" s="130"/>
      <c r="T65" s="42"/>
    </row>
    <row r="66" spans="2:20" x14ac:dyDescent="0.3">
      <c r="B66" t="s">
        <v>298</v>
      </c>
      <c r="C66" s="130">
        <v>935.24</v>
      </c>
      <c r="D66" s="50">
        <f t="shared" si="0"/>
        <v>-5.1484980001702541E-3</v>
      </c>
      <c r="F66" s="42">
        <v>25637.8</v>
      </c>
      <c r="G66" s="50">
        <f t="shared" si="1"/>
        <v>6.9439534975059836E-3</v>
      </c>
      <c r="N66" s="130"/>
      <c r="O66" s="130"/>
      <c r="P66" s="130"/>
      <c r="Q66" s="130"/>
      <c r="R66" s="42"/>
      <c r="S66" s="130"/>
      <c r="T66" s="42"/>
    </row>
    <row r="67" spans="2:20" x14ac:dyDescent="0.3">
      <c r="B67" t="s">
        <v>299</v>
      </c>
      <c r="C67" s="130">
        <v>864.92</v>
      </c>
      <c r="D67" s="50">
        <f t="shared" si="0"/>
        <v>-7.5189256233694102E-2</v>
      </c>
      <c r="F67" s="42">
        <v>25112.400000000001</v>
      </c>
      <c r="G67" s="50">
        <f t="shared" si="1"/>
        <v>-2.0493178041797622E-2</v>
      </c>
      <c r="N67" s="130"/>
      <c r="O67" s="130"/>
      <c r="P67" s="130"/>
      <c r="Q67" s="130"/>
      <c r="R67" s="42"/>
      <c r="S67" s="130"/>
      <c r="T67" s="42"/>
    </row>
    <row r="68" spans="2:20" x14ac:dyDescent="0.3">
      <c r="B68" t="s">
        <v>300</v>
      </c>
      <c r="C68" s="130">
        <v>897.78</v>
      </c>
      <c r="D68" s="50">
        <f t="shared" si="0"/>
        <v>3.7991953012995516E-2</v>
      </c>
      <c r="F68" s="42">
        <v>24718.6</v>
      </c>
      <c r="G68" s="50">
        <f t="shared" si="1"/>
        <v>-1.568149599401103E-2</v>
      </c>
      <c r="N68" s="130"/>
      <c r="O68" s="130"/>
      <c r="P68" s="130"/>
      <c r="Q68" s="130"/>
      <c r="R68" s="42"/>
      <c r="S68" s="130"/>
      <c r="T68" s="42"/>
    </row>
    <row r="69" spans="2:20" x14ac:dyDescent="0.3">
      <c r="B69" t="s">
        <v>301</v>
      </c>
      <c r="C69" s="130">
        <v>939.78</v>
      </c>
      <c r="D69" s="50">
        <f t="shared" si="0"/>
        <v>4.6782062420637649E-2</v>
      </c>
      <c r="F69" s="42">
        <v>25003.05</v>
      </c>
      <c r="G69" s="50">
        <f t="shared" si="1"/>
        <v>1.1507528743537332E-2</v>
      </c>
      <c r="N69" s="130"/>
      <c r="O69" s="130"/>
      <c r="P69" s="130"/>
      <c r="Q69" s="130"/>
      <c r="R69" s="42"/>
      <c r="S69" s="130"/>
      <c r="T69" s="42"/>
    </row>
    <row r="70" spans="2:20" x14ac:dyDescent="0.3">
      <c r="B70" t="s">
        <v>302</v>
      </c>
      <c r="C70" s="130">
        <v>890.54</v>
      </c>
      <c r="D70" s="50">
        <f t="shared" si="0"/>
        <v>-5.2395241439485818E-2</v>
      </c>
      <c r="F70" s="42">
        <v>24750.7</v>
      </c>
      <c r="G70" s="50">
        <f t="shared" si="1"/>
        <v>-1.0092768682220754E-2</v>
      </c>
      <c r="N70" s="130"/>
      <c r="O70" s="130"/>
      <c r="P70" s="130"/>
      <c r="Q70" s="130"/>
      <c r="R70" s="42"/>
      <c r="S70" s="130"/>
      <c r="T70" s="42"/>
    </row>
    <row r="71" spans="2:20" x14ac:dyDescent="0.3">
      <c r="B71" t="s">
        <v>303</v>
      </c>
      <c r="C71" s="130">
        <v>898.78</v>
      </c>
      <c r="D71" s="50">
        <f t="shared" si="0"/>
        <v>9.2528129000382098E-3</v>
      </c>
      <c r="F71" s="42">
        <v>24853.15</v>
      </c>
      <c r="G71" s="50">
        <f t="shared" si="1"/>
        <v>4.139276868937003E-3</v>
      </c>
      <c r="N71" s="130"/>
      <c r="O71" s="130"/>
      <c r="P71" s="130"/>
      <c r="Q71" s="130"/>
      <c r="R71" s="42"/>
      <c r="S71" s="130"/>
      <c r="T71" s="42"/>
    </row>
    <row r="72" spans="2:20" x14ac:dyDescent="0.3">
      <c r="B72" t="s">
        <v>304</v>
      </c>
      <c r="C72" s="130">
        <v>911.76</v>
      </c>
      <c r="D72" s="50">
        <f t="shared" si="0"/>
        <v>1.4441798882930179E-2</v>
      </c>
      <c r="F72" s="130">
        <v>25019.8</v>
      </c>
      <c r="G72" s="50">
        <f t="shared" si="1"/>
        <v>6.705387445856914E-3</v>
      </c>
      <c r="N72" s="130"/>
      <c r="O72" s="130"/>
      <c r="P72" s="130"/>
      <c r="Q72" s="130"/>
      <c r="R72" s="42"/>
      <c r="S72" s="130"/>
      <c r="T72" s="42"/>
    </row>
    <row r="73" spans="2:20" x14ac:dyDescent="0.3">
      <c r="B73" t="s">
        <v>305</v>
      </c>
      <c r="C73" s="130">
        <v>686.43</v>
      </c>
      <c r="D73" s="50">
        <f t="shared" ref="D73:D112" si="2">C73/C72-1</f>
        <v>-0.24713740458015276</v>
      </c>
      <c r="F73" s="42">
        <v>24008</v>
      </c>
      <c r="G73" s="50">
        <f t="shared" ref="G73:G112" si="3">F73/F72-1</f>
        <v>-4.0439971542538311E-2</v>
      </c>
      <c r="N73" s="130"/>
      <c r="O73" s="130"/>
      <c r="P73" s="130"/>
      <c r="Q73" s="130"/>
      <c r="R73" s="42"/>
      <c r="S73" s="130"/>
      <c r="T73" s="42"/>
    </row>
    <row r="74" spans="2:20" x14ac:dyDescent="0.3">
      <c r="B74" t="s">
        <v>306</v>
      </c>
      <c r="C74" s="130">
        <v>740.97</v>
      </c>
      <c r="D74" s="50">
        <f t="shared" si="2"/>
        <v>7.9454569293300192E-2</v>
      </c>
      <c r="F74" s="42">
        <v>24346.7</v>
      </c>
      <c r="G74" s="50">
        <f t="shared" si="3"/>
        <v>1.4107797400866318E-2</v>
      </c>
      <c r="N74" s="130"/>
      <c r="O74" s="130"/>
      <c r="P74" s="130"/>
      <c r="Q74" s="130"/>
      <c r="R74" s="42"/>
      <c r="S74" s="130"/>
      <c r="T74" s="42"/>
    </row>
    <row r="75" spans="2:20" x14ac:dyDescent="0.3">
      <c r="B75" t="s">
        <v>307</v>
      </c>
      <c r="C75" s="130">
        <v>777.62</v>
      </c>
      <c r="D75" s="50">
        <f t="shared" si="2"/>
        <v>4.9462191451745685E-2</v>
      </c>
      <c r="F75" s="42">
        <v>24039.35</v>
      </c>
      <c r="G75" s="50">
        <f t="shared" si="3"/>
        <v>-1.2623887426222113E-2</v>
      </c>
      <c r="N75" s="130"/>
      <c r="O75" s="130"/>
      <c r="P75" s="130"/>
      <c r="Q75" s="130"/>
      <c r="R75" s="130"/>
      <c r="S75" s="130"/>
      <c r="T75" s="42"/>
    </row>
    <row r="76" spans="2:20" x14ac:dyDescent="0.3">
      <c r="B76" t="s">
        <v>373</v>
      </c>
      <c r="C76" s="130">
        <v>786.81</v>
      </c>
      <c r="D76" s="50">
        <f t="shared" si="2"/>
        <v>1.181811167408231E-2</v>
      </c>
      <c r="F76" s="42">
        <v>23851.65</v>
      </c>
      <c r="G76" s="50">
        <f t="shared" si="3"/>
        <v>-7.8080314151587338E-3</v>
      </c>
      <c r="N76" s="130"/>
      <c r="O76" s="130"/>
      <c r="P76" s="130"/>
      <c r="Q76" s="130"/>
      <c r="R76" s="42"/>
      <c r="S76" s="130"/>
      <c r="T76" s="42"/>
    </row>
    <row r="77" spans="2:20" x14ac:dyDescent="0.3">
      <c r="B77" t="s">
        <v>308</v>
      </c>
      <c r="C77" s="130">
        <v>746.06</v>
      </c>
      <c r="D77" s="50">
        <f t="shared" si="2"/>
        <v>-5.1791410886999456E-2</v>
      </c>
      <c r="F77" s="42">
        <v>22828.55</v>
      </c>
      <c r="G77" s="50">
        <f t="shared" si="3"/>
        <v>-4.2894307102443685E-2</v>
      </c>
      <c r="N77" s="130"/>
      <c r="O77" s="130"/>
      <c r="P77" s="130"/>
      <c r="Q77" s="130"/>
      <c r="R77" s="42"/>
      <c r="S77" s="130"/>
      <c r="T77" s="42"/>
    </row>
    <row r="78" spans="2:20" x14ac:dyDescent="0.3">
      <c r="B78" t="s">
        <v>374</v>
      </c>
      <c r="C78" s="130">
        <v>789.46</v>
      </c>
      <c r="D78" s="50">
        <f t="shared" si="2"/>
        <v>5.8172264965284493E-2</v>
      </c>
      <c r="F78" s="42">
        <v>22904.45</v>
      </c>
      <c r="G78" s="50">
        <f t="shared" si="3"/>
        <v>3.3247840971064591E-3</v>
      </c>
      <c r="N78" s="130"/>
      <c r="O78" s="130"/>
      <c r="P78" s="130"/>
      <c r="Q78" s="130"/>
      <c r="R78" s="42"/>
      <c r="S78" s="130"/>
      <c r="T78" s="42"/>
    </row>
    <row r="79" spans="2:20" x14ac:dyDescent="0.3">
      <c r="B79" t="s">
        <v>309</v>
      </c>
      <c r="C79" s="130">
        <v>795.3</v>
      </c>
      <c r="D79" s="50">
        <f t="shared" si="2"/>
        <v>7.3974615560001844E-3</v>
      </c>
      <c r="F79" s="42">
        <v>23519.35</v>
      </c>
      <c r="G79" s="50">
        <f t="shared" si="3"/>
        <v>2.6846311524616251E-2</v>
      </c>
      <c r="N79" s="130"/>
      <c r="O79" s="130"/>
      <c r="P79" s="130"/>
      <c r="Q79" s="130"/>
      <c r="R79" s="42"/>
      <c r="S79" s="130"/>
      <c r="T79" s="42"/>
    </row>
    <row r="80" spans="2:20" x14ac:dyDescent="0.3">
      <c r="B80" t="s">
        <v>310</v>
      </c>
      <c r="C80" s="130">
        <v>783.57</v>
      </c>
      <c r="D80" s="50">
        <f t="shared" si="2"/>
        <v>-1.4749151263673932E-2</v>
      </c>
      <c r="F80" s="42">
        <v>23350.400000000001</v>
      </c>
      <c r="G80" s="50">
        <f t="shared" si="3"/>
        <v>-7.1834468214468927E-3</v>
      </c>
      <c r="N80" s="130"/>
      <c r="O80" s="130"/>
      <c r="P80" s="130"/>
      <c r="Q80" s="130"/>
      <c r="R80" s="42"/>
      <c r="S80" s="130"/>
      <c r="T80" s="42"/>
    </row>
    <row r="81" spans="2:20" x14ac:dyDescent="0.3">
      <c r="B81" t="s">
        <v>311</v>
      </c>
      <c r="C81" s="130">
        <v>693.47</v>
      </c>
      <c r="D81" s="50">
        <f t="shared" si="2"/>
        <v>-0.11498653598274566</v>
      </c>
      <c r="F81" s="42">
        <v>22397.200000000001</v>
      </c>
      <c r="G81" s="50">
        <f t="shared" si="3"/>
        <v>-4.0821570508428162E-2</v>
      </c>
      <c r="N81" s="130"/>
      <c r="O81" s="130"/>
      <c r="P81" s="130"/>
      <c r="Q81" s="130"/>
      <c r="R81" s="42"/>
      <c r="S81" s="130"/>
      <c r="T81" s="42"/>
    </row>
    <row r="82" spans="2:20" x14ac:dyDescent="0.3">
      <c r="B82" t="s">
        <v>312</v>
      </c>
      <c r="C82" s="130">
        <v>758.1</v>
      </c>
      <c r="D82" s="50">
        <f t="shared" si="2"/>
        <v>9.3197975399079924E-2</v>
      </c>
      <c r="F82" s="42">
        <v>22552.5</v>
      </c>
      <c r="G82" s="50">
        <f t="shared" si="3"/>
        <v>6.9339024520922443E-3</v>
      </c>
      <c r="N82" s="130"/>
      <c r="O82" s="130"/>
      <c r="P82" s="130"/>
      <c r="Q82" s="130"/>
      <c r="R82" s="42"/>
      <c r="S82" s="130"/>
      <c r="T82" s="42"/>
    </row>
    <row r="83" spans="2:20" x14ac:dyDescent="0.3">
      <c r="B83" t="s">
        <v>313</v>
      </c>
      <c r="C83" s="130">
        <v>696.17</v>
      </c>
      <c r="D83" s="50">
        <f t="shared" si="2"/>
        <v>-8.1691069779712522E-2</v>
      </c>
      <c r="F83" s="42">
        <v>22124.7</v>
      </c>
      <c r="G83" s="50">
        <f t="shared" si="3"/>
        <v>-1.8969072164948475E-2</v>
      </c>
      <c r="N83" s="130"/>
      <c r="O83" s="130"/>
      <c r="P83" s="130"/>
      <c r="Q83" s="130"/>
      <c r="R83" s="42"/>
      <c r="S83" s="130"/>
      <c r="T83" s="42"/>
    </row>
    <row r="84" spans="2:20" x14ac:dyDescent="0.3">
      <c r="B84" t="s">
        <v>314</v>
      </c>
      <c r="C84" s="130">
        <v>782.17</v>
      </c>
      <c r="D84" s="50">
        <f t="shared" si="2"/>
        <v>0.12353304508956153</v>
      </c>
      <c r="F84" s="42">
        <v>22795.9</v>
      </c>
      <c r="G84" s="50">
        <f t="shared" si="3"/>
        <v>3.0337134514818231E-2</v>
      </c>
      <c r="N84" s="130"/>
      <c r="O84" s="130"/>
      <c r="P84" s="130"/>
      <c r="Q84" s="130"/>
      <c r="R84" s="42"/>
      <c r="S84" s="130"/>
      <c r="T84" s="42"/>
    </row>
    <row r="85" spans="2:20" x14ac:dyDescent="0.3">
      <c r="B85" t="s">
        <v>315</v>
      </c>
      <c r="C85" s="130">
        <v>803.69</v>
      </c>
      <c r="D85" s="50">
        <f t="shared" si="2"/>
        <v>2.751320045514416E-2</v>
      </c>
      <c r="F85" s="42">
        <v>22929.25</v>
      </c>
      <c r="G85" s="50">
        <f t="shared" si="3"/>
        <v>5.8497361367613188E-3</v>
      </c>
      <c r="N85" s="130"/>
      <c r="O85" s="130"/>
      <c r="P85" s="130"/>
      <c r="Q85" s="130"/>
      <c r="R85" s="42"/>
      <c r="S85" s="130"/>
      <c r="T85" s="42"/>
    </row>
    <row r="86" spans="2:20" x14ac:dyDescent="0.3">
      <c r="B86" t="s">
        <v>316</v>
      </c>
      <c r="C86" s="130">
        <v>882</v>
      </c>
      <c r="D86" s="50">
        <f t="shared" si="2"/>
        <v>9.7438066916348376E-2</v>
      </c>
      <c r="F86" s="42">
        <v>23559.95</v>
      </c>
      <c r="G86" s="50">
        <f t="shared" si="3"/>
        <v>2.7506351058146361E-2</v>
      </c>
      <c r="N86" s="130"/>
      <c r="O86" s="130"/>
      <c r="P86" s="130"/>
      <c r="Q86" s="130"/>
      <c r="R86" s="42"/>
      <c r="S86" s="130"/>
      <c r="T86" s="42"/>
    </row>
    <row r="87" spans="2:20" x14ac:dyDescent="0.3">
      <c r="B87" t="s">
        <v>317</v>
      </c>
      <c r="C87" s="130">
        <v>954.86</v>
      </c>
      <c r="D87" s="50">
        <f t="shared" si="2"/>
        <v>8.260770975056686E-2</v>
      </c>
      <c r="F87" s="42">
        <v>23482.15</v>
      </c>
      <c r="G87" s="50">
        <f t="shared" si="3"/>
        <v>-3.3022141388245885E-3</v>
      </c>
      <c r="N87" s="130"/>
      <c r="O87" s="130"/>
      <c r="P87" s="130"/>
      <c r="Q87" s="130"/>
      <c r="R87" s="42"/>
      <c r="S87" s="130"/>
      <c r="T87" s="42"/>
    </row>
    <row r="88" spans="2:20" x14ac:dyDescent="0.3">
      <c r="B88" t="s">
        <v>318</v>
      </c>
      <c r="C88" s="130">
        <v>967.3</v>
      </c>
      <c r="D88" s="50">
        <f t="shared" si="2"/>
        <v>1.3028087887229534E-2</v>
      </c>
      <c r="F88" s="42">
        <v>23092.2</v>
      </c>
      <c r="G88" s="50">
        <f t="shared" si="3"/>
        <v>-1.6606230690120016E-2</v>
      </c>
      <c r="N88" s="130"/>
      <c r="O88" s="130"/>
      <c r="P88" s="130"/>
      <c r="Q88" s="130"/>
      <c r="R88" s="42"/>
      <c r="S88" s="130"/>
      <c r="T88" s="42"/>
    </row>
    <row r="89" spans="2:20" x14ac:dyDescent="0.3">
      <c r="B89" t="s">
        <v>319</v>
      </c>
      <c r="C89" s="130">
        <v>1080.9100000000001</v>
      </c>
      <c r="D89" s="50">
        <f t="shared" si="2"/>
        <v>0.11745063579034443</v>
      </c>
      <c r="F89" s="42">
        <v>23203.200000000001</v>
      </c>
      <c r="G89" s="50">
        <f t="shared" si="3"/>
        <v>4.8068178865590117E-3</v>
      </c>
      <c r="M89" s="130"/>
      <c r="N89" s="130"/>
      <c r="O89" s="130"/>
      <c r="P89" s="130"/>
      <c r="Q89" s="130"/>
      <c r="R89" s="42"/>
      <c r="S89" s="130"/>
      <c r="T89" s="42"/>
    </row>
    <row r="90" spans="2:20" x14ac:dyDescent="0.3">
      <c r="B90" t="s">
        <v>320</v>
      </c>
      <c r="C90" s="130">
        <v>1038.4100000000001</v>
      </c>
      <c r="D90" s="50">
        <f t="shared" si="2"/>
        <v>-3.9318722187786204E-2</v>
      </c>
      <c r="F90" s="42">
        <v>23431.5</v>
      </c>
      <c r="G90" s="50">
        <f t="shared" si="3"/>
        <v>9.8391601158460684E-3</v>
      </c>
      <c r="L90" s="130"/>
      <c r="M90" s="130"/>
      <c r="N90" s="130"/>
      <c r="O90" s="130"/>
      <c r="P90" s="130"/>
      <c r="Q90" s="130"/>
      <c r="R90" s="42"/>
      <c r="S90" s="130"/>
      <c r="T90" s="42"/>
    </row>
    <row r="91" spans="2:20" x14ac:dyDescent="0.3">
      <c r="B91" t="s">
        <v>321</v>
      </c>
      <c r="C91" s="130">
        <v>1116.3699999999999</v>
      </c>
      <c r="D91" s="50">
        <f t="shared" si="2"/>
        <v>7.5076318602478542E-2</v>
      </c>
      <c r="F91" s="42">
        <v>24004.75</v>
      </c>
      <c r="G91" s="50">
        <f t="shared" si="3"/>
        <v>2.4464929688666981E-2</v>
      </c>
      <c r="L91" s="130"/>
      <c r="M91" s="130"/>
      <c r="N91" s="130"/>
      <c r="O91" s="130"/>
      <c r="P91" s="130"/>
      <c r="Q91" s="130"/>
      <c r="R91" s="42"/>
      <c r="S91" s="130"/>
      <c r="T91" s="42"/>
    </row>
    <row r="92" spans="2:20" x14ac:dyDescent="0.3">
      <c r="B92" t="s">
        <v>322</v>
      </c>
      <c r="C92" s="130">
        <v>1146.98</v>
      </c>
      <c r="D92" s="50">
        <f t="shared" si="2"/>
        <v>2.7419224808979292E-2</v>
      </c>
      <c r="F92" s="42">
        <v>23813.4</v>
      </c>
      <c r="G92" s="50">
        <f t="shared" si="3"/>
        <v>-7.9713390058216982E-3</v>
      </c>
      <c r="L92" s="130"/>
      <c r="M92" s="130"/>
      <c r="N92" s="130"/>
      <c r="O92" s="130"/>
      <c r="P92" s="130"/>
      <c r="Q92" s="130"/>
      <c r="R92" s="42"/>
      <c r="S92" s="130"/>
      <c r="T92" s="42"/>
    </row>
    <row r="93" spans="2:20" x14ac:dyDescent="0.3">
      <c r="B93" t="s">
        <v>323</v>
      </c>
      <c r="C93" s="130">
        <v>1308.99</v>
      </c>
      <c r="D93" s="50">
        <f t="shared" si="2"/>
        <v>0.14124919353432497</v>
      </c>
      <c r="F93" s="42">
        <v>23587.5</v>
      </c>
      <c r="G93" s="50">
        <f t="shared" si="3"/>
        <v>-9.4862556375822082E-3</v>
      </c>
      <c r="L93" s="130"/>
      <c r="M93" s="130"/>
      <c r="N93" s="130"/>
      <c r="O93" s="130"/>
      <c r="P93" s="130"/>
      <c r="Q93" s="130"/>
      <c r="R93" s="42"/>
      <c r="S93" s="130"/>
      <c r="T93" s="42"/>
    </row>
    <row r="94" spans="2:20" x14ac:dyDescent="0.3">
      <c r="B94" t="s">
        <v>324</v>
      </c>
      <c r="C94" s="130">
        <v>1305.99</v>
      </c>
      <c r="D94" s="50">
        <f t="shared" si="2"/>
        <v>-2.291843329589982E-3</v>
      </c>
      <c r="F94" s="42">
        <v>24768.3</v>
      </c>
      <c r="G94" s="50">
        <f t="shared" si="3"/>
        <v>5.0060413354531041E-2</v>
      </c>
      <c r="L94" s="130"/>
      <c r="M94" s="130"/>
      <c r="N94" s="130"/>
      <c r="O94" s="130"/>
      <c r="P94" s="130"/>
      <c r="Q94" s="130"/>
      <c r="R94" s="42"/>
      <c r="S94" s="130"/>
      <c r="T94" s="42"/>
    </row>
    <row r="95" spans="2:20" x14ac:dyDescent="0.3">
      <c r="B95" t="s">
        <v>325</v>
      </c>
      <c r="C95" s="130">
        <v>1188.58</v>
      </c>
      <c r="D95" s="50">
        <f t="shared" si="2"/>
        <v>-8.9901147788267965E-2</v>
      </c>
      <c r="F95" s="42">
        <v>24677.8</v>
      </c>
      <c r="G95" s="50">
        <f t="shared" si="3"/>
        <v>-3.653864011660013E-3</v>
      </c>
      <c r="L95" s="130"/>
      <c r="M95" s="130"/>
      <c r="N95" s="130"/>
      <c r="O95" s="130"/>
      <c r="P95" s="130"/>
      <c r="Q95" s="130"/>
      <c r="R95" s="42"/>
      <c r="S95" s="130"/>
      <c r="T95" s="42"/>
    </row>
    <row r="96" spans="2:20" x14ac:dyDescent="0.3">
      <c r="B96" t="s">
        <v>326</v>
      </c>
      <c r="C96" s="130">
        <v>1204.06</v>
      </c>
      <c r="D96" s="50">
        <f t="shared" si="2"/>
        <v>1.3023944538861576E-2</v>
      </c>
      <c r="F96" s="42">
        <v>24131.1</v>
      </c>
      <c r="G96" s="50">
        <f t="shared" si="3"/>
        <v>-2.2153514494809179E-2</v>
      </c>
      <c r="L96" s="130"/>
      <c r="M96" s="130"/>
      <c r="N96" s="130"/>
      <c r="O96" s="130"/>
      <c r="P96" s="130"/>
      <c r="Q96" s="130"/>
      <c r="R96" s="42"/>
      <c r="S96" s="130"/>
      <c r="T96" s="42"/>
    </row>
    <row r="97" spans="2:20" x14ac:dyDescent="0.3">
      <c r="B97" t="s">
        <v>327</v>
      </c>
      <c r="C97" s="130">
        <v>1094</v>
      </c>
      <c r="D97" s="50">
        <f t="shared" si="2"/>
        <v>-9.140740494659727E-2</v>
      </c>
      <c r="F97" s="42">
        <v>23907.25</v>
      </c>
      <c r="G97" s="50">
        <f t="shared" si="3"/>
        <v>-9.2764109385812255E-3</v>
      </c>
      <c r="L97" s="130"/>
      <c r="M97" s="130"/>
      <c r="N97" s="130"/>
      <c r="O97" s="130"/>
      <c r="P97" s="130"/>
      <c r="Q97" s="130"/>
      <c r="R97" s="42"/>
      <c r="S97" s="130"/>
      <c r="T97" s="42"/>
    </row>
    <row r="98" spans="2:20" x14ac:dyDescent="0.3">
      <c r="B98" t="s">
        <v>328</v>
      </c>
      <c r="C98" s="130">
        <v>1109.08</v>
      </c>
      <c r="D98" s="50">
        <f t="shared" si="2"/>
        <v>1.3784277879341778E-2</v>
      </c>
      <c r="F98" s="42">
        <v>23532.7</v>
      </c>
      <c r="G98" s="50">
        <f t="shared" si="3"/>
        <v>-1.5666795637306663E-2</v>
      </c>
      <c r="L98" s="130"/>
      <c r="M98" s="130"/>
      <c r="N98" s="130"/>
      <c r="O98" s="130"/>
      <c r="P98" s="130"/>
      <c r="Q98" s="130"/>
      <c r="R98" s="42"/>
      <c r="S98" s="130"/>
      <c r="T98" s="42"/>
    </row>
    <row r="99" spans="2:20" x14ac:dyDescent="0.3">
      <c r="B99" t="s">
        <v>329</v>
      </c>
      <c r="C99" s="130">
        <v>1149.23</v>
      </c>
      <c r="D99" s="50">
        <f t="shared" si="2"/>
        <v>3.6201175749269732E-2</v>
      </c>
      <c r="F99" s="42">
        <v>24148.2</v>
      </c>
      <c r="G99" s="50">
        <f t="shared" si="3"/>
        <v>2.6155094825498049E-2</v>
      </c>
      <c r="L99" s="130"/>
      <c r="M99" s="130"/>
      <c r="N99" s="130"/>
      <c r="O99" s="130"/>
      <c r="P99" s="130"/>
      <c r="Q99" s="130"/>
      <c r="R99" s="42"/>
      <c r="S99" s="130"/>
      <c r="T99" s="42"/>
    </row>
    <row r="100" spans="2:20" x14ac:dyDescent="0.3">
      <c r="B100" t="s">
        <v>330</v>
      </c>
      <c r="C100" s="130">
        <v>1229.33</v>
      </c>
      <c r="D100" s="50">
        <f t="shared" si="2"/>
        <v>6.9698841833227387E-2</v>
      </c>
      <c r="F100" s="42">
        <v>24304.35</v>
      </c>
      <c r="G100" s="50">
        <f t="shared" si="3"/>
        <v>6.4663204710908584E-3</v>
      </c>
      <c r="L100" s="130"/>
      <c r="M100" s="130"/>
      <c r="N100" s="130"/>
      <c r="O100" s="130"/>
      <c r="P100" s="130"/>
      <c r="Q100" s="130"/>
      <c r="R100" s="42"/>
      <c r="S100" s="130"/>
      <c r="T100" s="42"/>
    </row>
    <row r="101" spans="2:20" x14ac:dyDescent="0.3">
      <c r="B101" t="s">
        <v>331</v>
      </c>
      <c r="C101" s="130">
        <v>1145.04</v>
      </c>
      <c r="D101" s="50">
        <f t="shared" si="2"/>
        <v>-6.8565804137212916E-2</v>
      </c>
      <c r="F101" s="42">
        <v>24180.799999999999</v>
      </c>
      <c r="G101" s="50">
        <f t="shared" si="3"/>
        <v>-5.0834521392261189E-3</v>
      </c>
      <c r="L101" s="130"/>
      <c r="M101" s="130"/>
      <c r="N101" s="130"/>
      <c r="O101" s="130"/>
      <c r="P101" s="130"/>
      <c r="Q101" s="130"/>
      <c r="R101" s="42"/>
      <c r="S101" s="130"/>
      <c r="T101" s="42"/>
    </row>
    <row r="102" spans="2:20" x14ac:dyDescent="0.3">
      <c r="B102" t="s">
        <v>332</v>
      </c>
      <c r="C102" s="130">
        <v>1196.07</v>
      </c>
      <c r="D102" s="50">
        <f t="shared" si="2"/>
        <v>4.4566128694194074E-2</v>
      </c>
      <c r="F102" s="42">
        <v>24854.05</v>
      </c>
      <c r="G102" s="50">
        <f t="shared" si="3"/>
        <v>2.7842337722490562E-2</v>
      </c>
      <c r="L102" s="130"/>
      <c r="M102" s="130"/>
      <c r="N102" s="130"/>
      <c r="O102" s="130"/>
      <c r="P102" s="130"/>
      <c r="Q102" s="130"/>
      <c r="R102" s="42"/>
      <c r="S102" s="130"/>
      <c r="T102" s="42"/>
    </row>
    <row r="103" spans="2:20" x14ac:dyDescent="0.3">
      <c r="B103" t="s">
        <v>333</v>
      </c>
      <c r="C103" s="130">
        <v>1092.55</v>
      </c>
      <c r="D103" s="50">
        <f t="shared" si="2"/>
        <v>-8.6550118304112633E-2</v>
      </c>
      <c r="F103" s="42">
        <v>24964.25</v>
      </c>
      <c r="G103" s="50">
        <f t="shared" si="3"/>
        <v>4.4338850207512603E-3</v>
      </c>
      <c r="L103" s="130"/>
      <c r="M103" s="130"/>
      <c r="N103" s="130"/>
      <c r="O103" s="130"/>
      <c r="P103" s="130"/>
      <c r="Q103" s="130"/>
      <c r="R103" s="42"/>
      <c r="S103" s="130"/>
      <c r="T103" s="42"/>
    </row>
    <row r="104" spans="2:20" x14ac:dyDescent="0.3">
      <c r="B104" t="s">
        <v>334</v>
      </c>
      <c r="C104" s="130">
        <v>1118.82</v>
      </c>
      <c r="D104" s="50">
        <f t="shared" si="2"/>
        <v>2.4044666148002269E-2</v>
      </c>
      <c r="F104" s="42">
        <v>25014.6</v>
      </c>
      <c r="G104" s="50">
        <f t="shared" si="3"/>
        <v>2.0168841443264363E-3</v>
      </c>
      <c r="L104" s="130"/>
      <c r="M104" s="130"/>
      <c r="N104" s="130"/>
      <c r="O104" s="130"/>
      <c r="P104" s="130"/>
      <c r="Q104" s="130"/>
      <c r="R104" s="42"/>
      <c r="S104" s="130"/>
      <c r="T104" s="42"/>
    </row>
    <row r="105" spans="2:20" x14ac:dyDescent="0.3">
      <c r="B105" t="s">
        <v>335</v>
      </c>
      <c r="C105" s="130">
        <v>1225.3900000000001</v>
      </c>
      <c r="D105" s="50">
        <f t="shared" si="2"/>
        <v>9.5252140648182992E-2</v>
      </c>
      <c r="F105" s="42">
        <v>26178.95</v>
      </c>
      <c r="G105" s="50">
        <f t="shared" si="3"/>
        <v>4.6546816659071233E-2</v>
      </c>
      <c r="L105" s="130"/>
      <c r="M105" s="130"/>
      <c r="N105" s="130"/>
      <c r="O105" s="130"/>
      <c r="P105" s="130"/>
      <c r="Q105" s="130"/>
      <c r="R105" s="42"/>
      <c r="S105" s="130"/>
      <c r="T105" s="42"/>
    </row>
    <row r="106" spans="2:20" x14ac:dyDescent="0.3">
      <c r="B106" t="s">
        <v>336</v>
      </c>
      <c r="C106" s="130">
        <v>1318.78</v>
      </c>
      <c r="D106" s="50">
        <f t="shared" si="2"/>
        <v>7.6212471131639647E-2</v>
      </c>
      <c r="F106" s="42">
        <v>25790.95</v>
      </c>
      <c r="G106" s="50">
        <f t="shared" si="3"/>
        <v>-1.4821068071866894E-2</v>
      </c>
      <c r="L106" s="130"/>
      <c r="M106" s="130"/>
      <c r="N106" s="130"/>
      <c r="O106" s="130"/>
      <c r="P106" s="130"/>
      <c r="Q106" s="130"/>
      <c r="R106" s="42"/>
      <c r="S106" s="130"/>
      <c r="T106" s="42"/>
    </row>
    <row r="107" spans="2:20" x14ac:dyDescent="0.3">
      <c r="B107" t="s">
        <v>337</v>
      </c>
      <c r="C107" s="130">
        <v>1346.45</v>
      </c>
      <c r="D107" s="50">
        <f t="shared" si="2"/>
        <v>2.0981513216761005E-2</v>
      </c>
      <c r="F107" s="42">
        <v>25356.5</v>
      </c>
      <c r="G107" s="50">
        <f t="shared" si="3"/>
        <v>-1.684505611464493E-2</v>
      </c>
      <c r="L107" s="130"/>
      <c r="M107" s="130"/>
      <c r="N107" s="130"/>
      <c r="O107" s="130"/>
      <c r="P107" s="130"/>
      <c r="Q107" s="130"/>
      <c r="R107" s="42"/>
      <c r="S107" s="130"/>
      <c r="T107" s="42"/>
    </row>
    <row r="108" spans="2:20" x14ac:dyDescent="0.3">
      <c r="B108" t="s">
        <v>338</v>
      </c>
      <c r="C108" s="130">
        <v>1398.48</v>
      </c>
      <c r="D108" s="50">
        <f t="shared" si="2"/>
        <v>3.8642355824575647E-2</v>
      </c>
      <c r="F108" s="42">
        <v>24852.15</v>
      </c>
      <c r="G108" s="50">
        <f t="shared" si="3"/>
        <v>-1.9890363417664036E-2</v>
      </c>
      <c r="L108" s="130"/>
      <c r="M108" s="130"/>
      <c r="N108" s="130"/>
      <c r="O108" s="130"/>
      <c r="P108" s="130"/>
      <c r="Q108" s="130"/>
      <c r="R108" s="42"/>
      <c r="S108" s="130"/>
      <c r="T108" s="42"/>
    </row>
    <row r="109" spans="2:20" x14ac:dyDescent="0.3">
      <c r="B109" t="s">
        <v>339</v>
      </c>
      <c r="C109" s="130">
        <v>1422.1</v>
      </c>
      <c r="D109" s="50">
        <f t="shared" si="2"/>
        <v>1.6889766031691567E-2</v>
      </c>
      <c r="F109" s="42">
        <v>25235.9</v>
      </c>
      <c r="G109" s="50">
        <f t="shared" si="3"/>
        <v>1.544131996628062E-2</v>
      </c>
      <c r="L109" s="130"/>
      <c r="M109" s="130"/>
      <c r="N109" s="130"/>
      <c r="O109" s="130"/>
      <c r="P109" s="130"/>
      <c r="Q109" s="130"/>
      <c r="R109" s="42"/>
      <c r="S109" s="130"/>
      <c r="T109" s="42"/>
    </row>
    <row r="110" spans="2:20" x14ac:dyDescent="0.3">
      <c r="B110" t="s">
        <v>340</v>
      </c>
      <c r="C110" s="130">
        <v>1414.36</v>
      </c>
      <c r="D110" s="50">
        <f t="shared" si="2"/>
        <v>-5.4426552281836571E-3</v>
      </c>
      <c r="F110" s="42">
        <v>24823.15</v>
      </c>
      <c r="G110" s="50">
        <f t="shared" si="3"/>
        <v>-1.6355667917530181E-2</v>
      </c>
      <c r="L110" s="130"/>
      <c r="M110" s="130"/>
      <c r="N110" s="130"/>
      <c r="O110" s="130"/>
      <c r="P110" s="130"/>
      <c r="Q110" s="130"/>
      <c r="R110" s="42"/>
      <c r="S110" s="130"/>
      <c r="T110" s="42"/>
    </row>
    <row r="111" spans="2:20" x14ac:dyDescent="0.3">
      <c r="B111" t="s">
        <v>341</v>
      </c>
      <c r="C111" s="130">
        <v>1425.48</v>
      </c>
      <c r="D111" s="50">
        <f t="shared" si="2"/>
        <v>7.8622132978873882E-3</v>
      </c>
      <c r="F111" s="42">
        <v>24541.15</v>
      </c>
      <c r="G111" s="50">
        <f t="shared" si="3"/>
        <v>-1.1360363209342861E-2</v>
      </c>
      <c r="L111" s="130"/>
      <c r="M111" s="130"/>
      <c r="N111" s="130"/>
      <c r="O111" s="130"/>
      <c r="P111" s="130"/>
      <c r="Q111" s="130"/>
      <c r="R111" s="42"/>
      <c r="S111" s="130"/>
      <c r="T111" s="42"/>
    </row>
    <row r="112" spans="2:20" x14ac:dyDescent="0.3">
      <c r="B112" t="s">
        <v>342</v>
      </c>
      <c r="C112" s="130">
        <v>1346.36</v>
      </c>
      <c r="D112" s="50">
        <f t="shared" si="2"/>
        <v>-5.5504110895978953E-2</v>
      </c>
      <c r="F112" s="42">
        <v>24367.5</v>
      </c>
      <c r="G112" s="50">
        <f t="shared" si="3"/>
        <v>-7.0758705276647849E-3</v>
      </c>
      <c r="N112" s="130"/>
      <c r="O112" s="130"/>
      <c r="P112" s="130"/>
      <c r="Q112" s="130"/>
      <c r="R112" s="42"/>
      <c r="S112" s="130"/>
      <c r="T112" s="42"/>
    </row>
    <row r="113" spans="4:20" x14ac:dyDescent="0.3">
      <c r="F113" s="130"/>
      <c r="G113" s="50"/>
      <c r="L113" s="130"/>
      <c r="M113" s="130"/>
      <c r="N113" s="130"/>
      <c r="O113" s="130"/>
      <c r="P113" s="130"/>
      <c r="Q113" s="130"/>
      <c r="R113" s="42"/>
      <c r="S113" s="130"/>
      <c r="T113" s="42"/>
    </row>
    <row r="114" spans="4:20" x14ac:dyDescent="0.3">
      <c r="F114" s="130"/>
      <c r="G114" s="50"/>
      <c r="L114" s="130"/>
      <c r="M114" s="130"/>
      <c r="N114" s="130"/>
      <c r="O114" s="130"/>
      <c r="P114" s="130"/>
      <c r="Q114" s="130"/>
      <c r="R114" s="42"/>
      <c r="S114" s="130"/>
      <c r="T114" s="42"/>
    </row>
    <row r="115" spans="4:20" x14ac:dyDescent="0.3">
      <c r="D115" s="50"/>
      <c r="F115" s="130"/>
      <c r="G115" s="50"/>
      <c r="L115" s="130"/>
      <c r="M115" s="130"/>
      <c r="N115" s="130"/>
      <c r="O115" s="130"/>
      <c r="P115" s="130"/>
      <c r="Q115" s="130"/>
      <c r="R115" s="42"/>
      <c r="S115" s="130"/>
      <c r="T115" s="42"/>
    </row>
    <row r="116" spans="4:20" x14ac:dyDescent="0.3">
      <c r="D116" s="50"/>
      <c r="F116" s="130"/>
      <c r="G116" s="50"/>
      <c r="O116" s="130"/>
      <c r="P116" s="130"/>
      <c r="Q116" s="130"/>
      <c r="R116" s="42"/>
      <c r="S116" s="130"/>
      <c r="T116" s="42"/>
    </row>
    <row r="117" spans="4:20" x14ac:dyDescent="0.3">
      <c r="D117" s="50"/>
      <c r="F117" s="130"/>
      <c r="G117" s="50"/>
      <c r="O117" s="130"/>
      <c r="P117" s="130"/>
      <c r="Q117" s="130"/>
      <c r="R117" s="42"/>
      <c r="S117" s="130"/>
      <c r="T117" s="42"/>
    </row>
    <row r="118" spans="4:20" x14ac:dyDescent="0.3">
      <c r="D118" s="50"/>
      <c r="F118" s="130"/>
      <c r="G118" s="50"/>
      <c r="O118" s="130"/>
      <c r="P118" s="130"/>
      <c r="Q118" s="130"/>
      <c r="R118" s="42"/>
      <c r="S118" s="130"/>
      <c r="T118" s="42"/>
    </row>
    <row r="119" spans="4:20" x14ac:dyDescent="0.3">
      <c r="D119" s="50"/>
      <c r="F119" s="130"/>
      <c r="G119" s="50"/>
      <c r="O119" s="130"/>
      <c r="P119" s="130"/>
      <c r="Q119" s="130"/>
      <c r="R119" s="42"/>
      <c r="S119" s="130"/>
      <c r="T119" s="42"/>
    </row>
    <row r="120" spans="4:20" x14ac:dyDescent="0.3">
      <c r="D120" s="50"/>
      <c r="F120" s="130"/>
      <c r="G120" s="50"/>
      <c r="O120" s="130"/>
      <c r="P120" s="130"/>
      <c r="Q120" s="130"/>
      <c r="R120" s="42"/>
      <c r="S120" s="130"/>
      <c r="T120" s="42"/>
    </row>
    <row r="121" spans="4:20" x14ac:dyDescent="0.3">
      <c r="D121" s="50"/>
      <c r="F121" s="130"/>
      <c r="G121" s="50"/>
      <c r="O121" s="130"/>
      <c r="P121" s="130"/>
      <c r="Q121" s="130"/>
      <c r="R121" s="42"/>
      <c r="S121" s="130"/>
      <c r="T121" s="42"/>
    </row>
    <row r="122" spans="4:20" x14ac:dyDescent="0.3">
      <c r="D122" s="50"/>
      <c r="F122" s="130"/>
      <c r="G122" s="50"/>
      <c r="O122" s="130"/>
      <c r="P122" s="130"/>
      <c r="Q122" s="130"/>
      <c r="R122" s="42"/>
      <c r="S122" s="130"/>
      <c r="T122" s="42"/>
    </row>
    <row r="123" spans="4:20" x14ac:dyDescent="0.3">
      <c r="D123" s="50"/>
      <c r="F123" s="130"/>
      <c r="G123" s="50"/>
      <c r="O123" s="130"/>
      <c r="P123" s="130"/>
      <c r="Q123" s="130"/>
      <c r="R123" s="42"/>
      <c r="S123" s="130"/>
      <c r="T123" s="42"/>
    </row>
    <row r="124" spans="4:20" x14ac:dyDescent="0.3">
      <c r="D124" s="50"/>
      <c r="F124" s="130"/>
      <c r="G124" s="50"/>
      <c r="O124" s="130"/>
      <c r="P124" s="130"/>
      <c r="Q124" s="130"/>
      <c r="R124" s="42"/>
      <c r="S124" s="130"/>
      <c r="T124" s="42"/>
    </row>
    <row r="125" spans="4:20" x14ac:dyDescent="0.3">
      <c r="D125" s="50"/>
      <c r="F125" s="130"/>
      <c r="G125" s="50"/>
      <c r="O125" s="130"/>
      <c r="P125" s="130"/>
      <c r="Q125" s="130"/>
      <c r="R125" s="42"/>
      <c r="S125" s="130"/>
      <c r="T125" s="42"/>
    </row>
    <row r="126" spans="4:20" x14ac:dyDescent="0.3">
      <c r="D126" s="50"/>
      <c r="F126" s="130"/>
      <c r="G126" s="50"/>
      <c r="O126" s="130"/>
      <c r="P126" s="130"/>
      <c r="Q126" s="130"/>
      <c r="R126" s="42"/>
      <c r="S126" s="130"/>
      <c r="T126" s="42"/>
    </row>
    <row r="127" spans="4:20" x14ac:dyDescent="0.3">
      <c r="D127" s="50"/>
      <c r="F127" s="130"/>
      <c r="G127" s="50"/>
      <c r="O127" s="130"/>
      <c r="P127" s="130"/>
      <c r="Q127" s="130"/>
      <c r="R127" s="42"/>
      <c r="S127" s="130"/>
      <c r="T127" s="42"/>
    </row>
    <row r="128" spans="4:20" x14ac:dyDescent="0.3">
      <c r="D128" s="50"/>
      <c r="F128" s="130"/>
      <c r="G128" s="50"/>
      <c r="O128" s="130"/>
      <c r="P128" s="130"/>
      <c r="Q128" s="130"/>
      <c r="R128" s="42"/>
      <c r="S128" s="130"/>
      <c r="T128" s="42"/>
    </row>
    <row r="129" spans="4:20" x14ac:dyDescent="0.3">
      <c r="D129" s="50"/>
      <c r="F129" s="130"/>
      <c r="G129" s="50"/>
      <c r="O129" s="130"/>
      <c r="P129" s="130"/>
      <c r="Q129" s="130"/>
      <c r="R129" s="42"/>
      <c r="S129" s="130"/>
      <c r="T129" s="42"/>
    </row>
    <row r="130" spans="4:20" x14ac:dyDescent="0.3">
      <c r="D130" s="50"/>
      <c r="F130" s="130"/>
      <c r="G130" s="50"/>
      <c r="O130" s="130"/>
      <c r="P130" s="130"/>
      <c r="Q130" s="130"/>
      <c r="R130" s="42"/>
      <c r="S130" s="130"/>
      <c r="T130" s="42"/>
    </row>
    <row r="131" spans="4:20" x14ac:dyDescent="0.3">
      <c r="D131" s="50"/>
      <c r="F131" s="130"/>
      <c r="G131" s="50"/>
      <c r="O131" s="130"/>
      <c r="P131" s="130"/>
      <c r="Q131" s="130"/>
      <c r="R131" s="42"/>
      <c r="S131" s="130"/>
      <c r="T131" s="42"/>
    </row>
    <row r="132" spans="4:20" x14ac:dyDescent="0.3">
      <c r="D132" s="50"/>
      <c r="F132" s="130"/>
      <c r="G132" s="50"/>
      <c r="O132" s="130"/>
      <c r="P132" s="130"/>
      <c r="Q132" s="130"/>
      <c r="R132" s="42"/>
      <c r="S132" s="130"/>
      <c r="T132" s="42"/>
    </row>
    <row r="133" spans="4:20" x14ac:dyDescent="0.3">
      <c r="D133" s="50"/>
      <c r="F133" s="130"/>
      <c r="G133" s="50"/>
      <c r="O133" s="130"/>
      <c r="P133" s="130"/>
      <c r="Q133" s="130"/>
      <c r="R133" s="42"/>
      <c r="S133" s="130"/>
      <c r="T133" s="42"/>
    </row>
    <row r="134" spans="4:20" x14ac:dyDescent="0.3">
      <c r="D134" s="50"/>
      <c r="F134" s="130"/>
      <c r="G134" s="50"/>
      <c r="O134" s="130"/>
      <c r="P134" s="130"/>
      <c r="Q134" s="130"/>
      <c r="R134" s="42"/>
      <c r="S134" s="130"/>
      <c r="T134" s="42"/>
    </row>
    <row r="135" spans="4:20" x14ac:dyDescent="0.3">
      <c r="D135" s="50"/>
      <c r="F135" s="130"/>
      <c r="G135" s="50"/>
      <c r="O135" s="130"/>
      <c r="P135" s="130"/>
      <c r="Q135" s="130"/>
      <c r="R135" s="42"/>
      <c r="S135" s="130"/>
      <c r="T135" s="42"/>
    </row>
    <row r="136" spans="4:20" x14ac:dyDescent="0.3">
      <c r="D136" s="50"/>
      <c r="F136" s="130"/>
      <c r="G136" s="50"/>
      <c r="O136" s="130"/>
      <c r="P136" s="130"/>
      <c r="Q136" s="130"/>
      <c r="R136" s="42"/>
      <c r="S136" s="130"/>
      <c r="T136" s="42"/>
    </row>
    <row r="137" spans="4:20" x14ac:dyDescent="0.3">
      <c r="D137" s="50"/>
      <c r="F137" s="130"/>
      <c r="G137" s="50"/>
      <c r="O137" s="130"/>
      <c r="P137" s="130"/>
      <c r="Q137" s="130"/>
      <c r="R137" s="42"/>
      <c r="S137" s="130"/>
      <c r="T137" s="42"/>
    </row>
    <row r="138" spans="4:20" x14ac:dyDescent="0.3">
      <c r="D138" s="50"/>
      <c r="F138" s="130"/>
      <c r="G138" s="50"/>
      <c r="O138" s="130"/>
      <c r="P138" s="130"/>
      <c r="Q138" s="130"/>
      <c r="R138" s="42"/>
      <c r="S138" s="130"/>
      <c r="T138" s="42"/>
    </row>
    <row r="139" spans="4:20" x14ac:dyDescent="0.3">
      <c r="D139" s="50"/>
      <c r="F139" s="130"/>
      <c r="G139" s="50"/>
      <c r="O139" s="130"/>
      <c r="P139" s="130"/>
      <c r="Q139" s="130"/>
      <c r="R139" s="42"/>
      <c r="S139" s="130"/>
      <c r="T139" s="42"/>
    </row>
    <row r="140" spans="4:20" x14ac:dyDescent="0.3">
      <c r="D140" s="50"/>
      <c r="F140" s="130"/>
      <c r="G140" s="50"/>
      <c r="O140" s="130"/>
      <c r="P140" s="130"/>
      <c r="Q140" s="130"/>
      <c r="R140" s="42"/>
      <c r="S140" s="130"/>
      <c r="T140" s="42"/>
    </row>
    <row r="141" spans="4:20" x14ac:dyDescent="0.3">
      <c r="D141" s="50"/>
      <c r="F141" s="130"/>
      <c r="G141" s="50"/>
      <c r="O141" s="130"/>
      <c r="P141" s="130"/>
      <c r="Q141" s="130"/>
      <c r="R141" s="42"/>
      <c r="S141" s="130"/>
      <c r="T141" s="42"/>
    </row>
    <row r="142" spans="4:20" x14ac:dyDescent="0.3">
      <c r="D142" s="50"/>
      <c r="F142" s="130"/>
      <c r="G142" s="50"/>
      <c r="O142" s="130"/>
      <c r="P142" s="130"/>
      <c r="Q142" s="130"/>
      <c r="R142" s="42"/>
      <c r="S142" s="130"/>
      <c r="T142" s="42"/>
    </row>
    <row r="143" spans="4:20" x14ac:dyDescent="0.3">
      <c r="D143" s="50"/>
      <c r="F143" s="130"/>
      <c r="G143" s="50"/>
      <c r="O143" s="130"/>
      <c r="P143" s="130"/>
      <c r="Q143" s="130"/>
      <c r="R143" s="42"/>
      <c r="S143" s="130"/>
      <c r="T143" s="42"/>
    </row>
    <row r="144" spans="4:20" x14ac:dyDescent="0.3">
      <c r="D144" s="50"/>
      <c r="F144" s="130"/>
      <c r="G144" s="50"/>
      <c r="O144" s="130"/>
      <c r="P144" s="130"/>
      <c r="Q144" s="130"/>
      <c r="R144" s="42"/>
      <c r="S144" s="130"/>
      <c r="T144" s="42"/>
    </row>
    <row r="145" spans="4:20" x14ac:dyDescent="0.3">
      <c r="D145" s="50"/>
      <c r="F145" s="130"/>
      <c r="G145" s="50"/>
      <c r="O145" s="130"/>
      <c r="P145" s="130"/>
      <c r="Q145" s="130"/>
      <c r="R145" s="130"/>
      <c r="S145" s="130"/>
      <c r="T145" s="42"/>
    </row>
    <row r="146" spans="4:20" x14ac:dyDescent="0.3">
      <c r="D146" s="50"/>
      <c r="F146" s="130"/>
      <c r="G146" s="50"/>
      <c r="O146" s="130"/>
      <c r="P146" s="130"/>
      <c r="Q146" s="130"/>
      <c r="R146" s="42"/>
      <c r="S146" s="130"/>
      <c r="T146" s="42"/>
    </row>
    <row r="147" spans="4:20" x14ac:dyDescent="0.3">
      <c r="D147" s="50"/>
      <c r="F147" s="130"/>
      <c r="G147" s="50"/>
      <c r="O147" s="130"/>
      <c r="P147" s="130"/>
      <c r="Q147" s="130"/>
      <c r="R147" s="42"/>
      <c r="S147" s="130"/>
      <c r="T147" s="42"/>
    </row>
    <row r="148" spans="4:20" x14ac:dyDescent="0.3">
      <c r="D148" s="50"/>
      <c r="F148" s="130"/>
      <c r="G148" s="50"/>
      <c r="O148" s="130"/>
      <c r="P148" s="130"/>
      <c r="Q148" s="130"/>
      <c r="R148" s="42"/>
      <c r="S148" s="130"/>
      <c r="T148" s="42"/>
    </row>
    <row r="149" spans="4:20" x14ac:dyDescent="0.3">
      <c r="D149" s="50"/>
      <c r="F149" s="130"/>
      <c r="G149" s="50"/>
      <c r="O149" s="130"/>
      <c r="P149" s="130"/>
      <c r="Q149" s="130"/>
      <c r="R149" s="42"/>
      <c r="S149" s="130"/>
      <c r="T149" s="42"/>
    </row>
    <row r="150" spans="4:20" x14ac:dyDescent="0.3">
      <c r="D150" s="50"/>
      <c r="F150" s="130"/>
      <c r="G150" s="50"/>
      <c r="O150" s="130"/>
      <c r="P150" s="130"/>
      <c r="Q150" s="130"/>
      <c r="R150" s="42"/>
      <c r="S150" s="130"/>
      <c r="T150" s="42"/>
    </row>
    <row r="151" spans="4:20" x14ac:dyDescent="0.3">
      <c r="D151" s="50"/>
      <c r="F151" s="130"/>
      <c r="G151" s="50"/>
      <c r="O151" s="130"/>
      <c r="P151" s="130"/>
      <c r="Q151" s="130"/>
      <c r="R151" s="42"/>
      <c r="S151" s="130"/>
      <c r="T151" s="42"/>
    </row>
    <row r="152" spans="4:20" x14ac:dyDescent="0.3">
      <c r="D152" s="50"/>
      <c r="F152" s="130"/>
      <c r="G152" s="50"/>
      <c r="O152" s="130"/>
      <c r="P152" s="130"/>
      <c r="Q152" s="130"/>
      <c r="R152" s="42"/>
      <c r="S152" s="130"/>
      <c r="T152" s="42"/>
    </row>
    <row r="153" spans="4:20" x14ac:dyDescent="0.3">
      <c r="D153" s="50"/>
      <c r="F153" s="130"/>
      <c r="G153" s="50"/>
      <c r="O153" s="130"/>
      <c r="P153" s="130"/>
      <c r="Q153" s="130"/>
      <c r="R153" s="42"/>
      <c r="S153" s="130"/>
      <c r="T153" s="42"/>
    </row>
    <row r="154" spans="4:20" x14ac:dyDescent="0.3">
      <c r="D154" s="50"/>
      <c r="F154" s="130"/>
      <c r="G154" s="50"/>
      <c r="O154" s="130"/>
      <c r="P154" s="130"/>
      <c r="Q154" s="130"/>
      <c r="R154" s="42"/>
      <c r="S154" s="130"/>
      <c r="T154" s="42"/>
    </row>
    <row r="155" spans="4:20" x14ac:dyDescent="0.3">
      <c r="D155" s="50"/>
      <c r="F155" s="130"/>
      <c r="G155" s="50"/>
      <c r="O155" s="130"/>
      <c r="P155" s="130"/>
      <c r="Q155" s="130"/>
      <c r="R155" s="42"/>
      <c r="S155" s="130"/>
      <c r="T155" s="42"/>
    </row>
    <row r="156" spans="4:20" x14ac:dyDescent="0.3">
      <c r="D156" s="50"/>
      <c r="F156" s="130"/>
      <c r="G156" s="50"/>
      <c r="O156" s="130"/>
      <c r="P156" s="130"/>
      <c r="Q156" s="130"/>
      <c r="R156" s="42"/>
      <c r="S156" s="130"/>
      <c r="T156" s="42"/>
    </row>
    <row r="157" spans="4:20" x14ac:dyDescent="0.3">
      <c r="D157" s="50"/>
      <c r="F157" s="130"/>
      <c r="G157" s="50"/>
      <c r="O157" s="130"/>
      <c r="P157" s="130"/>
      <c r="Q157" s="130"/>
      <c r="R157" s="42"/>
      <c r="S157" s="130"/>
      <c r="T157" s="42"/>
    </row>
    <row r="158" spans="4:20" x14ac:dyDescent="0.3">
      <c r="D158" s="50"/>
      <c r="F158" s="130"/>
      <c r="G158" s="50"/>
      <c r="O158" s="130"/>
      <c r="P158" s="130"/>
      <c r="Q158" s="130"/>
      <c r="R158" s="42"/>
      <c r="S158" s="130"/>
      <c r="T158" s="42"/>
    </row>
    <row r="159" spans="4:20" x14ac:dyDescent="0.3">
      <c r="D159" s="50"/>
      <c r="F159" s="130"/>
      <c r="G159" s="50"/>
      <c r="O159" s="130"/>
      <c r="P159" s="130"/>
      <c r="Q159" s="130"/>
      <c r="R159" s="42"/>
      <c r="S159" s="130"/>
      <c r="T159" s="42"/>
    </row>
    <row r="160" spans="4:20" x14ac:dyDescent="0.3">
      <c r="D160" s="50"/>
      <c r="F160" s="130"/>
      <c r="G160" s="50"/>
      <c r="O160" s="130"/>
      <c r="P160" s="130"/>
      <c r="Q160" s="130"/>
      <c r="R160" s="42"/>
      <c r="S160" s="130"/>
      <c r="T160" s="42"/>
    </row>
    <row r="161" spans="4:20" x14ac:dyDescent="0.3">
      <c r="D161" s="50"/>
      <c r="F161" s="130"/>
      <c r="G161" s="50"/>
      <c r="O161" s="130"/>
      <c r="P161" s="130"/>
      <c r="Q161" s="130"/>
      <c r="R161" s="42"/>
      <c r="S161" s="130"/>
      <c r="T161" s="42"/>
    </row>
    <row r="162" spans="4:20" x14ac:dyDescent="0.3">
      <c r="D162" s="50"/>
      <c r="F162" s="130"/>
      <c r="G162" s="50"/>
      <c r="O162" s="130"/>
      <c r="P162" s="130"/>
      <c r="Q162" s="130"/>
      <c r="R162" s="42"/>
      <c r="S162" s="130"/>
      <c r="T162" s="42"/>
    </row>
    <row r="163" spans="4:20" x14ac:dyDescent="0.3">
      <c r="D163" s="50"/>
      <c r="F163" s="130"/>
      <c r="G163" s="50"/>
      <c r="O163" s="130"/>
      <c r="P163" s="130"/>
      <c r="Q163" s="130"/>
      <c r="R163" s="42"/>
      <c r="S163" s="130"/>
      <c r="T163" s="42"/>
    </row>
    <row r="164" spans="4:20" x14ac:dyDescent="0.3">
      <c r="D164" s="50"/>
      <c r="F164" s="130"/>
      <c r="G164" s="50"/>
      <c r="O164" s="130"/>
      <c r="P164" s="130"/>
      <c r="Q164" s="130"/>
      <c r="R164" s="42"/>
      <c r="S164" s="130"/>
      <c r="T164" s="42"/>
    </row>
    <row r="165" spans="4:20" x14ac:dyDescent="0.3">
      <c r="D165" s="50"/>
      <c r="F165" s="130"/>
      <c r="G165" s="50"/>
      <c r="O165" s="130"/>
      <c r="P165" s="130"/>
      <c r="Q165" s="130"/>
      <c r="R165" s="42"/>
      <c r="S165" s="130"/>
      <c r="T165" s="42"/>
    </row>
    <row r="166" spans="4:20" x14ac:dyDescent="0.3">
      <c r="D166" s="50"/>
      <c r="F166" s="130"/>
      <c r="G166" s="50"/>
      <c r="O166" s="130"/>
      <c r="P166" s="130"/>
      <c r="Q166" s="130"/>
      <c r="R166" s="42"/>
      <c r="S166" s="130"/>
      <c r="T166" s="42"/>
    </row>
    <row r="167" spans="4:20" x14ac:dyDescent="0.3">
      <c r="D167" s="50"/>
      <c r="F167" s="130"/>
      <c r="G167" s="50"/>
      <c r="O167" s="130"/>
      <c r="P167" s="130"/>
      <c r="Q167" s="130"/>
      <c r="R167" s="42"/>
      <c r="S167" s="130"/>
      <c r="T167" s="42"/>
    </row>
    <row r="168" spans="4:20" x14ac:dyDescent="0.3">
      <c r="D168" s="50"/>
      <c r="F168" s="130"/>
      <c r="G168" s="50"/>
      <c r="O168" s="130"/>
      <c r="P168" s="130"/>
      <c r="Q168" s="130"/>
      <c r="R168" s="42"/>
      <c r="S168" s="130"/>
      <c r="T168" s="42"/>
    </row>
    <row r="169" spans="4:20" x14ac:dyDescent="0.3">
      <c r="D169" s="50"/>
      <c r="F169" s="130"/>
      <c r="G169" s="50"/>
      <c r="O169" s="130"/>
      <c r="P169" s="130"/>
      <c r="Q169" s="130"/>
      <c r="R169" s="42"/>
      <c r="S169" s="130"/>
      <c r="T169" s="42"/>
    </row>
    <row r="170" spans="4:20" x14ac:dyDescent="0.3">
      <c r="D170" s="50"/>
      <c r="F170" s="130"/>
      <c r="G170" s="50"/>
      <c r="O170" s="130"/>
      <c r="P170" s="130"/>
      <c r="Q170" s="130"/>
      <c r="R170" s="42"/>
      <c r="S170" s="130"/>
      <c r="T170" s="42"/>
    </row>
    <row r="171" spans="4:20" x14ac:dyDescent="0.3">
      <c r="D171" s="50"/>
      <c r="F171" s="130"/>
      <c r="G171" s="50"/>
      <c r="O171" s="130"/>
      <c r="P171" s="130"/>
      <c r="Q171" s="130"/>
      <c r="R171" s="42"/>
      <c r="S171" s="130"/>
      <c r="T171" s="42"/>
    </row>
    <row r="172" spans="4:20" x14ac:dyDescent="0.3">
      <c r="D172" s="50"/>
      <c r="F172" s="130"/>
      <c r="G172" s="50"/>
      <c r="O172" s="130"/>
      <c r="P172" s="130"/>
      <c r="Q172" s="130"/>
      <c r="R172" s="42"/>
      <c r="S172" s="130"/>
      <c r="T172" s="42"/>
    </row>
    <row r="173" spans="4:20" x14ac:dyDescent="0.3">
      <c r="D173" s="50"/>
      <c r="F173" s="130"/>
      <c r="G173" s="50"/>
      <c r="O173" s="130"/>
      <c r="P173" s="130"/>
      <c r="Q173" s="130"/>
      <c r="R173" s="42"/>
      <c r="S173" s="130"/>
      <c r="T173" s="42"/>
    </row>
    <row r="174" spans="4:20" x14ac:dyDescent="0.3">
      <c r="D174" s="50"/>
      <c r="F174" s="130"/>
      <c r="G174" s="50"/>
      <c r="O174" s="130"/>
      <c r="P174" s="130"/>
      <c r="Q174" s="130"/>
      <c r="R174" s="42"/>
      <c r="S174" s="130"/>
      <c r="T174" s="42"/>
    </row>
    <row r="175" spans="4:20" x14ac:dyDescent="0.3">
      <c r="D175" s="50"/>
      <c r="F175" s="130"/>
      <c r="G175" s="50"/>
      <c r="O175" s="130"/>
      <c r="P175" s="130"/>
      <c r="Q175" s="130"/>
      <c r="R175" s="42"/>
      <c r="S175" s="130"/>
      <c r="T175" s="42"/>
    </row>
    <row r="176" spans="4:20" x14ac:dyDescent="0.3">
      <c r="D176" s="50"/>
      <c r="F176" s="130"/>
      <c r="G176" s="50"/>
      <c r="O176" s="130"/>
      <c r="P176" s="130"/>
      <c r="Q176" s="130"/>
      <c r="R176" s="42"/>
      <c r="S176" s="130"/>
      <c r="T176" s="42"/>
    </row>
    <row r="177" spans="4:20" x14ac:dyDescent="0.3">
      <c r="D177" s="50"/>
      <c r="F177" s="130"/>
      <c r="G177" s="50"/>
      <c r="O177" s="130"/>
      <c r="P177" s="130"/>
      <c r="Q177" s="130"/>
      <c r="R177" s="42"/>
      <c r="S177" s="130"/>
      <c r="T177" s="42"/>
    </row>
    <row r="178" spans="4:20" x14ac:dyDescent="0.3">
      <c r="D178" s="50"/>
      <c r="F178" s="130"/>
      <c r="G178" s="50"/>
      <c r="O178" s="130"/>
      <c r="P178" s="130"/>
      <c r="Q178" s="130"/>
      <c r="R178" s="42"/>
      <c r="S178" s="130"/>
      <c r="T178" s="42"/>
    </row>
    <row r="179" spans="4:20" x14ac:dyDescent="0.3">
      <c r="D179" s="50"/>
      <c r="F179" s="130"/>
      <c r="G179" s="50"/>
      <c r="O179" s="130"/>
      <c r="P179" s="130"/>
      <c r="Q179" s="130"/>
      <c r="R179" s="42"/>
      <c r="S179" s="130"/>
      <c r="T179" s="42"/>
    </row>
    <row r="180" spans="4:20" x14ac:dyDescent="0.3">
      <c r="D180" s="50"/>
      <c r="F180" s="130"/>
      <c r="G180" s="50"/>
      <c r="O180" s="130"/>
      <c r="P180" s="130"/>
      <c r="Q180" s="130"/>
      <c r="R180" s="42"/>
      <c r="S180" s="130"/>
      <c r="T180" s="42"/>
    </row>
    <row r="181" spans="4:20" x14ac:dyDescent="0.3">
      <c r="D181" s="50"/>
      <c r="F181" s="130"/>
      <c r="G181" s="50"/>
      <c r="O181" s="130"/>
      <c r="P181" s="130"/>
      <c r="Q181" s="130"/>
      <c r="R181" s="42"/>
      <c r="S181" s="130"/>
      <c r="T181" s="42"/>
    </row>
    <row r="182" spans="4:20" x14ac:dyDescent="0.3">
      <c r="D182" s="50"/>
      <c r="F182" s="130"/>
      <c r="G182" s="50"/>
      <c r="O182" s="130"/>
      <c r="P182" s="130"/>
      <c r="Q182" s="130"/>
      <c r="R182" s="42"/>
      <c r="S182" s="130"/>
      <c r="T182" s="42"/>
    </row>
    <row r="183" spans="4:20" x14ac:dyDescent="0.3">
      <c r="D183" s="50"/>
      <c r="F183" s="130"/>
      <c r="G183" s="50"/>
      <c r="O183" s="130"/>
      <c r="P183" s="130"/>
      <c r="Q183" s="130"/>
      <c r="R183" s="42"/>
      <c r="S183" s="130"/>
      <c r="T183" s="42"/>
    </row>
    <row r="184" spans="4:20" x14ac:dyDescent="0.3">
      <c r="D184" s="50"/>
      <c r="F184" s="130"/>
      <c r="G184" s="50"/>
      <c r="O184" s="130"/>
      <c r="P184" s="130"/>
      <c r="Q184" s="130"/>
      <c r="R184" s="42"/>
      <c r="S184" s="130"/>
      <c r="T184" s="42"/>
    </row>
    <row r="185" spans="4:20" x14ac:dyDescent="0.3">
      <c r="D185" s="50"/>
      <c r="F185" s="130"/>
      <c r="G185" s="50"/>
      <c r="O185" s="130"/>
      <c r="P185" s="130"/>
      <c r="Q185" s="130"/>
      <c r="R185" s="42"/>
      <c r="S185" s="130"/>
      <c r="T185" s="42"/>
    </row>
    <row r="186" spans="4:20" x14ac:dyDescent="0.3">
      <c r="D186" s="50"/>
      <c r="F186" s="130"/>
      <c r="G186" s="50"/>
      <c r="O186" s="130"/>
      <c r="P186" s="130"/>
      <c r="Q186" s="130"/>
      <c r="R186" s="42"/>
      <c r="S186" s="130"/>
      <c r="T186" s="42"/>
    </row>
    <row r="187" spans="4:20" x14ac:dyDescent="0.3">
      <c r="D187" s="50"/>
      <c r="F187" s="130"/>
      <c r="G187" s="50"/>
      <c r="O187" s="130"/>
      <c r="P187" s="130"/>
      <c r="Q187" s="130"/>
      <c r="R187" s="42"/>
      <c r="S187" s="130"/>
      <c r="T187" s="42"/>
    </row>
    <row r="188" spans="4:20" x14ac:dyDescent="0.3">
      <c r="D188" s="50"/>
      <c r="F188" s="130"/>
      <c r="G188" s="50"/>
      <c r="O188" s="130"/>
      <c r="P188" s="130"/>
      <c r="Q188" s="130"/>
      <c r="R188" s="42"/>
      <c r="S188" s="130"/>
      <c r="T188" s="42"/>
    </row>
    <row r="189" spans="4:20" x14ac:dyDescent="0.3">
      <c r="D189" s="50"/>
      <c r="F189" s="130"/>
      <c r="G189" s="50"/>
      <c r="O189" s="130"/>
      <c r="P189" s="130"/>
      <c r="Q189" s="130"/>
      <c r="R189" s="42"/>
      <c r="S189" s="130"/>
      <c r="T189" s="42"/>
    </row>
    <row r="190" spans="4:20" x14ac:dyDescent="0.3">
      <c r="D190" s="50"/>
      <c r="F190" s="130"/>
      <c r="G190" s="50"/>
      <c r="O190" s="130"/>
      <c r="P190" s="130"/>
      <c r="Q190" s="130"/>
      <c r="R190" s="42"/>
      <c r="S190" s="130"/>
      <c r="T190" s="42"/>
    </row>
    <row r="191" spans="4:20" x14ac:dyDescent="0.3">
      <c r="D191" s="50"/>
      <c r="F191" s="130"/>
      <c r="G191" s="50"/>
      <c r="O191" s="130"/>
      <c r="P191" s="130"/>
      <c r="Q191" s="130"/>
      <c r="R191" s="42"/>
      <c r="S191" s="130"/>
      <c r="T191" s="42"/>
    </row>
    <row r="192" spans="4:20" x14ac:dyDescent="0.3">
      <c r="D192" s="50"/>
      <c r="F192" s="130"/>
      <c r="G192" s="50"/>
      <c r="O192" s="130"/>
      <c r="P192" s="130"/>
      <c r="Q192" s="130"/>
      <c r="R192" s="42"/>
      <c r="S192" s="130"/>
      <c r="T192" s="42"/>
    </row>
    <row r="193" spans="4:20" x14ac:dyDescent="0.3">
      <c r="D193" s="50"/>
      <c r="F193" s="130"/>
      <c r="G193" s="50"/>
      <c r="O193" s="130"/>
      <c r="P193" s="130"/>
      <c r="Q193" s="130"/>
      <c r="R193" s="42"/>
      <c r="S193" s="130"/>
      <c r="T193" s="42"/>
    </row>
    <row r="194" spans="4:20" x14ac:dyDescent="0.3">
      <c r="D194" s="50"/>
      <c r="F194" s="130"/>
      <c r="G194" s="50"/>
      <c r="O194" s="130"/>
      <c r="P194" s="130"/>
      <c r="Q194" s="130"/>
      <c r="R194" s="42"/>
      <c r="S194" s="130"/>
      <c r="T194" s="42"/>
    </row>
    <row r="195" spans="4:20" x14ac:dyDescent="0.3">
      <c r="D195" s="50"/>
      <c r="F195" s="130"/>
      <c r="G195" s="50"/>
      <c r="O195" s="130"/>
      <c r="P195" s="130"/>
      <c r="Q195" s="130"/>
      <c r="R195" s="42"/>
      <c r="S195" s="130"/>
      <c r="T195" s="42"/>
    </row>
    <row r="196" spans="4:20" x14ac:dyDescent="0.3">
      <c r="D196" s="50"/>
      <c r="F196" s="130"/>
      <c r="G196" s="50"/>
      <c r="O196" s="130"/>
      <c r="P196" s="130"/>
      <c r="Q196" s="130"/>
      <c r="R196" s="42"/>
      <c r="S196" s="130"/>
      <c r="T196" s="42"/>
    </row>
    <row r="197" spans="4:20" x14ac:dyDescent="0.3">
      <c r="D197" s="50"/>
      <c r="F197" s="130"/>
      <c r="G197" s="50"/>
      <c r="O197" s="130"/>
      <c r="P197" s="130"/>
      <c r="Q197" s="130"/>
      <c r="R197" s="42"/>
      <c r="S197" s="130"/>
      <c r="T197" s="42"/>
    </row>
    <row r="198" spans="4:20" x14ac:dyDescent="0.3">
      <c r="D198" s="50"/>
      <c r="F198" s="130"/>
      <c r="G198" s="50"/>
      <c r="O198" s="130"/>
      <c r="P198" s="130"/>
      <c r="Q198" s="130"/>
      <c r="R198" s="42"/>
      <c r="S198" s="130"/>
      <c r="T198" s="42"/>
    </row>
    <row r="199" spans="4:20" x14ac:dyDescent="0.3">
      <c r="D199" s="50"/>
      <c r="F199" s="130"/>
      <c r="G199" s="50"/>
      <c r="O199" s="130"/>
      <c r="P199" s="130"/>
      <c r="Q199" s="130"/>
      <c r="R199" s="42"/>
      <c r="S199" s="130"/>
      <c r="T199" s="42"/>
    </row>
    <row r="200" spans="4:20" x14ac:dyDescent="0.3">
      <c r="D200" s="50"/>
      <c r="F200" s="130"/>
      <c r="G200" s="50"/>
      <c r="O200" s="130"/>
      <c r="P200" s="130"/>
      <c r="Q200" s="130"/>
      <c r="R200" s="42"/>
      <c r="S200" s="130"/>
      <c r="T200" s="42"/>
    </row>
    <row r="201" spans="4:20" x14ac:dyDescent="0.3">
      <c r="D201" s="50"/>
      <c r="F201" s="130"/>
      <c r="G201" s="50"/>
      <c r="O201" s="130"/>
      <c r="P201" s="130"/>
      <c r="Q201" s="130"/>
      <c r="R201" s="42"/>
      <c r="S201" s="130"/>
      <c r="T201" s="42"/>
    </row>
    <row r="202" spans="4:20" x14ac:dyDescent="0.3">
      <c r="D202" s="50"/>
      <c r="F202" s="130"/>
      <c r="G202" s="50"/>
      <c r="O202" s="130"/>
      <c r="P202" s="130"/>
      <c r="Q202" s="130"/>
      <c r="R202" s="42"/>
      <c r="S202" s="130"/>
      <c r="T202" s="42"/>
    </row>
    <row r="203" spans="4:20" x14ac:dyDescent="0.3">
      <c r="D203" s="50"/>
      <c r="F203" s="130"/>
      <c r="G203" s="50"/>
      <c r="O203" s="130"/>
      <c r="P203" s="130"/>
      <c r="Q203" s="130"/>
      <c r="R203" s="42"/>
      <c r="S203" s="130"/>
      <c r="T203" s="42"/>
    </row>
    <row r="204" spans="4:20" x14ac:dyDescent="0.3">
      <c r="D204" s="50"/>
      <c r="F204" s="130"/>
      <c r="G204" s="50"/>
      <c r="O204" s="130"/>
      <c r="P204" s="130"/>
      <c r="Q204" s="130"/>
      <c r="R204" s="42"/>
      <c r="S204" s="130"/>
      <c r="T204" s="42"/>
    </row>
    <row r="205" spans="4:20" x14ac:dyDescent="0.3">
      <c r="D205" s="50"/>
      <c r="F205" s="130"/>
      <c r="G205" s="50"/>
      <c r="O205" s="130"/>
      <c r="P205" s="130"/>
      <c r="Q205" s="130"/>
      <c r="R205" s="42"/>
      <c r="S205" s="130"/>
      <c r="T205" s="42"/>
    </row>
    <row r="206" spans="4:20" x14ac:dyDescent="0.3">
      <c r="D206" s="50"/>
      <c r="F206" s="130"/>
      <c r="G206" s="50"/>
      <c r="O206" s="130"/>
      <c r="P206" s="130"/>
      <c r="Q206" s="130"/>
      <c r="R206" s="42"/>
      <c r="S206" s="130"/>
      <c r="T206" s="42"/>
    </row>
    <row r="207" spans="4:20" x14ac:dyDescent="0.3">
      <c r="D207" s="50"/>
      <c r="F207" s="130"/>
      <c r="G207" s="50"/>
      <c r="O207" s="130"/>
      <c r="P207" s="130"/>
      <c r="Q207" s="130"/>
      <c r="R207" s="42"/>
      <c r="S207" s="130"/>
      <c r="T207" s="42"/>
    </row>
    <row r="208" spans="4:20" x14ac:dyDescent="0.3">
      <c r="D208" s="50"/>
      <c r="F208" s="130"/>
      <c r="G208" s="50"/>
      <c r="O208" s="130"/>
      <c r="P208" s="130"/>
      <c r="Q208" s="130"/>
      <c r="R208" s="42"/>
      <c r="S208" s="130"/>
      <c r="T208" s="42"/>
    </row>
    <row r="209" spans="4:20" x14ac:dyDescent="0.3">
      <c r="D209" s="50"/>
      <c r="F209" s="130"/>
      <c r="G209" s="50"/>
      <c r="O209" s="130"/>
      <c r="P209" s="130"/>
      <c r="Q209" s="130"/>
      <c r="R209" s="42"/>
      <c r="S209" s="130"/>
      <c r="T209" s="42"/>
    </row>
    <row r="210" spans="4:20" x14ac:dyDescent="0.3">
      <c r="D210" s="50"/>
      <c r="F210" s="130"/>
      <c r="G210" s="50"/>
      <c r="O210" s="130"/>
      <c r="P210" s="130"/>
      <c r="Q210" s="130"/>
      <c r="R210" s="42"/>
      <c r="S210" s="130"/>
      <c r="T210" s="42"/>
    </row>
    <row r="211" spans="4:20" x14ac:dyDescent="0.3">
      <c r="D211" s="50"/>
      <c r="F211" s="130"/>
      <c r="G211" s="50"/>
      <c r="O211" s="130"/>
      <c r="P211" s="130"/>
      <c r="Q211" s="130"/>
      <c r="R211" s="42"/>
      <c r="S211" s="130"/>
      <c r="T211" s="42"/>
    </row>
    <row r="212" spans="4:20" x14ac:dyDescent="0.3">
      <c r="D212" s="50"/>
      <c r="F212" s="130"/>
      <c r="G212" s="50"/>
      <c r="O212" s="130"/>
      <c r="P212" s="130"/>
      <c r="Q212" s="130"/>
      <c r="R212" s="42"/>
      <c r="S212" s="130"/>
      <c r="T212" s="42"/>
    </row>
    <row r="213" spans="4:20" x14ac:dyDescent="0.3">
      <c r="D213" s="50"/>
      <c r="F213" s="130"/>
      <c r="G213" s="50"/>
      <c r="O213" s="130"/>
      <c r="P213" s="130"/>
      <c r="Q213" s="130"/>
      <c r="R213" s="42"/>
      <c r="S213" s="130"/>
      <c r="T213" s="42"/>
    </row>
    <row r="214" spans="4:20" x14ac:dyDescent="0.3">
      <c r="D214" s="50"/>
      <c r="F214" s="130"/>
      <c r="G214" s="50"/>
      <c r="O214" s="130"/>
      <c r="P214" s="130"/>
      <c r="Q214" s="130"/>
      <c r="R214" s="42"/>
      <c r="S214" s="130"/>
      <c r="T214" s="42"/>
    </row>
    <row r="215" spans="4:20" x14ac:dyDescent="0.3">
      <c r="D215" s="50"/>
      <c r="F215" s="130"/>
      <c r="G215" s="50"/>
      <c r="O215" s="130"/>
      <c r="P215" s="130"/>
      <c r="Q215" s="130"/>
      <c r="R215" s="42"/>
      <c r="S215" s="130"/>
      <c r="T215" s="42"/>
    </row>
    <row r="216" spans="4:20" x14ac:dyDescent="0.3">
      <c r="D216" s="50"/>
      <c r="F216" s="130"/>
      <c r="G216" s="50"/>
      <c r="O216" s="130"/>
      <c r="P216" s="130"/>
      <c r="Q216" s="130"/>
      <c r="R216" s="42"/>
      <c r="S216" s="130"/>
      <c r="T216" s="42"/>
    </row>
    <row r="217" spans="4:20" x14ac:dyDescent="0.3">
      <c r="D217" s="50"/>
      <c r="F217" s="130"/>
      <c r="G217" s="50"/>
      <c r="O217" s="130"/>
      <c r="P217" s="130"/>
      <c r="Q217" s="130"/>
      <c r="R217" s="42"/>
      <c r="S217" s="130"/>
      <c r="T217" s="42"/>
    </row>
    <row r="218" spans="4:20" x14ac:dyDescent="0.3">
      <c r="D218" s="50"/>
      <c r="F218" s="130"/>
      <c r="G218" s="50"/>
      <c r="O218" s="130"/>
      <c r="P218" s="130"/>
      <c r="Q218" s="130"/>
      <c r="R218" s="42"/>
      <c r="S218" s="130"/>
      <c r="T218" s="42"/>
    </row>
    <row r="219" spans="4:20" x14ac:dyDescent="0.3">
      <c r="D219" s="50"/>
      <c r="F219" s="130"/>
      <c r="G219" s="50"/>
      <c r="O219" s="130"/>
      <c r="P219" s="130"/>
      <c r="Q219" s="130"/>
      <c r="R219" s="42"/>
      <c r="S219" s="130"/>
      <c r="T219" s="42"/>
    </row>
    <row r="220" spans="4:20" x14ac:dyDescent="0.3">
      <c r="D220" s="50"/>
      <c r="F220" s="130"/>
      <c r="G220" s="50"/>
      <c r="O220" s="130"/>
      <c r="P220" s="130"/>
      <c r="Q220" s="130"/>
      <c r="R220" s="42"/>
      <c r="S220" s="130"/>
      <c r="T220" s="42"/>
    </row>
    <row r="221" spans="4:20" x14ac:dyDescent="0.3">
      <c r="D221" s="50"/>
      <c r="F221" s="130"/>
      <c r="G221" s="50"/>
      <c r="O221" s="130"/>
      <c r="P221" s="130"/>
      <c r="Q221" s="130"/>
      <c r="R221" s="42"/>
      <c r="S221" s="130"/>
      <c r="T221" s="42"/>
    </row>
    <row r="222" spans="4:20" x14ac:dyDescent="0.3">
      <c r="D222" s="50"/>
      <c r="F222" s="130"/>
      <c r="G222" s="50"/>
      <c r="O222" s="130"/>
      <c r="P222" s="130"/>
      <c r="Q222" s="130"/>
      <c r="R222" s="42"/>
      <c r="S222" s="130"/>
      <c r="T222" s="42"/>
    </row>
    <row r="223" spans="4:20" x14ac:dyDescent="0.3">
      <c r="D223" s="50"/>
      <c r="F223" s="130"/>
      <c r="G223" s="50"/>
      <c r="O223" s="130"/>
      <c r="P223" s="130"/>
      <c r="Q223" s="130"/>
      <c r="R223" s="42"/>
      <c r="S223" s="130"/>
      <c r="T223" s="42"/>
    </row>
    <row r="224" spans="4:20" x14ac:dyDescent="0.3">
      <c r="D224" s="50"/>
      <c r="F224" s="130"/>
      <c r="G224" s="50"/>
      <c r="O224" s="130"/>
      <c r="P224" s="130"/>
      <c r="Q224" s="130"/>
      <c r="R224" s="42"/>
      <c r="S224" s="130"/>
      <c r="T224" s="42"/>
    </row>
    <row r="225" spans="3:20" x14ac:dyDescent="0.3">
      <c r="D225" s="50"/>
      <c r="F225" s="130"/>
      <c r="G225" s="50"/>
      <c r="O225" s="130"/>
      <c r="P225" s="130"/>
      <c r="Q225" s="130"/>
      <c r="R225" s="42"/>
      <c r="S225" s="130"/>
      <c r="T225" s="42"/>
    </row>
    <row r="226" spans="3:20" x14ac:dyDescent="0.3">
      <c r="D226" s="50"/>
      <c r="F226" s="130"/>
      <c r="G226" s="50"/>
      <c r="O226" s="130"/>
      <c r="P226" s="130"/>
      <c r="Q226" s="130"/>
      <c r="R226" s="42"/>
      <c r="S226" s="130"/>
      <c r="T226" s="42"/>
    </row>
    <row r="227" spans="3:20" x14ac:dyDescent="0.3">
      <c r="D227" s="50"/>
      <c r="F227" s="130"/>
      <c r="G227" s="50"/>
      <c r="O227" s="130"/>
      <c r="P227" s="130"/>
      <c r="Q227" s="130"/>
      <c r="R227" s="42"/>
      <c r="S227" s="130"/>
      <c r="T227" s="42"/>
    </row>
    <row r="228" spans="3:20" x14ac:dyDescent="0.3">
      <c r="D228" s="50"/>
      <c r="F228" s="130"/>
      <c r="G228" s="50"/>
      <c r="O228" s="130"/>
      <c r="P228" s="130"/>
      <c r="Q228" s="130"/>
      <c r="R228" s="42"/>
      <c r="S228" s="130"/>
      <c r="T228" s="42"/>
    </row>
    <row r="229" spans="3:20" x14ac:dyDescent="0.3">
      <c r="D229" s="50"/>
      <c r="F229" s="130"/>
      <c r="G229" s="50"/>
      <c r="O229" s="130"/>
      <c r="P229" s="130"/>
      <c r="Q229" s="130"/>
      <c r="R229" s="42"/>
      <c r="S229" s="130"/>
      <c r="T229" s="42"/>
    </row>
    <row r="230" spans="3:20" x14ac:dyDescent="0.3">
      <c r="D230" s="50"/>
      <c r="F230" s="130"/>
      <c r="G230" s="50"/>
      <c r="O230" s="130"/>
      <c r="P230" s="130"/>
      <c r="Q230" s="130"/>
      <c r="R230" s="42"/>
      <c r="S230" s="130"/>
      <c r="T230" s="42"/>
    </row>
    <row r="231" spans="3:20" x14ac:dyDescent="0.3">
      <c r="D231" s="50"/>
      <c r="F231" s="130"/>
      <c r="G231" s="50"/>
      <c r="O231" s="130"/>
      <c r="P231" s="130"/>
      <c r="Q231" s="130"/>
      <c r="R231" s="42"/>
      <c r="S231" s="130"/>
      <c r="T231" s="42"/>
    </row>
    <row r="232" spans="3:20" x14ac:dyDescent="0.3">
      <c r="D232" s="50"/>
      <c r="F232" s="130"/>
      <c r="G232" s="50"/>
      <c r="O232" s="130"/>
      <c r="P232" s="130"/>
      <c r="Q232" s="130"/>
      <c r="R232" s="42"/>
      <c r="S232" s="130"/>
      <c r="T232" s="42"/>
    </row>
    <row r="233" spans="3:20" x14ac:dyDescent="0.3">
      <c r="C233" s="130"/>
      <c r="D233" s="50"/>
      <c r="F233" s="130"/>
      <c r="G233" s="50"/>
      <c r="O233" s="130"/>
      <c r="P233" s="130"/>
      <c r="Q233" s="130"/>
      <c r="R233" s="42"/>
      <c r="S233" s="130"/>
      <c r="T233" s="42"/>
    </row>
    <row r="234" spans="3:20" x14ac:dyDescent="0.3">
      <c r="C234" s="42"/>
      <c r="D234" s="50"/>
      <c r="F234" s="130"/>
      <c r="G234" s="50"/>
      <c r="O234" s="130"/>
      <c r="P234" s="130"/>
      <c r="Q234" s="130"/>
      <c r="R234" s="130"/>
      <c r="S234" s="130"/>
      <c r="T234" s="42"/>
    </row>
    <row r="235" spans="3:20" x14ac:dyDescent="0.3">
      <c r="C235" s="42"/>
      <c r="D235" s="50"/>
      <c r="F235" s="130"/>
      <c r="G235" s="50"/>
      <c r="O235" s="130"/>
      <c r="P235" s="130"/>
      <c r="Q235" s="130"/>
      <c r="R235" s="42"/>
      <c r="S235" s="130"/>
      <c r="T235" s="42"/>
    </row>
    <row r="236" spans="3:20" x14ac:dyDescent="0.3">
      <c r="C236" s="42"/>
      <c r="D236" s="50"/>
      <c r="F236" s="130"/>
      <c r="G236" s="50"/>
      <c r="O236" s="130"/>
      <c r="P236" s="130"/>
      <c r="Q236" s="130"/>
      <c r="R236" s="42"/>
      <c r="S236" s="130"/>
      <c r="T236" s="42"/>
    </row>
    <row r="237" spans="3:20" x14ac:dyDescent="0.3">
      <c r="C237" s="42"/>
      <c r="D237" s="50"/>
      <c r="F237" s="130"/>
      <c r="G237" s="50"/>
      <c r="O237" s="130"/>
      <c r="P237" s="130"/>
      <c r="Q237" s="130"/>
      <c r="R237" s="42"/>
      <c r="S237" s="130"/>
      <c r="T237" s="42"/>
    </row>
    <row r="238" spans="3:20" x14ac:dyDescent="0.3">
      <c r="C238" s="42"/>
      <c r="D238" s="50"/>
      <c r="F238" s="130"/>
      <c r="G238" s="50"/>
      <c r="O238" s="130"/>
      <c r="P238" s="130"/>
      <c r="Q238" s="130"/>
      <c r="R238" s="42"/>
      <c r="S238" s="130"/>
      <c r="T238" s="42"/>
    </row>
    <row r="239" spans="3:20" x14ac:dyDescent="0.3">
      <c r="C239" s="42"/>
      <c r="D239" s="50"/>
      <c r="F239" s="130"/>
      <c r="G239" s="50"/>
      <c r="O239" s="130"/>
      <c r="P239" s="130"/>
      <c r="Q239" s="130"/>
      <c r="R239" s="42"/>
      <c r="S239" s="130"/>
      <c r="T239" s="42"/>
    </row>
    <row r="240" spans="3:20" x14ac:dyDescent="0.3">
      <c r="C240" s="42"/>
      <c r="D240" s="50"/>
      <c r="F240" s="130"/>
      <c r="G240" s="50"/>
      <c r="O240" s="130"/>
      <c r="P240" s="130"/>
      <c r="Q240" s="130"/>
      <c r="R240" s="42"/>
      <c r="S240" s="130"/>
      <c r="T240" s="42"/>
    </row>
    <row r="241" spans="3:20" x14ac:dyDescent="0.3">
      <c r="C241" s="42"/>
      <c r="D241" s="50"/>
      <c r="F241" s="130"/>
      <c r="G241" s="50"/>
      <c r="O241" s="130"/>
      <c r="P241" s="130"/>
      <c r="Q241" s="130"/>
      <c r="R241" s="42"/>
      <c r="S241" s="130"/>
      <c r="T241" s="42"/>
    </row>
    <row r="242" spans="3:20" x14ac:dyDescent="0.3">
      <c r="C242" s="42"/>
      <c r="D242" s="50"/>
      <c r="F242" s="130"/>
      <c r="G242" s="50"/>
      <c r="O242" s="130"/>
      <c r="P242" s="130"/>
      <c r="Q242" s="130"/>
      <c r="R242" s="42"/>
      <c r="S242" s="130"/>
      <c r="T242" s="42"/>
    </row>
    <row r="243" spans="3:20" x14ac:dyDescent="0.3">
      <c r="C243" s="42"/>
      <c r="D243" s="50"/>
      <c r="F243" s="130"/>
      <c r="G243" s="50"/>
      <c r="O243" s="130"/>
      <c r="P243" s="130"/>
      <c r="Q243" s="130"/>
      <c r="R243" s="42"/>
      <c r="S243" s="130"/>
      <c r="T243" s="42"/>
    </row>
    <row r="244" spans="3:20" x14ac:dyDescent="0.3">
      <c r="C244" s="42"/>
      <c r="D244" s="50"/>
      <c r="F244" s="130"/>
      <c r="G244" s="50"/>
      <c r="O244" s="130"/>
      <c r="P244" s="130"/>
      <c r="Q244" s="130"/>
      <c r="R244" s="42"/>
      <c r="S244" s="130"/>
      <c r="T244" s="42"/>
    </row>
    <row r="245" spans="3:20" x14ac:dyDescent="0.3">
      <c r="C245" s="42"/>
      <c r="D245" s="50"/>
      <c r="F245" s="130"/>
      <c r="G245" s="50"/>
      <c r="O245" s="130"/>
      <c r="P245" s="130"/>
      <c r="Q245" s="130"/>
      <c r="R245" s="42"/>
      <c r="S245" s="130"/>
      <c r="T245" s="42"/>
    </row>
    <row r="246" spans="3:20" x14ac:dyDescent="0.3">
      <c r="C246" s="42"/>
      <c r="D246" s="50"/>
      <c r="F246" s="130"/>
      <c r="G246" s="50"/>
      <c r="O246" s="130"/>
      <c r="P246" s="130"/>
      <c r="Q246" s="130"/>
      <c r="R246" s="42"/>
      <c r="S246" s="130"/>
      <c r="T246" s="42"/>
    </row>
    <row r="247" spans="3:20" x14ac:dyDescent="0.3">
      <c r="C247" s="42"/>
      <c r="D247" s="50"/>
      <c r="F247" s="130"/>
      <c r="G247" s="50"/>
      <c r="O247" s="130"/>
      <c r="P247" s="130"/>
      <c r="Q247" s="130"/>
      <c r="R247" s="42"/>
      <c r="S247" s="130"/>
      <c r="T247" s="42"/>
    </row>
    <row r="248" spans="3:20" x14ac:dyDescent="0.3">
      <c r="C248" s="42"/>
      <c r="D248" s="50"/>
      <c r="F248" s="130"/>
      <c r="G248" s="50"/>
      <c r="O248" s="130"/>
      <c r="P248" s="130"/>
      <c r="Q248" s="130"/>
      <c r="R248" s="42"/>
      <c r="S248" s="130"/>
      <c r="T248" s="42"/>
    </row>
    <row r="249" spans="3:20" x14ac:dyDescent="0.3">
      <c r="C249" s="42"/>
      <c r="D249" s="50"/>
      <c r="F249" s="130"/>
      <c r="G249" s="50"/>
      <c r="O249" s="130"/>
      <c r="P249" s="130"/>
      <c r="Q249" s="130"/>
      <c r="R249" s="42"/>
      <c r="S249" s="130"/>
      <c r="T249" s="42"/>
    </row>
    <row r="250" spans="3:20" x14ac:dyDescent="0.3">
      <c r="C250" s="42"/>
      <c r="D250" s="50"/>
      <c r="F250" s="130"/>
      <c r="G250" s="50"/>
      <c r="O250" s="130"/>
      <c r="P250" s="130"/>
      <c r="Q250" s="130"/>
      <c r="R250" s="42"/>
      <c r="S250" s="130"/>
      <c r="T250" s="42"/>
    </row>
    <row r="251" spans="3:20" x14ac:dyDescent="0.3">
      <c r="C251" s="42"/>
      <c r="D251" s="50"/>
      <c r="F251" s="130"/>
      <c r="G251" s="50"/>
      <c r="O251" s="130"/>
      <c r="P251" s="130"/>
      <c r="Q251" s="130"/>
      <c r="R251" s="42"/>
      <c r="S251" s="130"/>
      <c r="T251" s="42"/>
    </row>
    <row r="252" spans="3:20" x14ac:dyDescent="0.3">
      <c r="C252" s="42"/>
      <c r="D252" s="50"/>
      <c r="F252" s="130"/>
      <c r="G252" s="50"/>
      <c r="O252" s="130"/>
      <c r="P252" s="130"/>
      <c r="Q252" s="130"/>
      <c r="R252" s="42"/>
      <c r="S252" s="130"/>
      <c r="T252" s="42"/>
    </row>
    <row r="253" spans="3:20" x14ac:dyDescent="0.3">
      <c r="C253" s="42"/>
      <c r="D253" s="50"/>
      <c r="F253" s="130"/>
      <c r="G253" s="50"/>
      <c r="O253" s="130"/>
      <c r="P253" s="130"/>
      <c r="Q253" s="130"/>
      <c r="R253" s="42"/>
      <c r="S253" s="130"/>
      <c r="T253" s="42"/>
    </row>
    <row r="254" spans="3:20" x14ac:dyDescent="0.3">
      <c r="C254" s="42"/>
      <c r="D254" s="50"/>
      <c r="F254" s="130"/>
      <c r="G254" s="50"/>
      <c r="O254" s="130"/>
      <c r="P254" s="130"/>
      <c r="Q254" s="130"/>
      <c r="R254" s="42"/>
      <c r="S254" s="130"/>
      <c r="T254" s="42"/>
    </row>
    <row r="255" spans="3:20" x14ac:dyDescent="0.3">
      <c r="C255" s="42"/>
      <c r="D255" s="50"/>
      <c r="F255" s="130"/>
      <c r="G255" s="50"/>
      <c r="O255" s="130"/>
      <c r="P255" s="130"/>
      <c r="Q255" s="130"/>
      <c r="R255" s="42"/>
      <c r="S255" s="130"/>
      <c r="T255" s="42"/>
    </row>
    <row r="256" spans="3:20" x14ac:dyDescent="0.3">
      <c r="C256" s="42"/>
      <c r="D256" s="50"/>
      <c r="F256" s="130"/>
      <c r="G256" s="50"/>
      <c r="O256" s="130"/>
      <c r="P256" s="130"/>
      <c r="Q256" s="130"/>
      <c r="R256" s="42"/>
      <c r="S256" s="130"/>
      <c r="T256" s="42"/>
    </row>
    <row r="257" spans="3:20" x14ac:dyDescent="0.3">
      <c r="C257" s="42"/>
      <c r="D257" s="50"/>
      <c r="F257" s="130"/>
      <c r="G257" s="50"/>
      <c r="O257" s="130"/>
      <c r="P257" s="130"/>
      <c r="Q257" s="130"/>
      <c r="R257" s="42"/>
      <c r="S257" s="130"/>
      <c r="T257" s="42"/>
    </row>
    <row r="258" spans="3:20" x14ac:dyDescent="0.3">
      <c r="C258" s="42"/>
      <c r="D258" s="50"/>
      <c r="F258" s="130"/>
      <c r="G258" s="50"/>
      <c r="O258" s="130"/>
      <c r="P258" s="130"/>
      <c r="Q258" s="130"/>
      <c r="R258" s="42"/>
      <c r="S258" s="130"/>
      <c r="T258" s="42"/>
    </row>
    <row r="259" spans="3:20" x14ac:dyDescent="0.3">
      <c r="C259" s="42"/>
      <c r="D259" s="50"/>
      <c r="F259" s="130"/>
      <c r="G259" s="50"/>
      <c r="O259" s="130"/>
      <c r="P259" s="130"/>
      <c r="Q259" s="130"/>
      <c r="R259" s="42"/>
      <c r="S259" s="130"/>
      <c r="T259" s="42"/>
    </row>
    <row r="260" spans="3:20" x14ac:dyDescent="0.3">
      <c r="C260" s="42"/>
      <c r="D260" s="50"/>
      <c r="F260" s="130"/>
      <c r="G260" s="50"/>
      <c r="O260" s="130"/>
      <c r="P260" s="130"/>
      <c r="Q260" s="130"/>
      <c r="R260" s="42"/>
      <c r="S260" s="130"/>
      <c r="T260" s="42"/>
    </row>
    <row r="261" spans="3:20" x14ac:dyDescent="0.3">
      <c r="C261" s="42"/>
      <c r="D261" s="50"/>
      <c r="F261" s="130"/>
      <c r="G261" s="50"/>
      <c r="O261" s="130"/>
      <c r="P261" s="130"/>
      <c r="Q261" s="130"/>
      <c r="R261" s="42"/>
      <c r="S261" s="130"/>
      <c r="T261" s="42"/>
    </row>
    <row r="262" spans="3:20" x14ac:dyDescent="0.3">
      <c r="C262" s="42"/>
      <c r="D262" s="50"/>
      <c r="F262" s="130"/>
      <c r="G262" s="50"/>
      <c r="O262" s="130"/>
      <c r="P262" s="130"/>
      <c r="Q262" s="130"/>
      <c r="R262" s="42"/>
      <c r="S262" s="130"/>
      <c r="T262" s="42"/>
    </row>
    <row r="263" spans="3:20" x14ac:dyDescent="0.3">
      <c r="C263" s="42"/>
      <c r="D263" s="50"/>
      <c r="F263" s="130"/>
      <c r="G263" s="50"/>
      <c r="O263" s="130"/>
      <c r="P263" s="130"/>
      <c r="Q263" s="130"/>
      <c r="R263" s="42"/>
      <c r="S263" s="130"/>
      <c r="T263" s="42"/>
    </row>
    <row r="264" spans="3:20" x14ac:dyDescent="0.3">
      <c r="C264" s="42"/>
      <c r="D264" s="50"/>
      <c r="F264" s="130"/>
      <c r="G264" s="50"/>
      <c r="O264" s="130"/>
      <c r="P264" s="130"/>
      <c r="Q264" s="130"/>
      <c r="R264" s="42"/>
      <c r="S264" s="130"/>
      <c r="T264" s="42"/>
    </row>
    <row r="265" spans="3:20" x14ac:dyDescent="0.3">
      <c r="C265" s="42"/>
      <c r="D265" s="50"/>
      <c r="F265" s="130"/>
      <c r="G265" s="50"/>
      <c r="O265" s="130"/>
      <c r="P265" s="130"/>
      <c r="Q265" s="130"/>
      <c r="R265" s="42"/>
      <c r="S265" s="130"/>
      <c r="T265" s="42"/>
    </row>
    <row r="266" spans="3:20" x14ac:dyDescent="0.3">
      <c r="C266" s="42"/>
      <c r="D266" s="50"/>
      <c r="F266" s="130"/>
      <c r="G266" s="50"/>
      <c r="O266" s="130"/>
      <c r="P266" s="130"/>
      <c r="Q266" s="130"/>
      <c r="R266" s="42"/>
      <c r="S266" s="130"/>
      <c r="T266" s="42"/>
    </row>
    <row r="267" spans="3:20" x14ac:dyDescent="0.3">
      <c r="C267" s="42"/>
      <c r="D267" s="50"/>
      <c r="F267" s="130"/>
      <c r="G267" s="50"/>
      <c r="O267" s="130"/>
      <c r="P267" s="130"/>
      <c r="Q267" s="130"/>
      <c r="R267" s="42"/>
      <c r="S267" s="130"/>
      <c r="T267" s="42"/>
    </row>
    <row r="268" spans="3:20" x14ac:dyDescent="0.3">
      <c r="C268" s="42"/>
      <c r="D268" s="50"/>
      <c r="F268" s="130"/>
      <c r="G268" s="50"/>
      <c r="O268" s="130"/>
      <c r="P268" s="130"/>
      <c r="Q268" s="130"/>
      <c r="R268" s="42"/>
      <c r="S268" s="130"/>
      <c r="T268" s="42"/>
    </row>
    <row r="269" spans="3:20" x14ac:dyDescent="0.3">
      <c r="C269" s="42"/>
      <c r="D269" s="50"/>
      <c r="F269" s="130"/>
      <c r="G269" s="50"/>
      <c r="O269" s="130"/>
      <c r="P269" s="130"/>
      <c r="Q269" s="130"/>
      <c r="R269" s="42"/>
      <c r="S269" s="130"/>
      <c r="T269" s="42"/>
    </row>
    <row r="270" spans="3:20" x14ac:dyDescent="0.3">
      <c r="C270" s="42"/>
      <c r="D270" s="50"/>
      <c r="F270" s="130"/>
      <c r="G270" s="50"/>
      <c r="O270" s="130"/>
      <c r="P270" s="130"/>
      <c r="Q270" s="130"/>
      <c r="R270" s="42"/>
      <c r="S270" s="130"/>
      <c r="T270" s="42"/>
    </row>
    <row r="271" spans="3:20" x14ac:dyDescent="0.3">
      <c r="C271" s="42"/>
      <c r="D271" s="50"/>
      <c r="F271" s="130"/>
      <c r="G271" s="50"/>
      <c r="O271" s="130"/>
      <c r="P271" s="130"/>
      <c r="Q271" s="130"/>
      <c r="R271" s="42"/>
      <c r="S271" s="130"/>
      <c r="T271" s="42"/>
    </row>
    <row r="272" spans="3:20" x14ac:dyDescent="0.3">
      <c r="C272" s="42"/>
      <c r="D272" s="50"/>
      <c r="F272" s="130"/>
      <c r="G272" s="50"/>
      <c r="O272" s="130"/>
      <c r="P272" s="130"/>
      <c r="Q272" s="130"/>
      <c r="R272" s="42"/>
      <c r="S272" s="130"/>
      <c r="T272" s="42"/>
    </row>
    <row r="273" spans="3:20" x14ac:dyDescent="0.3">
      <c r="C273" s="42"/>
      <c r="D273" s="50"/>
      <c r="F273" s="130"/>
      <c r="G273" s="50"/>
      <c r="O273" s="130"/>
      <c r="P273" s="130"/>
      <c r="Q273" s="130"/>
      <c r="R273" s="42"/>
      <c r="S273" s="130"/>
      <c r="T273" s="42"/>
    </row>
    <row r="274" spans="3:20" x14ac:dyDescent="0.3">
      <c r="C274" s="42"/>
      <c r="D274" s="50"/>
      <c r="F274" s="130"/>
      <c r="G274" s="50"/>
      <c r="O274" s="130"/>
      <c r="P274" s="130"/>
      <c r="Q274" s="130"/>
      <c r="R274" s="42"/>
      <c r="S274" s="130"/>
      <c r="T274" s="42"/>
    </row>
    <row r="275" spans="3:20" x14ac:dyDescent="0.3">
      <c r="C275" s="42"/>
      <c r="D275" s="50"/>
      <c r="F275" s="130"/>
      <c r="G275" s="50"/>
      <c r="O275" s="130"/>
      <c r="P275" s="130"/>
      <c r="Q275" s="130"/>
      <c r="R275" s="42"/>
      <c r="S275" s="130"/>
      <c r="T275" s="42"/>
    </row>
    <row r="276" spans="3:20" x14ac:dyDescent="0.3">
      <c r="C276" s="42"/>
      <c r="D276" s="50"/>
      <c r="F276" s="130"/>
      <c r="G276" s="50"/>
      <c r="O276" s="130"/>
      <c r="P276" s="130"/>
      <c r="Q276" s="130"/>
      <c r="R276" s="42"/>
      <c r="S276" s="130"/>
      <c r="T276" s="42"/>
    </row>
    <row r="277" spans="3:20" x14ac:dyDescent="0.3">
      <c r="C277" s="42"/>
      <c r="D277" s="50"/>
      <c r="F277" s="130"/>
      <c r="G277" s="50"/>
      <c r="O277" s="130"/>
      <c r="P277" s="130"/>
      <c r="Q277" s="130"/>
      <c r="R277" s="42"/>
      <c r="S277" s="130"/>
      <c r="T277" s="42"/>
    </row>
    <row r="278" spans="3:20" x14ac:dyDescent="0.3">
      <c r="C278" s="42"/>
      <c r="D278" s="50"/>
      <c r="F278" s="130"/>
      <c r="G278" s="50"/>
      <c r="O278" s="130"/>
      <c r="P278" s="130"/>
      <c r="Q278" s="130"/>
      <c r="R278" s="42"/>
      <c r="S278" s="130"/>
      <c r="T278" s="42"/>
    </row>
    <row r="279" spans="3:20" x14ac:dyDescent="0.3">
      <c r="C279" s="42"/>
      <c r="D279" s="50"/>
      <c r="F279" s="130"/>
      <c r="G279" s="50"/>
      <c r="O279" s="130"/>
      <c r="P279" s="130"/>
      <c r="Q279" s="130"/>
      <c r="R279" s="42"/>
      <c r="S279" s="130"/>
      <c r="T279" s="42"/>
    </row>
    <row r="280" spans="3:20" x14ac:dyDescent="0.3">
      <c r="C280" s="42"/>
      <c r="D280" s="50"/>
      <c r="F280" s="130"/>
      <c r="G280" s="50"/>
      <c r="O280" s="130"/>
      <c r="P280" s="130"/>
      <c r="Q280" s="130"/>
      <c r="R280" s="42"/>
      <c r="S280" s="130"/>
      <c r="T280" s="42"/>
    </row>
    <row r="281" spans="3:20" x14ac:dyDescent="0.3">
      <c r="C281" s="42"/>
      <c r="D281" s="50"/>
      <c r="F281" s="130"/>
      <c r="G281" s="50"/>
      <c r="O281" s="130"/>
      <c r="P281" s="130"/>
      <c r="Q281" s="130"/>
      <c r="R281" s="42"/>
      <c r="S281" s="130"/>
      <c r="T281" s="42"/>
    </row>
    <row r="282" spans="3:20" x14ac:dyDescent="0.3">
      <c r="C282" s="42"/>
      <c r="D282" s="50"/>
      <c r="F282" s="130"/>
      <c r="G282" s="50"/>
      <c r="O282" s="130"/>
      <c r="P282" s="130"/>
      <c r="Q282" s="130"/>
      <c r="R282" s="42"/>
      <c r="S282" s="130"/>
      <c r="T282" s="42"/>
    </row>
    <row r="283" spans="3:20" x14ac:dyDescent="0.3">
      <c r="C283" s="42"/>
      <c r="D283" s="50"/>
      <c r="F283" s="130"/>
      <c r="G283" s="50"/>
      <c r="O283" s="130"/>
      <c r="P283" s="130"/>
      <c r="Q283" s="130"/>
      <c r="R283" s="42"/>
      <c r="S283" s="130"/>
      <c r="T283" s="42"/>
    </row>
    <row r="284" spans="3:20" x14ac:dyDescent="0.3">
      <c r="C284" s="42"/>
      <c r="D284" s="50"/>
      <c r="F284" s="130"/>
      <c r="G284" s="50"/>
      <c r="O284" s="130"/>
      <c r="P284" s="130"/>
      <c r="Q284" s="130"/>
      <c r="R284" s="42"/>
      <c r="S284" s="130"/>
      <c r="T284" s="42"/>
    </row>
    <row r="285" spans="3:20" x14ac:dyDescent="0.3">
      <c r="C285" s="42"/>
      <c r="D285" s="50"/>
      <c r="F285" s="130"/>
      <c r="G285" s="50"/>
      <c r="O285" s="130"/>
      <c r="P285" s="130"/>
      <c r="Q285" s="130"/>
      <c r="R285" s="42"/>
      <c r="S285" s="130"/>
      <c r="T285" s="42"/>
    </row>
    <row r="286" spans="3:20" x14ac:dyDescent="0.3">
      <c r="C286" s="42"/>
      <c r="D286" s="50"/>
      <c r="F286" s="130"/>
      <c r="G286" s="50"/>
      <c r="O286" s="130"/>
      <c r="P286" s="130"/>
      <c r="Q286" s="130"/>
      <c r="R286" s="42"/>
      <c r="S286" s="130"/>
      <c r="T286" s="42"/>
    </row>
    <row r="287" spans="3:20" x14ac:dyDescent="0.3">
      <c r="C287" s="42"/>
      <c r="D287" s="50"/>
      <c r="F287" s="130"/>
      <c r="G287" s="50"/>
      <c r="O287" s="130"/>
      <c r="P287" s="130"/>
      <c r="Q287" s="130"/>
      <c r="R287" s="42"/>
      <c r="S287" s="130"/>
      <c r="T287" s="42"/>
    </row>
    <row r="288" spans="3:20" x14ac:dyDescent="0.3">
      <c r="C288" s="42"/>
      <c r="D288" s="50"/>
      <c r="F288" s="130"/>
      <c r="G288" s="50"/>
      <c r="O288" s="130"/>
      <c r="P288" s="130"/>
      <c r="Q288" s="130"/>
      <c r="R288" s="42"/>
      <c r="S288" s="130"/>
      <c r="T288" s="42"/>
    </row>
    <row r="289" spans="3:20" x14ac:dyDescent="0.3">
      <c r="C289" s="42"/>
      <c r="D289" s="50"/>
      <c r="F289" s="130"/>
      <c r="G289" s="50"/>
      <c r="O289" s="130"/>
      <c r="P289" s="130"/>
      <c r="Q289" s="130"/>
      <c r="R289" s="42"/>
      <c r="S289" s="130"/>
      <c r="T289" s="42"/>
    </row>
    <row r="290" spans="3:20" x14ac:dyDescent="0.3">
      <c r="C290" s="42"/>
      <c r="D290" s="50"/>
      <c r="F290" s="130"/>
      <c r="G290" s="50"/>
      <c r="O290" s="130"/>
      <c r="P290" s="130"/>
      <c r="Q290" s="130"/>
      <c r="R290" s="42"/>
      <c r="S290" s="130"/>
      <c r="T290" s="42"/>
    </row>
    <row r="291" spans="3:20" x14ac:dyDescent="0.3">
      <c r="C291" s="42"/>
      <c r="D291" s="50"/>
      <c r="F291" s="130"/>
      <c r="G291" s="50"/>
      <c r="O291" s="130"/>
      <c r="P291" s="130"/>
      <c r="Q291" s="130"/>
      <c r="R291" s="42"/>
      <c r="S291" s="130"/>
      <c r="T291" s="42"/>
    </row>
    <row r="292" spans="3:20" x14ac:dyDescent="0.3">
      <c r="C292" s="42"/>
      <c r="D292" s="50"/>
      <c r="F292" s="130"/>
      <c r="G292" s="50"/>
      <c r="O292" s="130"/>
      <c r="P292" s="130"/>
      <c r="Q292" s="130"/>
      <c r="R292" s="42"/>
      <c r="S292" s="130"/>
      <c r="T292" s="42"/>
    </row>
    <row r="293" spans="3:20" x14ac:dyDescent="0.3">
      <c r="C293" s="42"/>
      <c r="D293" s="50"/>
      <c r="F293" s="130"/>
      <c r="G293" s="50"/>
      <c r="O293" s="130"/>
      <c r="P293" s="130"/>
      <c r="Q293" s="130"/>
      <c r="R293" s="42"/>
      <c r="S293" s="130"/>
      <c r="T293" s="42"/>
    </row>
    <row r="294" spans="3:20" x14ac:dyDescent="0.3">
      <c r="C294" s="42"/>
      <c r="D294" s="50"/>
      <c r="F294" s="130"/>
      <c r="G294" s="50"/>
      <c r="O294" s="130"/>
      <c r="P294" s="130"/>
      <c r="Q294" s="130"/>
      <c r="R294" s="42"/>
      <c r="S294" s="130"/>
      <c r="T294" s="42"/>
    </row>
    <row r="295" spans="3:20" x14ac:dyDescent="0.3">
      <c r="C295" s="42"/>
      <c r="D295" s="50"/>
      <c r="F295" s="130"/>
      <c r="G295" s="50"/>
      <c r="O295" s="130"/>
      <c r="P295" s="130"/>
      <c r="Q295" s="130"/>
      <c r="R295" s="42"/>
      <c r="S295" s="130"/>
      <c r="T295" s="42"/>
    </row>
    <row r="296" spans="3:20" x14ac:dyDescent="0.3">
      <c r="C296" s="42"/>
      <c r="D296" s="50"/>
      <c r="F296" s="130"/>
      <c r="G296" s="50"/>
      <c r="O296" s="130"/>
      <c r="P296" s="130"/>
      <c r="Q296" s="130"/>
      <c r="R296" s="42"/>
      <c r="S296" s="130"/>
      <c r="T296" s="42"/>
    </row>
    <row r="297" spans="3:20" x14ac:dyDescent="0.3">
      <c r="C297" s="42"/>
      <c r="D297" s="50"/>
      <c r="F297" s="130"/>
      <c r="G297" s="50"/>
      <c r="O297" s="130"/>
      <c r="P297" s="130"/>
      <c r="Q297" s="130"/>
      <c r="R297" s="42"/>
      <c r="S297" s="130"/>
      <c r="T297" s="42"/>
    </row>
    <row r="298" spans="3:20" x14ac:dyDescent="0.3">
      <c r="C298" s="42"/>
      <c r="D298" s="50"/>
      <c r="F298" s="130"/>
      <c r="G298" s="50"/>
      <c r="O298" s="130"/>
      <c r="P298" s="130"/>
      <c r="Q298" s="130"/>
      <c r="R298" s="42"/>
      <c r="S298" s="130"/>
      <c r="T298" s="42"/>
    </row>
    <row r="299" spans="3:20" x14ac:dyDescent="0.3">
      <c r="C299" s="42"/>
      <c r="D299" s="50"/>
      <c r="F299" s="130"/>
      <c r="G299" s="50"/>
      <c r="O299" s="130"/>
      <c r="P299" s="130"/>
      <c r="Q299" s="130"/>
      <c r="R299" s="42"/>
      <c r="S299" s="130"/>
      <c r="T299" s="42"/>
    </row>
    <row r="300" spans="3:20" x14ac:dyDescent="0.3">
      <c r="C300" s="42"/>
      <c r="D300" s="50"/>
      <c r="F300" s="130"/>
      <c r="G300" s="50"/>
      <c r="O300" s="130"/>
      <c r="P300" s="130"/>
      <c r="Q300" s="130"/>
      <c r="R300" s="42"/>
      <c r="S300" s="130"/>
      <c r="T300" s="42"/>
    </row>
    <row r="301" spans="3:20" x14ac:dyDescent="0.3">
      <c r="C301" s="42"/>
      <c r="D301" s="50"/>
      <c r="F301" s="130"/>
      <c r="G301" s="50"/>
      <c r="O301" s="130"/>
      <c r="P301" s="130"/>
      <c r="Q301" s="130"/>
      <c r="R301" s="42"/>
      <c r="S301" s="130"/>
      <c r="T301" s="42"/>
    </row>
    <row r="302" spans="3:20" x14ac:dyDescent="0.3">
      <c r="C302" s="42"/>
      <c r="D302" s="50"/>
      <c r="F302" s="130"/>
      <c r="G302" s="50"/>
      <c r="O302" s="130"/>
      <c r="P302" s="130"/>
      <c r="Q302" s="130"/>
      <c r="R302" s="42"/>
      <c r="S302" s="130"/>
      <c r="T302" s="42"/>
    </row>
    <row r="303" spans="3:20" x14ac:dyDescent="0.3">
      <c r="C303" s="42"/>
      <c r="D303" s="50"/>
      <c r="F303" s="130"/>
      <c r="G303" s="50"/>
      <c r="O303" s="130"/>
      <c r="P303" s="130"/>
      <c r="Q303" s="130"/>
      <c r="R303" s="42"/>
      <c r="S303" s="130"/>
      <c r="T303" s="42"/>
    </row>
    <row r="304" spans="3:20" x14ac:dyDescent="0.3">
      <c r="C304" s="42"/>
      <c r="D304" s="50"/>
      <c r="F304" s="130"/>
      <c r="G304" s="50"/>
      <c r="O304" s="130"/>
      <c r="P304" s="130"/>
      <c r="Q304" s="130"/>
      <c r="R304" s="42"/>
      <c r="S304" s="130"/>
      <c r="T304" s="42"/>
    </row>
    <row r="305" spans="3:20" x14ac:dyDescent="0.3">
      <c r="C305" s="42"/>
      <c r="D305" s="50"/>
      <c r="F305" s="130"/>
      <c r="G305" s="50"/>
      <c r="O305" s="130"/>
      <c r="P305" s="130"/>
      <c r="Q305" s="130"/>
      <c r="R305" s="42"/>
      <c r="S305" s="130"/>
      <c r="T305" s="42"/>
    </row>
    <row r="306" spans="3:20" x14ac:dyDescent="0.3">
      <c r="C306" s="42"/>
      <c r="D306" s="50"/>
      <c r="F306" s="130"/>
      <c r="G306" s="50"/>
      <c r="O306" s="130"/>
      <c r="P306" s="130"/>
      <c r="Q306" s="130"/>
      <c r="R306" s="42"/>
      <c r="S306" s="130"/>
      <c r="T306" s="42"/>
    </row>
    <row r="307" spans="3:20" x14ac:dyDescent="0.3">
      <c r="C307" s="42"/>
      <c r="D307" s="50"/>
      <c r="F307" s="130"/>
      <c r="G307" s="50"/>
      <c r="O307" s="130"/>
      <c r="P307" s="130"/>
      <c r="Q307" s="130"/>
      <c r="R307" s="42"/>
      <c r="S307" s="130"/>
      <c r="T307" s="42"/>
    </row>
    <row r="308" spans="3:20" x14ac:dyDescent="0.3">
      <c r="C308" s="42"/>
      <c r="D308" s="50"/>
      <c r="F308" s="130"/>
      <c r="G308" s="50"/>
      <c r="O308" s="130"/>
      <c r="P308" s="130"/>
      <c r="Q308" s="130"/>
      <c r="R308" s="42"/>
      <c r="S308" s="130"/>
      <c r="T308" s="42"/>
    </row>
    <row r="309" spans="3:20" x14ac:dyDescent="0.3">
      <c r="C309" s="42"/>
      <c r="D309" s="50"/>
      <c r="F309" s="130"/>
      <c r="G309" s="50"/>
      <c r="O309" s="130"/>
      <c r="P309" s="130"/>
      <c r="Q309" s="130"/>
      <c r="R309" s="42"/>
      <c r="S309" s="130"/>
      <c r="T309" s="42"/>
    </row>
    <row r="310" spans="3:20" x14ac:dyDescent="0.3">
      <c r="C310" s="42"/>
      <c r="D310" s="50"/>
      <c r="F310" s="130"/>
      <c r="G310" s="50"/>
      <c r="O310" s="130"/>
      <c r="P310" s="130"/>
      <c r="Q310" s="130"/>
      <c r="R310" s="42"/>
      <c r="S310" s="130"/>
      <c r="T310" s="42"/>
    </row>
    <row r="311" spans="3:20" x14ac:dyDescent="0.3">
      <c r="C311" s="42"/>
      <c r="D311" s="50"/>
      <c r="F311" s="130"/>
      <c r="G311" s="50"/>
      <c r="O311" s="130"/>
      <c r="P311" s="130"/>
      <c r="Q311" s="130"/>
      <c r="R311" s="42"/>
      <c r="S311" s="130"/>
      <c r="T311" s="42"/>
    </row>
    <row r="312" spans="3:20" x14ac:dyDescent="0.3">
      <c r="C312" s="42"/>
      <c r="D312" s="50"/>
      <c r="F312" s="130"/>
      <c r="G312" s="50"/>
      <c r="O312" s="130"/>
      <c r="P312" s="130"/>
      <c r="Q312" s="130"/>
      <c r="R312" s="42"/>
      <c r="S312" s="130"/>
      <c r="T312" s="42"/>
    </row>
    <row r="313" spans="3:20" x14ac:dyDescent="0.3">
      <c r="C313" s="42"/>
      <c r="D313" s="50"/>
      <c r="F313" s="130"/>
      <c r="G313" s="50"/>
      <c r="O313" s="130"/>
      <c r="P313" s="130"/>
      <c r="Q313" s="130"/>
      <c r="R313" s="42"/>
      <c r="S313" s="130"/>
      <c r="T313" s="42"/>
    </row>
    <row r="314" spans="3:20" x14ac:dyDescent="0.3">
      <c r="C314" s="42"/>
      <c r="D314" s="50"/>
      <c r="F314" s="130"/>
      <c r="G314" s="50"/>
      <c r="O314" s="130"/>
      <c r="P314" s="130"/>
      <c r="Q314" s="130"/>
      <c r="R314" s="42"/>
      <c r="S314" s="130"/>
      <c r="T314" s="42"/>
    </row>
    <row r="315" spans="3:20" x14ac:dyDescent="0.3">
      <c r="C315" s="42"/>
      <c r="D315" s="50"/>
      <c r="F315" s="130"/>
      <c r="G315" s="50"/>
      <c r="O315" s="130"/>
      <c r="P315" s="130"/>
      <c r="Q315" s="130"/>
      <c r="R315" s="42"/>
      <c r="S315" s="130"/>
      <c r="T315" s="42"/>
    </row>
    <row r="316" spans="3:20" x14ac:dyDescent="0.3">
      <c r="C316" s="42"/>
      <c r="D316" s="50"/>
      <c r="F316" s="130"/>
      <c r="G316" s="50"/>
      <c r="O316" s="130"/>
      <c r="P316" s="130"/>
      <c r="Q316" s="130"/>
      <c r="R316" s="42"/>
      <c r="S316" s="130"/>
      <c r="T316" s="42"/>
    </row>
    <row r="317" spans="3:20" x14ac:dyDescent="0.3">
      <c r="C317" s="42"/>
      <c r="D317" s="50"/>
      <c r="F317" s="130"/>
      <c r="G317" s="50"/>
      <c r="O317" s="130"/>
      <c r="P317" s="130"/>
      <c r="Q317" s="130"/>
      <c r="R317" s="42"/>
      <c r="S317" s="130"/>
      <c r="T317" s="42"/>
    </row>
    <row r="318" spans="3:20" x14ac:dyDescent="0.3">
      <c r="C318" s="42"/>
      <c r="D318" s="50"/>
      <c r="F318" s="130"/>
      <c r="G318" s="50"/>
      <c r="O318" s="130"/>
      <c r="P318" s="130"/>
      <c r="Q318" s="130"/>
      <c r="R318" s="42"/>
      <c r="S318" s="130"/>
      <c r="T318" s="42"/>
    </row>
    <row r="319" spans="3:20" x14ac:dyDescent="0.3">
      <c r="C319" s="42"/>
      <c r="D319" s="50"/>
      <c r="F319" s="130"/>
      <c r="G319" s="50"/>
      <c r="O319" s="130"/>
      <c r="P319" s="130"/>
      <c r="Q319" s="130"/>
      <c r="R319" s="42"/>
      <c r="S319" s="130"/>
      <c r="T319" s="42"/>
    </row>
    <row r="320" spans="3:20" x14ac:dyDescent="0.3">
      <c r="C320" s="42"/>
      <c r="D320" s="50"/>
      <c r="F320" s="130"/>
      <c r="G320" s="50"/>
      <c r="O320" s="130"/>
      <c r="P320" s="130"/>
      <c r="Q320" s="130"/>
      <c r="R320" s="42"/>
      <c r="S320" s="130"/>
      <c r="T320" s="42"/>
    </row>
    <row r="321" spans="3:20" x14ac:dyDescent="0.3">
      <c r="C321" s="42"/>
      <c r="D321" s="50"/>
      <c r="F321" s="130"/>
      <c r="G321" s="50"/>
      <c r="O321" s="130"/>
      <c r="P321" s="130"/>
      <c r="Q321" s="130"/>
      <c r="R321" s="42"/>
      <c r="S321" s="130"/>
      <c r="T321" s="42"/>
    </row>
    <row r="322" spans="3:20" x14ac:dyDescent="0.3">
      <c r="C322" s="42"/>
      <c r="D322" s="50"/>
      <c r="F322" s="130"/>
      <c r="G322" s="50"/>
      <c r="O322" s="130"/>
      <c r="P322" s="130"/>
      <c r="Q322" s="130"/>
      <c r="R322" s="42"/>
      <c r="S322" s="130"/>
      <c r="T322" s="42"/>
    </row>
    <row r="323" spans="3:20" x14ac:dyDescent="0.3">
      <c r="C323" s="42"/>
      <c r="D323" s="50"/>
      <c r="F323" s="130"/>
      <c r="G323" s="50"/>
      <c r="O323" s="130"/>
      <c r="P323" s="130"/>
      <c r="Q323" s="130"/>
      <c r="R323" s="42"/>
      <c r="S323" s="130"/>
      <c r="T323" s="42"/>
    </row>
    <row r="324" spans="3:20" x14ac:dyDescent="0.3">
      <c r="C324" s="42"/>
      <c r="D324" s="50"/>
      <c r="F324" s="130"/>
      <c r="G324" s="50"/>
      <c r="O324" s="130"/>
      <c r="P324" s="130"/>
      <c r="Q324" s="130"/>
      <c r="R324" s="42"/>
      <c r="S324" s="130"/>
      <c r="T324" s="42"/>
    </row>
    <row r="325" spans="3:20" x14ac:dyDescent="0.3">
      <c r="C325" s="42"/>
      <c r="D325" s="50"/>
      <c r="F325" s="130"/>
      <c r="G325" s="50"/>
      <c r="O325" s="130"/>
      <c r="P325" s="130"/>
      <c r="Q325" s="130"/>
      <c r="R325" s="42"/>
      <c r="S325" s="130"/>
      <c r="T325" s="42"/>
    </row>
    <row r="326" spans="3:20" x14ac:dyDescent="0.3">
      <c r="C326" s="42"/>
      <c r="D326" s="50"/>
      <c r="F326" s="130"/>
      <c r="G326" s="50"/>
      <c r="O326" s="130"/>
      <c r="P326" s="130"/>
      <c r="Q326" s="130"/>
      <c r="R326" s="42"/>
      <c r="S326" s="130"/>
      <c r="T326" s="42"/>
    </row>
    <row r="327" spans="3:20" x14ac:dyDescent="0.3">
      <c r="C327" s="42"/>
      <c r="D327" s="50"/>
      <c r="F327" s="130"/>
      <c r="G327" s="50"/>
      <c r="O327" s="130"/>
      <c r="P327" s="130"/>
      <c r="Q327" s="130"/>
      <c r="R327" s="42"/>
      <c r="S327" s="130"/>
      <c r="T327" s="42"/>
    </row>
    <row r="328" spans="3:20" x14ac:dyDescent="0.3">
      <c r="C328" s="42"/>
      <c r="D328" s="50"/>
      <c r="F328" s="130"/>
      <c r="G328" s="50"/>
      <c r="O328" s="130"/>
      <c r="P328" s="130"/>
      <c r="Q328" s="130"/>
      <c r="R328" s="42"/>
      <c r="S328" s="130"/>
      <c r="T328" s="42"/>
    </row>
    <row r="329" spans="3:20" x14ac:dyDescent="0.3">
      <c r="C329" s="42"/>
      <c r="D329" s="50"/>
      <c r="F329" s="130"/>
      <c r="G329" s="50"/>
      <c r="O329" s="130"/>
      <c r="P329" s="130"/>
      <c r="Q329" s="130"/>
      <c r="R329" s="42"/>
      <c r="S329" s="130"/>
      <c r="T329" s="42"/>
    </row>
    <row r="330" spans="3:20" x14ac:dyDescent="0.3">
      <c r="C330" s="42"/>
      <c r="D330" s="50"/>
      <c r="F330" s="130"/>
      <c r="G330" s="50"/>
      <c r="O330" s="130"/>
      <c r="P330" s="130"/>
      <c r="Q330" s="130"/>
      <c r="R330" s="42"/>
      <c r="S330" s="130"/>
      <c r="T330" s="42"/>
    </row>
    <row r="331" spans="3:20" x14ac:dyDescent="0.3">
      <c r="C331" s="42"/>
      <c r="D331" s="50"/>
      <c r="F331" s="130"/>
      <c r="G331" s="50"/>
      <c r="O331" s="130"/>
      <c r="P331" s="130"/>
      <c r="Q331" s="130"/>
      <c r="R331" s="42"/>
      <c r="S331" s="130"/>
      <c r="T331" s="42"/>
    </row>
    <row r="332" spans="3:20" x14ac:dyDescent="0.3">
      <c r="C332" s="42"/>
      <c r="D332" s="50"/>
      <c r="F332" s="130"/>
      <c r="G332" s="50"/>
      <c r="O332" s="130"/>
      <c r="P332" s="130"/>
      <c r="Q332" s="130"/>
      <c r="R332" s="42"/>
      <c r="S332" s="130"/>
      <c r="T332" s="42"/>
    </row>
    <row r="333" spans="3:20" x14ac:dyDescent="0.3">
      <c r="C333" s="42"/>
      <c r="D333" s="50"/>
      <c r="F333" s="130"/>
      <c r="G333" s="50"/>
      <c r="O333" s="130"/>
      <c r="P333" s="130"/>
      <c r="Q333" s="130"/>
      <c r="R333" s="42"/>
      <c r="S333" s="130"/>
      <c r="T333" s="42"/>
    </row>
    <row r="334" spans="3:20" x14ac:dyDescent="0.3">
      <c r="C334" s="42"/>
      <c r="D334" s="50"/>
      <c r="F334" s="130"/>
      <c r="G334" s="50"/>
      <c r="O334" s="130"/>
      <c r="P334" s="130"/>
      <c r="Q334" s="130"/>
      <c r="R334" s="42"/>
      <c r="S334" s="130"/>
      <c r="T334" s="42"/>
    </row>
    <row r="335" spans="3:20" x14ac:dyDescent="0.3">
      <c r="C335" s="42"/>
      <c r="D335" s="50"/>
      <c r="F335" s="130"/>
      <c r="G335" s="50"/>
      <c r="O335" s="130"/>
      <c r="P335" s="130"/>
      <c r="Q335" s="130"/>
      <c r="R335" s="42"/>
      <c r="S335" s="130"/>
      <c r="T335" s="42"/>
    </row>
    <row r="336" spans="3:20" x14ac:dyDescent="0.3">
      <c r="C336" s="42"/>
      <c r="D336" s="50"/>
      <c r="F336" s="130"/>
      <c r="G336" s="50"/>
      <c r="O336" s="130"/>
      <c r="P336" s="130"/>
      <c r="Q336" s="130"/>
      <c r="R336" s="42"/>
      <c r="S336" s="130"/>
      <c r="T336" s="42"/>
    </row>
    <row r="337" spans="3:20" x14ac:dyDescent="0.3">
      <c r="C337" s="42"/>
      <c r="D337" s="50"/>
      <c r="F337" s="130"/>
      <c r="G337" s="50"/>
      <c r="O337" s="130"/>
      <c r="P337" s="130"/>
      <c r="Q337" s="130"/>
      <c r="R337" s="42"/>
      <c r="S337" s="130"/>
      <c r="T337" s="42"/>
    </row>
    <row r="338" spans="3:20" x14ac:dyDescent="0.3">
      <c r="C338" s="42"/>
      <c r="D338" s="50"/>
      <c r="F338" s="130"/>
      <c r="G338" s="50"/>
      <c r="O338" s="130"/>
      <c r="P338" s="130"/>
      <c r="Q338" s="130"/>
      <c r="R338" s="42"/>
      <c r="S338" s="130"/>
      <c r="T338" s="42"/>
    </row>
    <row r="339" spans="3:20" x14ac:dyDescent="0.3">
      <c r="C339" s="42"/>
      <c r="D339" s="50"/>
      <c r="F339" s="130"/>
      <c r="G339" s="50"/>
      <c r="O339" s="130"/>
      <c r="P339" s="130"/>
      <c r="Q339" s="130"/>
      <c r="R339" s="42"/>
      <c r="S339" s="130"/>
      <c r="T339" s="42"/>
    </row>
    <row r="340" spans="3:20" x14ac:dyDescent="0.3">
      <c r="C340" s="42"/>
      <c r="D340" s="50"/>
      <c r="F340" s="130"/>
      <c r="G340" s="50"/>
      <c r="O340" s="130"/>
      <c r="P340" s="130"/>
      <c r="Q340" s="130"/>
      <c r="R340" s="42"/>
      <c r="S340" s="130"/>
      <c r="T340" s="42"/>
    </row>
    <row r="341" spans="3:20" x14ac:dyDescent="0.3">
      <c r="C341" s="42"/>
      <c r="D341" s="50"/>
      <c r="F341" s="130"/>
      <c r="G341" s="50"/>
      <c r="O341" s="130"/>
      <c r="P341" s="130"/>
      <c r="Q341" s="130"/>
      <c r="R341" s="42"/>
      <c r="S341" s="130"/>
      <c r="T341" s="42"/>
    </row>
    <row r="342" spans="3:20" x14ac:dyDescent="0.3">
      <c r="C342" s="42"/>
      <c r="D342" s="50"/>
      <c r="F342" s="130"/>
      <c r="G342" s="50"/>
      <c r="O342" s="130"/>
      <c r="P342" s="130"/>
      <c r="Q342" s="130"/>
      <c r="R342" s="42"/>
      <c r="S342" s="130"/>
      <c r="T342" s="42"/>
    </row>
    <row r="343" spans="3:20" x14ac:dyDescent="0.3">
      <c r="C343" s="42"/>
      <c r="D343" s="50"/>
      <c r="F343" s="130"/>
      <c r="G343" s="50"/>
      <c r="O343" s="130"/>
      <c r="P343" s="130"/>
      <c r="Q343" s="130"/>
      <c r="R343" s="42"/>
      <c r="S343" s="130"/>
      <c r="T343" s="42"/>
    </row>
    <row r="344" spans="3:20" x14ac:dyDescent="0.3">
      <c r="C344" s="42"/>
      <c r="D344" s="50"/>
      <c r="F344" s="130"/>
      <c r="G344" s="50"/>
      <c r="O344" s="130"/>
      <c r="P344" s="130"/>
      <c r="Q344" s="130"/>
      <c r="R344" s="42"/>
      <c r="S344" s="130"/>
      <c r="T344" s="42"/>
    </row>
    <row r="345" spans="3:20" x14ac:dyDescent="0.3">
      <c r="C345" s="42"/>
      <c r="D345" s="50"/>
      <c r="F345" s="130"/>
      <c r="G345" s="50"/>
      <c r="O345" s="130"/>
      <c r="P345" s="130"/>
      <c r="Q345" s="130"/>
      <c r="R345" s="42"/>
      <c r="S345" s="130"/>
      <c r="T345" s="42"/>
    </row>
    <row r="346" spans="3:20" x14ac:dyDescent="0.3">
      <c r="C346" s="42"/>
      <c r="D346" s="50"/>
      <c r="F346" s="130"/>
      <c r="G346" s="50"/>
      <c r="O346" s="130"/>
      <c r="P346" s="130"/>
      <c r="Q346" s="130"/>
      <c r="R346" s="42"/>
      <c r="S346" s="130"/>
      <c r="T346" s="42"/>
    </row>
    <row r="347" spans="3:20" x14ac:dyDescent="0.3">
      <c r="C347" s="42"/>
      <c r="D347" s="50"/>
      <c r="F347" s="130"/>
      <c r="G347" s="50"/>
      <c r="O347" s="130"/>
      <c r="P347" s="130"/>
      <c r="Q347" s="130"/>
      <c r="R347" s="42"/>
      <c r="S347" s="130"/>
      <c r="T347" s="42"/>
    </row>
    <row r="348" spans="3:20" x14ac:dyDescent="0.3">
      <c r="C348" s="42"/>
      <c r="D348" s="50"/>
      <c r="F348" s="130"/>
      <c r="G348" s="50"/>
      <c r="O348" s="130"/>
      <c r="P348" s="130"/>
      <c r="Q348" s="130"/>
      <c r="R348" s="42"/>
      <c r="S348" s="130"/>
      <c r="T348" s="42"/>
    </row>
    <row r="349" spans="3:20" x14ac:dyDescent="0.3">
      <c r="C349" s="42"/>
      <c r="D349" s="50"/>
      <c r="F349" s="130"/>
      <c r="G349" s="50"/>
      <c r="O349" s="130"/>
      <c r="P349" s="130"/>
      <c r="Q349" s="130"/>
      <c r="R349" s="42"/>
      <c r="S349" s="130"/>
      <c r="T349" s="42"/>
    </row>
    <row r="350" spans="3:20" x14ac:dyDescent="0.3">
      <c r="C350" s="42"/>
      <c r="D350" s="50"/>
      <c r="F350" s="130"/>
      <c r="G350" s="50"/>
      <c r="O350" s="130"/>
      <c r="P350" s="130"/>
      <c r="Q350" s="130"/>
      <c r="R350" s="42"/>
      <c r="S350" s="130"/>
      <c r="T350" s="42"/>
    </row>
    <row r="351" spans="3:20" x14ac:dyDescent="0.3">
      <c r="C351" s="130"/>
      <c r="D351" s="50"/>
      <c r="F351" s="130"/>
      <c r="G351" s="50"/>
      <c r="O351" s="130"/>
      <c r="P351" s="130"/>
      <c r="Q351" s="130"/>
      <c r="R351" s="42"/>
      <c r="S351" s="130"/>
      <c r="T351" s="42"/>
    </row>
    <row r="352" spans="3:20" x14ac:dyDescent="0.3">
      <c r="C352" s="42"/>
      <c r="D352" s="50"/>
      <c r="F352" s="130"/>
      <c r="G352" s="50"/>
      <c r="O352" s="130"/>
      <c r="P352" s="130"/>
      <c r="Q352" s="130"/>
      <c r="R352" s="130"/>
      <c r="S352" s="130"/>
      <c r="T352" s="42"/>
    </row>
    <row r="353" spans="3:20" x14ac:dyDescent="0.3">
      <c r="C353" s="42"/>
      <c r="D353" s="50"/>
      <c r="F353" s="130"/>
      <c r="G353" s="50"/>
      <c r="O353" s="130"/>
      <c r="P353" s="130"/>
      <c r="Q353" s="130"/>
      <c r="R353" s="42"/>
      <c r="S353" s="130"/>
      <c r="T353" s="42"/>
    </row>
    <row r="354" spans="3:20" x14ac:dyDescent="0.3">
      <c r="C354" s="42"/>
      <c r="D354" s="50"/>
      <c r="F354" s="130"/>
      <c r="G354" s="50"/>
      <c r="O354" s="130"/>
      <c r="P354" s="130"/>
      <c r="Q354" s="130"/>
      <c r="R354" s="42"/>
      <c r="S354" s="130"/>
      <c r="T354" s="42"/>
    </row>
    <row r="355" spans="3:20" x14ac:dyDescent="0.3">
      <c r="C355" s="42"/>
      <c r="D355" s="50"/>
      <c r="F355" s="130"/>
      <c r="G355" s="50"/>
      <c r="O355" s="130"/>
      <c r="P355" s="130"/>
      <c r="Q355" s="130"/>
      <c r="R355" s="42"/>
      <c r="S355" s="130"/>
      <c r="T355" s="42"/>
    </row>
    <row r="356" spans="3:20" x14ac:dyDescent="0.3">
      <c r="C356" s="42"/>
      <c r="D356" s="50"/>
      <c r="F356" s="130"/>
      <c r="G356" s="50"/>
      <c r="O356" s="130"/>
      <c r="P356" s="130"/>
      <c r="Q356" s="130"/>
      <c r="R356" s="42"/>
      <c r="S356" s="130"/>
      <c r="T356" s="42"/>
    </row>
    <row r="357" spans="3:20" x14ac:dyDescent="0.3">
      <c r="C357" s="42"/>
      <c r="D357" s="50"/>
      <c r="F357" s="130"/>
      <c r="G357" s="50"/>
      <c r="O357" s="130"/>
      <c r="P357" s="130"/>
      <c r="Q357" s="130"/>
      <c r="R357" s="42"/>
      <c r="S357" s="130"/>
      <c r="T357" s="42"/>
    </row>
    <row r="358" spans="3:20" x14ac:dyDescent="0.3">
      <c r="C358" s="42"/>
      <c r="D358" s="50"/>
      <c r="F358" s="130"/>
      <c r="G358" s="50"/>
      <c r="O358" s="130"/>
      <c r="P358" s="130"/>
      <c r="Q358" s="130"/>
      <c r="R358" s="42"/>
      <c r="S358" s="130"/>
      <c r="T358" s="42"/>
    </row>
    <row r="359" spans="3:20" x14ac:dyDescent="0.3">
      <c r="C359" s="42"/>
      <c r="D359" s="50"/>
      <c r="F359" s="130"/>
      <c r="G359" s="50"/>
      <c r="O359" s="130"/>
      <c r="P359" s="130"/>
      <c r="Q359" s="130"/>
      <c r="R359" s="42"/>
      <c r="S359" s="130"/>
      <c r="T359" s="42"/>
    </row>
    <row r="360" spans="3:20" x14ac:dyDescent="0.3">
      <c r="C360" s="42"/>
      <c r="D360" s="50"/>
      <c r="F360" s="130"/>
      <c r="G360" s="50"/>
      <c r="O360" s="130"/>
      <c r="P360" s="130"/>
      <c r="Q360" s="130"/>
      <c r="R360" s="42"/>
      <c r="S360" s="130"/>
      <c r="T360" s="42"/>
    </row>
    <row r="361" spans="3:20" x14ac:dyDescent="0.3">
      <c r="C361" s="42"/>
      <c r="D361" s="50"/>
      <c r="F361" s="130"/>
      <c r="G361" s="50"/>
      <c r="O361" s="130"/>
      <c r="P361" s="130"/>
      <c r="Q361" s="130"/>
      <c r="R361" s="42"/>
      <c r="S361" s="130"/>
      <c r="T361" s="42"/>
    </row>
    <row r="362" spans="3:20" x14ac:dyDescent="0.3">
      <c r="C362" s="42"/>
      <c r="D362" s="50"/>
      <c r="F362" s="130"/>
      <c r="G362" s="50"/>
      <c r="O362" s="130"/>
      <c r="P362" s="130"/>
      <c r="Q362" s="130"/>
      <c r="R362" s="42"/>
      <c r="S362" s="130"/>
      <c r="T362" s="42"/>
    </row>
    <row r="363" spans="3:20" x14ac:dyDescent="0.3">
      <c r="C363" s="42"/>
      <c r="D363" s="50"/>
      <c r="F363" s="130"/>
      <c r="G363" s="50"/>
      <c r="O363" s="130"/>
      <c r="P363" s="130"/>
      <c r="Q363" s="130"/>
      <c r="R363" s="42"/>
      <c r="S363" s="130"/>
      <c r="T363" s="42"/>
    </row>
    <row r="364" spans="3:20" x14ac:dyDescent="0.3">
      <c r="C364" s="42"/>
      <c r="D364" s="50"/>
      <c r="F364" s="130"/>
      <c r="G364" s="50"/>
      <c r="O364" s="130"/>
      <c r="P364" s="130"/>
      <c r="Q364" s="130"/>
      <c r="R364" s="42"/>
      <c r="S364" s="130"/>
      <c r="T364" s="42"/>
    </row>
    <row r="365" spans="3:20" x14ac:dyDescent="0.3">
      <c r="C365" s="42"/>
      <c r="D365" s="50"/>
      <c r="F365" s="130"/>
      <c r="G365" s="50"/>
      <c r="O365" s="130"/>
      <c r="P365" s="130"/>
      <c r="Q365" s="130"/>
      <c r="R365" s="42"/>
      <c r="S365" s="130"/>
      <c r="T365" s="42"/>
    </row>
    <row r="366" spans="3:20" x14ac:dyDescent="0.3">
      <c r="C366" s="42"/>
      <c r="D366" s="50"/>
      <c r="F366" s="130"/>
      <c r="G366" s="50"/>
      <c r="O366" s="130"/>
      <c r="P366" s="130"/>
      <c r="Q366" s="130"/>
      <c r="R366" s="42"/>
      <c r="S366" s="130"/>
      <c r="T366" s="42"/>
    </row>
    <row r="367" spans="3:20" x14ac:dyDescent="0.3">
      <c r="C367" s="42"/>
      <c r="D367" s="50"/>
      <c r="F367" s="130"/>
      <c r="G367" s="50"/>
      <c r="O367" s="130"/>
      <c r="P367" s="130"/>
      <c r="Q367" s="130"/>
      <c r="R367" s="42"/>
      <c r="S367" s="130"/>
      <c r="T367" s="42"/>
    </row>
    <row r="368" spans="3:20" x14ac:dyDescent="0.3">
      <c r="C368" s="42"/>
      <c r="D368" s="50"/>
      <c r="F368" s="130"/>
      <c r="G368" s="50"/>
      <c r="O368" s="130"/>
      <c r="P368" s="130"/>
      <c r="Q368" s="130"/>
      <c r="R368" s="42"/>
      <c r="S368" s="130"/>
      <c r="T368" s="42"/>
    </row>
    <row r="369" spans="3:20" x14ac:dyDescent="0.3">
      <c r="C369" s="42"/>
      <c r="D369" s="50"/>
      <c r="F369" s="130"/>
      <c r="G369" s="50"/>
      <c r="O369" s="130"/>
      <c r="P369" s="130"/>
      <c r="Q369" s="130"/>
      <c r="R369" s="42"/>
      <c r="S369" s="130"/>
      <c r="T369" s="42"/>
    </row>
    <row r="370" spans="3:20" x14ac:dyDescent="0.3">
      <c r="C370" s="42"/>
      <c r="D370" s="50"/>
      <c r="F370" s="130"/>
      <c r="G370" s="50"/>
      <c r="O370" s="130"/>
      <c r="P370" s="130"/>
      <c r="Q370" s="130"/>
      <c r="R370" s="42"/>
      <c r="S370" s="130"/>
      <c r="T370" s="42"/>
    </row>
    <row r="371" spans="3:20" x14ac:dyDescent="0.3">
      <c r="C371" s="42"/>
      <c r="D371" s="50"/>
      <c r="F371" s="130"/>
      <c r="G371" s="50"/>
      <c r="O371" s="130"/>
      <c r="P371" s="130"/>
      <c r="Q371" s="130"/>
      <c r="R371" s="42"/>
      <c r="S371" s="130"/>
      <c r="T371" s="42"/>
    </row>
    <row r="372" spans="3:20" x14ac:dyDescent="0.3">
      <c r="C372" s="42"/>
      <c r="D372" s="50"/>
      <c r="F372" s="130"/>
      <c r="G372" s="50"/>
      <c r="O372" s="130"/>
      <c r="P372" s="130"/>
      <c r="Q372" s="130"/>
      <c r="R372" s="42"/>
      <c r="S372" s="130"/>
      <c r="T372" s="42"/>
    </row>
    <row r="373" spans="3:20" x14ac:dyDescent="0.3">
      <c r="C373" s="42"/>
      <c r="D373" s="50"/>
      <c r="F373" s="130"/>
      <c r="G373" s="50"/>
      <c r="O373" s="130"/>
      <c r="P373" s="130"/>
      <c r="Q373" s="130"/>
      <c r="R373" s="42"/>
      <c r="S373" s="130"/>
      <c r="T373" s="42"/>
    </row>
    <row r="374" spans="3:20" x14ac:dyDescent="0.3">
      <c r="C374" s="42"/>
      <c r="D374" s="50"/>
      <c r="F374" s="130"/>
      <c r="G374" s="50"/>
      <c r="O374" s="130"/>
      <c r="P374" s="130"/>
      <c r="Q374" s="130"/>
      <c r="R374" s="42"/>
      <c r="S374" s="130"/>
      <c r="T374" s="42"/>
    </row>
    <row r="375" spans="3:20" x14ac:dyDescent="0.3">
      <c r="C375" s="42"/>
      <c r="D375" s="50"/>
      <c r="F375" s="130"/>
      <c r="G375" s="50"/>
      <c r="O375" s="130"/>
      <c r="P375" s="130"/>
      <c r="Q375" s="130"/>
      <c r="R375" s="42"/>
      <c r="S375" s="130"/>
      <c r="T375" s="42"/>
    </row>
    <row r="376" spans="3:20" x14ac:dyDescent="0.3">
      <c r="C376" s="42"/>
      <c r="D376" s="50"/>
      <c r="F376" s="130"/>
      <c r="G376" s="50"/>
      <c r="O376" s="130"/>
      <c r="P376" s="130"/>
      <c r="Q376" s="130"/>
      <c r="R376" s="42"/>
      <c r="S376" s="130"/>
      <c r="T376" s="42"/>
    </row>
    <row r="377" spans="3:20" x14ac:dyDescent="0.3">
      <c r="C377" s="42"/>
      <c r="D377" s="50"/>
      <c r="F377" s="130"/>
      <c r="G377" s="50"/>
      <c r="O377" s="130"/>
      <c r="P377" s="130"/>
      <c r="Q377" s="130"/>
      <c r="R377" s="42"/>
      <c r="S377" s="130"/>
      <c r="T377" s="42"/>
    </row>
    <row r="378" spans="3:20" x14ac:dyDescent="0.3">
      <c r="C378" s="42"/>
      <c r="D378" s="50"/>
      <c r="F378" s="130"/>
      <c r="G378" s="50"/>
      <c r="O378" s="130"/>
      <c r="P378" s="130"/>
      <c r="Q378" s="130"/>
      <c r="R378" s="42"/>
      <c r="S378" s="130"/>
      <c r="T378" s="42"/>
    </row>
    <row r="379" spans="3:20" x14ac:dyDescent="0.3">
      <c r="C379" s="42"/>
      <c r="D379" s="50"/>
      <c r="F379" s="130"/>
      <c r="G379" s="50"/>
      <c r="O379" s="130"/>
      <c r="P379" s="130"/>
      <c r="Q379" s="130"/>
      <c r="R379" s="42"/>
      <c r="S379" s="130"/>
      <c r="T379" s="42"/>
    </row>
    <row r="380" spans="3:20" x14ac:dyDescent="0.3">
      <c r="C380" s="42"/>
      <c r="D380" s="50"/>
      <c r="F380" s="130"/>
      <c r="G380" s="50"/>
      <c r="O380" s="130"/>
      <c r="P380" s="130"/>
      <c r="Q380" s="130"/>
      <c r="R380" s="42"/>
      <c r="S380" s="130"/>
      <c r="T380" s="42"/>
    </row>
    <row r="381" spans="3:20" x14ac:dyDescent="0.3">
      <c r="C381" s="42"/>
      <c r="D381" s="50"/>
      <c r="F381" s="130"/>
      <c r="G381" s="50"/>
      <c r="N381" s="130"/>
      <c r="O381" s="130"/>
      <c r="P381" s="130"/>
      <c r="Q381" s="130"/>
      <c r="R381" s="42"/>
      <c r="S381" s="130"/>
      <c r="T381" s="42"/>
    </row>
    <row r="382" spans="3:20" x14ac:dyDescent="0.3">
      <c r="C382" s="42"/>
      <c r="D382" s="50"/>
      <c r="F382" s="130"/>
      <c r="G382" s="50"/>
      <c r="M382" s="130"/>
      <c r="N382" s="130"/>
      <c r="O382" s="130"/>
      <c r="P382" s="130"/>
      <c r="Q382" s="130"/>
      <c r="R382" s="42"/>
      <c r="S382" s="130"/>
      <c r="T382" s="42"/>
    </row>
    <row r="383" spans="3:20" x14ac:dyDescent="0.3">
      <c r="C383" s="42"/>
      <c r="D383" s="50"/>
      <c r="F383" s="130"/>
      <c r="G383" s="50"/>
      <c r="N383" s="130"/>
      <c r="O383" s="130"/>
      <c r="P383" s="130"/>
      <c r="Q383" s="130"/>
      <c r="R383" s="42"/>
      <c r="S383" s="130"/>
      <c r="T383" s="42"/>
    </row>
    <row r="384" spans="3:20" x14ac:dyDescent="0.3">
      <c r="C384" s="42"/>
      <c r="D384" s="50"/>
      <c r="F384" s="130"/>
      <c r="G384" s="50"/>
      <c r="N384" s="130"/>
      <c r="O384" s="130"/>
      <c r="P384" s="130"/>
      <c r="Q384" s="130"/>
      <c r="R384" s="42"/>
      <c r="S384" s="130"/>
      <c r="T384" s="42"/>
    </row>
    <row r="385" spans="3:20" x14ac:dyDescent="0.3">
      <c r="C385" s="42"/>
      <c r="D385" s="50"/>
      <c r="F385" s="130"/>
      <c r="G385" s="50"/>
      <c r="O385" s="130"/>
      <c r="P385" s="130"/>
      <c r="Q385" s="130"/>
      <c r="R385" s="42"/>
      <c r="S385" s="130"/>
      <c r="T385" s="42"/>
    </row>
    <row r="386" spans="3:20" x14ac:dyDescent="0.3">
      <c r="C386" s="42"/>
      <c r="D386" s="50"/>
      <c r="F386" s="130"/>
      <c r="G386" s="50"/>
      <c r="O386" s="130"/>
      <c r="P386" s="130"/>
      <c r="Q386" s="130"/>
      <c r="R386" s="42"/>
      <c r="S386" s="130"/>
      <c r="T386" s="42"/>
    </row>
    <row r="387" spans="3:20" x14ac:dyDescent="0.3">
      <c r="C387" s="42"/>
      <c r="D387" s="50"/>
      <c r="F387" s="130"/>
      <c r="G387" s="50"/>
      <c r="O387" s="130"/>
      <c r="P387" s="130"/>
      <c r="Q387" s="130"/>
      <c r="R387" s="42"/>
      <c r="S387" s="130"/>
      <c r="T387" s="42"/>
    </row>
    <row r="388" spans="3:20" x14ac:dyDescent="0.3">
      <c r="C388" s="42"/>
      <c r="D388" s="50"/>
      <c r="F388" s="130"/>
      <c r="G388" s="50"/>
      <c r="O388" s="130"/>
      <c r="P388" s="130"/>
      <c r="Q388" s="130"/>
      <c r="R388" s="42"/>
      <c r="S388" s="130"/>
      <c r="T388" s="42"/>
    </row>
    <row r="389" spans="3:20" x14ac:dyDescent="0.3">
      <c r="C389" s="42"/>
      <c r="D389" s="50"/>
      <c r="F389" s="130"/>
      <c r="G389" s="50"/>
      <c r="N389" s="130"/>
      <c r="O389" s="130"/>
      <c r="P389" s="130"/>
      <c r="Q389" s="130"/>
      <c r="R389" s="42"/>
      <c r="S389" s="130"/>
      <c r="T389" s="42"/>
    </row>
    <row r="390" spans="3:20" x14ac:dyDescent="0.3">
      <c r="C390" s="42"/>
      <c r="D390" s="50"/>
      <c r="F390" s="130"/>
      <c r="G390" s="50"/>
      <c r="M390" s="130"/>
      <c r="N390" s="130"/>
      <c r="O390" s="130"/>
      <c r="P390" s="130"/>
      <c r="Q390" s="130"/>
      <c r="R390" s="42"/>
      <c r="S390" s="130"/>
      <c r="T390" s="42"/>
    </row>
    <row r="391" spans="3:20" x14ac:dyDescent="0.3">
      <c r="C391" s="42"/>
      <c r="D391" s="50"/>
      <c r="F391" s="130"/>
      <c r="G391" s="50"/>
      <c r="M391" s="130"/>
      <c r="N391" s="130"/>
      <c r="O391" s="130"/>
      <c r="P391" s="130"/>
      <c r="Q391" s="130"/>
      <c r="R391" s="42"/>
      <c r="S391" s="130"/>
      <c r="T391" s="42"/>
    </row>
    <row r="392" spans="3:20" x14ac:dyDescent="0.3">
      <c r="C392" s="42"/>
      <c r="D392" s="50"/>
      <c r="F392" s="130"/>
      <c r="G392" s="50"/>
      <c r="M392" s="130"/>
      <c r="N392" s="130"/>
      <c r="O392" s="130"/>
      <c r="P392" s="130"/>
      <c r="Q392" s="130"/>
      <c r="R392" s="42"/>
      <c r="S392" s="130"/>
      <c r="T392" s="42"/>
    </row>
    <row r="393" spans="3:20" x14ac:dyDescent="0.3">
      <c r="C393" s="42"/>
      <c r="D393" s="50"/>
      <c r="F393" s="130"/>
      <c r="G393" s="50"/>
      <c r="M393" s="130"/>
      <c r="N393" s="130"/>
      <c r="O393" s="130"/>
      <c r="P393" s="130"/>
      <c r="Q393" s="130"/>
      <c r="R393" s="42"/>
      <c r="S393" s="130"/>
      <c r="T393" s="42"/>
    </row>
    <row r="394" spans="3:20" x14ac:dyDescent="0.3">
      <c r="C394" s="42"/>
      <c r="D394" s="50"/>
      <c r="F394" s="130"/>
      <c r="G394" s="50"/>
      <c r="M394" s="130"/>
      <c r="N394" s="130"/>
      <c r="O394" s="130"/>
      <c r="P394" s="130"/>
      <c r="Q394" s="130"/>
      <c r="R394" s="42"/>
      <c r="S394" s="130"/>
      <c r="T394" s="42"/>
    </row>
    <row r="395" spans="3:20" x14ac:dyDescent="0.3">
      <c r="C395" s="42"/>
      <c r="D395" s="50"/>
      <c r="F395" s="130"/>
      <c r="G395" s="50"/>
      <c r="M395" s="130"/>
      <c r="N395" s="130"/>
      <c r="O395" s="130"/>
      <c r="P395" s="130"/>
      <c r="Q395" s="130"/>
      <c r="R395" s="42"/>
      <c r="S395" s="130"/>
      <c r="T395" s="42"/>
    </row>
    <row r="396" spans="3:20" x14ac:dyDescent="0.3">
      <c r="C396" s="42"/>
      <c r="D396" s="50"/>
      <c r="F396" s="130"/>
      <c r="G396" s="50"/>
      <c r="M396" s="130"/>
      <c r="N396" s="130"/>
      <c r="O396" s="130"/>
      <c r="P396" s="130"/>
      <c r="Q396" s="130"/>
      <c r="R396" s="42"/>
      <c r="S396" s="130"/>
      <c r="T396" s="42"/>
    </row>
    <row r="397" spans="3:20" x14ac:dyDescent="0.3">
      <c r="C397" s="42"/>
      <c r="D397" s="50"/>
      <c r="F397" s="130"/>
      <c r="G397" s="50"/>
      <c r="M397" s="130"/>
      <c r="N397" s="130"/>
      <c r="O397" s="130"/>
      <c r="P397" s="130"/>
      <c r="Q397" s="130"/>
      <c r="R397" s="42"/>
      <c r="S397" s="130"/>
      <c r="T397" s="42"/>
    </row>
    <row r="398" spans="3:20" x14ac:dyDescent="0.3">
      <c r="C398" s="42"/>
      <c r="D398" s="50"/>
      <c r="F398" s="130"/>
      <c r="G398" s="50"/>
      <c r="M398" s="130"/>
      <c r="N398" s="130"/>
      <c r="O398" s="130"/>
      <c r="P398" s="130"/>
      <c r="Q398" s="130"/>
      <c r="R398" s="42"/>
      <c r="S398" s="130"/>
      <c r="T398" s="42"/>
    </row>
    <row r="399" spans="3:20" x14ac:dyDescent="0.3">
      <c r="C399" s="42"/>
      <c r="D399" s="50"/>
      <c r="F399" s="130"/>
      <c r="G399" s="50"/>
      <c r="M399" s="130"/>
      <c r="N399" s="130"/>
      <c r="O399" s="130"/>
      <c r="P399" s="130"/>
      <c r="Q399" s="130"/>
      <c r="R399" s="42"/>
      <c r="S399" s="130"/>
      <c r="T399" s="42"/>
    </row>
    <row r="400" spans="3:20" x14ac:dyDescent="0.3">
      <c r="C400" s="42"/>
      <c r="D400" s="50"/>
      <c r="F400" s="130"/>
      <c r="G400" s="50"/>
      <c r="M400" s="130"/>
      <c r="N400" s="130"/>
      <c r="O400" s="130"/>
      <c r="P400" s="130"/>
      <c r="Q400" s="130"/>
      <c r="R400" s="42"/>
      <c r="S400" s="130"/>
      <c r="T400" s="42"/>
    </row>
    <row r="401" spans="3:20" x14ac:dyDescent="0.3">
      <c r="C401" s="42"/>
      <c r="D401" s="50"/>
      <c r="F401" s="130"/>
      <c r="G401" s="50"/>
      <c r="M401" s="130"/>
      <c r="N401" s="130"/>
      <c r="O401" s="130"/>
      <c r="P401" s="130"/>
      <c r="Q401" s="130"/>
      <c r="R401" s="42"/>
      <c r="S401" s="130"/>
      <c r="T401" s="42"/>
    </row>
    <row r="402" spans="3:20" x14ac:dyDescent="0.3">
      <c r="C402" s="42"/>
      <c r="D402" s="50"/>
      <c r="F402" s="130"/>
      <c r="G402" s="50"/>
      <c r="M402" s="130"/>
      <c r="N402" s="130"/>
      <c r="O402" s="130"/>
      <c r="P402" s="130"/>
      <c r="Q402" s="130"/>
      <c r="R402" s="42"/>
      <c r="S402" s="130"/>
      <c r="T402" s="42"/>
    </row>
    <row r="403" spans="3:20" x14ac:dyDescent="0.3">
      <c r="C403" s="42"/>
      <c r="D403" s="50"/>
      <c r="F403" s="130"/>
      <c r="G403" s="50"/>
      <c r="M403" s="130"/>
      <c r="N403" s="130"/>
      <c r="O403" s="130"/>
      <c r="P403" s="130"/>
      <c r="Q403" s="130"/>
      <c r="R403" s="42"/>
      <c r="S403" s="130"/>
      <c r="T403" s="42"/>
    </row>
    <row r="404" spans="3:20" x14ac:dyDescent="0.3">
      <c r="C404" s="42"/>
      <c r="D404" s="50"/>
      <c r="F404" s="130"/>
      <c r="G404" s="50"/>
      <c r="M404" s="130"/>
      <c r="N404" s="130"/>
      <c r="O404" s="130"/>
      <c r="P404" s="130"/>
      <c r="Q404" s="130"/>
      <c r="R404" s="42"/>
      <c r="S404" s="130"/>
      <c r="T404" s="42"/>
    </row>
    <row r="405" spans="3:20" x14ac:dyDescent="0.3">
      <c r="C405" s="42"/>
      <c r="D405" s="50"/>
      <c r="F405" s="130"/>
      <c r="G405" s="50"/>
      <c r="M405" s="130"/>
      <c r="N405" s="130"/>
      <c r="O405" s="130"/>
      <c r="P405" s="130"/>
      <c r="Q405" s="130"/>
      <c r="R405" s="42"/>
      <c r="S405" s="130"/>
      <c r="T405" s="42"/>
    </row>
    <row r="406" spans="3:20" x14ac:dyDescent="0.3">
      <c r="C406" s="42"/>
      <c r="D406" s="50"/>
      <c r="F406" s="130"/>
      <c r="G406" s="50"/>
      <c r="M406" s="130"/>
      <c r="N406" s="130"/>
      <c r="O406" s="130"/>
      <c r="P406" s="130"/>
      <c r="Q406" s="130"/>
      <c r="R406" s="42"/>
      <c r="S406" s="130"/>
      <c r="T406" s="42"/>
    </row>
    <row r="407" spans="3:20" x14ac:dyDescent="0.3">
      <c r="C407" s="42"/>
      <c r="D407" s="50"/>
      <c r="F407" s="130"/>
      <c r="G407" s="50"/>
      <c r="M407" s="130"/>
      <c r="N407" s="130"/>
      <c r="O407" s="130"/>
      <c r="P407" s="130"/>
      <c r="Q407" s="130"/>
      <c r="R407" s="42"/>
      <c r="S407" s="130"/>
      <c r="T407" s="42"/>
    </row>
    <row r="408" spans="3:20" x14ac:dyDescent="0.3">
      <c r="C408" s="42"/>
      <c r="D408" s="50"/>
      <c r="F408" s="130"/>
      <c r="G408" s="50"/>
      <c r="M408" s="130"/>
      <c r="N408" s="130"/>
      <c r="O408" s="130"/>
      <c r="P408" s="130"/>
      <c r="Q408" s="130"/>
      <c r="R408" s="42"/>
      <c r="S408" s="130"/>
      <c r="T408" s="42"/>
    </row>
    <row r="409" spans="3:20" x14ac:dyDescent="0.3">
      <c r="C409" s="42"/>
      <c r="D409" s="50"/>
      <c r="F409" s="130"/>
      <c r="G409" s="50"/>
      <c r="M409" s="130"/>
      <c r="N409" s="130"/>
      <c r="O409" s="130"/>
      <c r="P409" s="130"/>
      <c r="Q409" s="130"/>
      <c r="R409" s="42"/>
      <c r="S409" s="130"/>
      <c r="T409" s="42"/>
    </row>
    <row r="410" spans="3:20" x14ac:dyDescent="0.3">
      <c r="C410" s="42"/>
      <c r="D410" s="50"/>
      <c r="F410" s="130"/>
      <c r="G410" s="50"/>
      <c r="M410" s="130"/>
      <c r="N410" s="130"/>
      <c r="O410" s="130"/>
      <c r="P410" s="130"/>
      <c r="Q410" s="130"/>
      <c r="R410" s="42"/>
      <c r="S410" s="130"/>
      <c r="T410" s="42"/>
    </row>
    <row r="411" spans="3:20" x14ac:dyDescent="0.3">
      <c r="C411" s="42"/>
      <c r="D411" s="50"/>
      <c r="F411" s="130"/>
      <c r="G411" s="50"/>
      <c r="M411" s="130"/>
      <c r="N411" s="130"/>
      <c r="O411" s="130"/>
      <c r="P411" s="130"/>
      <c r="Q411" s="130"/>
      <c r="R411" s="42"/>
      <c r="S411" s="130"/>
      <c r="T411" s="42"/>
    </row>
    <row r="412" spans="3:20" x14ac:dyDescent="0.3">
      <c r="C412" s="42"/>
      <c r="D412" s="50"/>
      <c r="F412" s="130"/>
      <c r="G412" s="50"/>
      <c r="M412" s="130"/>
      <c r="N412" s="130"/>
      <c r="O412" s="130"/>
      <c r="P412" s="130"/>
      <c r="Q412" s="130"/>
      <c r="R412" s="42"/>
      <c r="S412" s="130"/>
      <c r="T412" s="42"/>
    </row>
    <row r="413" spans="3:20" x14ac:dyDescent="0.3">
      <c r="C413" s="42"/>
      <c r="D413" s="50"/>
      <c r="F413" s="130"/>
      <c r="G413" s="50"/>
      <c r="M413" s="130"/>
      <c r="N413" s="130"/>
      <c r="O413" s="130"/>
      <c r="P413" s="130"/>
      <c r="Q413" s="130"/>
      <c r="R413" s="42"/>
      <c r="S413" s="130"/>
      <c r="T413" s="42"/>
    </row>
    <row r="414" spans="3:20" x14ac:dyDescent="0.3">
      <c r="C414" s="42"/>
      <c r="D414" s="50"/>
      <c r="F414" s="130"/>
      <c r="G414" s="50"/>
      <c r="M414" s="130"/>
      <c r="N414" s="130"/>
      <c r="O414" s="130"/>
      <c r="P414" s="130"/>
      <c r="Q414" s="130"/>
      <c r="R414" s="42"/>
      <c r="S414" s="130"/>
      <c r="T414" s="42"/>
    </row>
    <row r="415" spans="3:20" x14ac:dyDescent="0.3">
      <c r="C415" s="42"/>
      <c r="D415" s="50"/>
      <c r="F415" s="130"/>
      <c r="G415" s="50"/>
      <c r="M415" s="130"/>
      <c r="N415" s="130"/>
      <c r="O415" s="130"/>
      <c r="P415" s="130"/>
      <c r="Q415" s="130"/>
      <c r="R415" s="42"/>
      <c r="S415" s="130"/>
      <c r="T415" s="42"/>
    </row>
    <row r="416" spans="3:20" x14ac:dyDescent="0.3">
      <c r="C416" s="42"/>
      <c r="D416" s="50"/>
      <c r="F416" s="130"/>
      <c r="G416" s="50"/>
      <c r="M416" s="130"/>
      <c r="N416" s="130"/>
      <c r="O416" s="130"/>
      <c r="P416" s="130"/>
      <c r="Q416" s="130"/>
      <c r="R416" s="42"/>
      <c r="S416" s="130"/>
      <c r="T416" s="42"/>
    </row>
    <row r="417" spans="3:20" x14ac:dyDescent="0.3">
      <c r="C417" s="42"/>
      <c r="D417" s="50"/>
      <c r="F417" s="130"/>
      <c r="G417" s="50"/>
      <c r="M417" s="130"/>
      <c r="N417" s="130"/>
      <c r="O417" s="130"/>
      <c r="P417" s="130"/>
      <c r="Q417" s="130"/>
      <c r="R417" s="42"/>
      <c r="S417" s="130"/>
      <c r="T417" s="42"/>
    </row>
    <row r="418" spans="3:20" x14ac:dyDescent="0.3">
      <c r="C418" s="42"/>
      <c r="D418" s="50"/>
      <c r="F418" s="130"/>
      <c r="G418" s="50"/>
      <c r="M418" s="130"/>
      <c r="N418" s="130"/>
      <c r="O418" s="130"/>
      <c r="P418" s="130"/>
      <c r="Q418" s="130"/>
      <c r="R418" s="42"/>
      <c r="S418" s="130"/>
      <c r="T418" s="42"/>
    </row>
    <row r="419" spans="3:20" x14ac:dyDescent="0.3">
      <c r="C419" s="42"/>
      <c r="D419" s="50"/>
      <c r="F419" s="130"/>
      <c r="G419" s="50"/>
      <c r="M419" s="130"/>
      <c r="N419" s="130"/>
      <c r="O419" s="130"/>
      <c r="P419" s="130"/>
      <c r="Q419" s="130"/>
      <c r="R419" s="42"/>
      <c r="S419" s="130"/>
      <c r="T419" s="42"/>
    </row>
    <row r="420" spans="3:20" x14ac:dyDescent="0.3">
      <c r="C420" s="42"/>
      <c r="D420" s="50"/>
      <c r="F420" s="130"/>
      <c r="G420" s="50"/>
      <c r="M420" s="130"/>
      <c r="N420" s="130"/>
      <c r="O420" s="130"/>
      <c r="P420" s="130"/>
      <c r="Q420" s="130"/>
      <c r="R420" s="42"/>
      <c r="S420" s="130"/>
      <c r="T420" s="42"/>
    </row>
    <row r="421" spans="3:20" x14ac:dyDescent="0.3">
      <c r="C421" s="42"/>
      <c r="D421" s="50"/>
      <c r="F421" s="130"/>
      <c r="G421" s="50"/>
      <c r="M421" s="130"/>
      <c r="N421" s="130"/>
      <c r="O421" s="130"/>
      <c r="P421" s="130"/>
      <c r="Q421" s="130"/>
      <c r="R421" s="42"/>
      <c r="S421" s="130"/>
      <c r="T421" s="42"/>
    </row>
    <row r="422" spans="3:20" x14ac:dyDescent="0.3">
      <c r="C422" s="42"/>
      <c r="D422" s="50"/>
      <c r="F422" s="130"/>
      <c r="G422" s="50"/>
      <c r="M422" s="130"/>
      <c r="N422" s="130"/>
      <c r="O422" s="130"/>
      <c r="P422" s="130"/>
      <c r="Q422" s="130"/>
      <c r="R422" s="42"/>
      <c r="S422" s="130"/>
      <c r="T422" s="42"/>
    </row>
    <row r="423" spans="3:20" x14ac:dyDescent="0.3">
      <c r="C423" s="42"/>
      <c r="D423" s="50"/>
      <c r="F423" s="130"/>
      <c r="G423" s="50"/>
      <c r="M423" s="130"/>
      <c r="N423" s="130"/>
      <c r="O423" s="130"/>
      <c r="P423" s="130"/>
      <c r="Q423" s="130"/>
      <c r="R423" s="42"/>
      <c r="S423" s="130"/>
      <c r="T423" s="42"/>
    </row>
    <row r="424" spans="3:20" x14ac:dyDescent="0.3">
      <c r="C424" s="42"/>
      <c r="D424" s="50"/>
      <c r="F424" s="130"/>
      <c r="G424" s="50"/>
      <c r="M424" s="130"/>
      <c r="N424" s="130"/>
      <c r="O424" s="130"/>
      <c r="P424" s="130"/>
      <c r="Q424" s="130"/>
      <c r="R424" s="42"/>
      <c r="S424" s="130"/>
      <c r="T424" s="42"/>
    </row>
    <row r="425" spans="3:20" x14ac:dyDescent="0.3">
      <c r="C425" s="42"/>
      <c r="D425" s="50"/>
      <c r="F425" s="130"/>
      <c r="G425" s="50"/>
      <c r="M425" s="130"/>
      <c r="N425" s="130"/>
      <c r="O425" s="130"/>
      <c r="P425" s="130"/>
      <c r="Q425" s="130"/>
      <c r="R425" s="42"/>
      <c r="S425" s="130"/>
      <c r="T425" s="42"/>
    </row>
    <row r="426" spans="3:20" x14ac:dyDescent="0.3">
      <c r="C426" s="42"/>
      <c r="D426" s="50"/>
      <c r="F426" s="130"/>
      <c r="G426" s="50"/>
      <c r="M426" s="130"/>
      <c r="N426" s="130"/>
      <c r="O426" s="130"/>
      <c r="P426" s="130"/>
      <c r="Q426" s="130"/>
      <c r="R426" s="42"/>
      <c r="S426" s="130"/>
      <c r="T426" s="42"/>
    </row>
    <row r="427" spans="3:20" x14ac:dyDescent="0.3">
      <c r="C427" s="42"/>
      <c r="D427" s="50"/>
      <c r="F427" s="130"/>
      <c r="G427" s="50"/>
      <c r="M427" s="130"/>
      <c r="N427" s="130"/>
      <c r="O427" s="130"/>
      <c r="P427" s="130"/>
      <c r="Q427" s="130"/>
      <c r="R427" s="42"/>
      <c r="S427" s="130"/>
      <c r="T427" s="42"/>
    </row>
    <row r="428" spans="3:20" x14ac:dyDescent="0.3">
      <c r="C428" s="42"/>
      <c r="D428" s="50"/>
      <c r="F428" s="130"/>
      <c r="G428" s="50"/>
      <c r="M428" s="130"/>
      <c r="N428" s="130"/>
      <c r="O428" s="130"/>
      <c r="P428" s="130"/>
      <c r="Q428" s="130"/>
      <c r="R428" s="42"/>
      <c r="S428" s="130"/>
      <c r="T428" s="42"/>
    </row>
    <row r="429" spans="3:20" x14ac:dyDescent="0.3">
      <c r="C429" s="42"/>
      <c r="D429" s="50"/>
      <c r="F429" s="130"/>
      <c r="G429" s="50"/>
      <c r="M429" s="130"/>
      <c r="N429" s="130"/>
      <c r="O429" s="130"/>
      <c r="P429" s="130"/>
      <c r="Q429" s="130"/>
      <c r="R429" s="42"/>
      <c r="S429" s="130"/>
      <c r="T429" s="42"/>
    </row>
    <row r="430" spans="3:20" x14ac:dyDescent="0.3">
      <c r="C430" s="42"/>
      <c r="D430" s="50"/>
      <c r="F430" s="130"/>
      <c r="G430" s="50"/>
      <c r="M430" s="130"/>
      <c r="N430" s="130"/>
      <c r="O430" s="130"/>
      <c r="P430" s="130"/>
      <c r="Q430" s="130"/>
      <c r="R430" s="42"/>
      <c r="S430" s="130"/>
      <c r="T430" s="42"/>
    </row>
    <row r="431" spans="3:20" x14ac:dyDescent="0.3">
      <c r="C431" s="42"/>
      <c r="D431" s="50"/>
      <c r="F431" s="130"/>
      <c r="G431" s="50"/>
      <c r="M431" s="130"/>
      <c r="N431" s="130"/>
      <c r="O431" s="130"/>
      <c r="P431" s="130"/>
      <c r="Q431" s="130"/>
      <c r="R431" s="42"/>
      <c r="S431" s="130"/>
      <c r="T431" s="42"/>
    </row>
    <row r="432" spans="3:20" x14ac:dyDescent="0.3">
      <c r="C432" s="42"/>
      <c r="D432" s="50"/>
      <c r="F432" s="130"/>
      <c r="G432" s="50"/>
      <c r="M432" s="130"/>
      <c r="N432" s="130"/>
      <c r="O432" s="130"/>
      <c r="P432" s="130"/>
      <c r="Q432" s="130"/>
      <c r="R432" s="42"/>
      <c r="S432" s="130"/>
      <c r="T432" s="42"/>
    </row>
    <row r="433" spans="3:20" x14ac:dyDescent="0.3">
      <c r="C433" s="42"/>
      <c r="D433" s="50"/>
      <c r="F433" s="130"/>
      <c r="G433" s="50"/>
      <c r="M433" s="130"/>
      <c r="N433" s="130"/>
      <c r="O433" s="130"/>
      <c r="P433" s="130"/>
      <c r="Q433" s="130"/>
      <c r="R433" s="42"/>
      <c r="S433" s="130"/>
      <c r="T433" s="42"/>
    </row>
    <row r="434" spans="3:20" x14ac:dyDescent="0.3">
      <c r="C434" s="42"/>
      <c r="D434" s="50"/>
      <c r="F434" s="130"/>
      <c r="G434" s="50"/>
      <c r="M434" s="130"/>
      <c r="N434" s="130"/>
      <c r="O434" s="130"/>
      <c r="P434" s="130"/>
      <c r="Q434" s="130"/>
      <c r="R434" s="42"/>
      <c r="S434" s="130"/>
      <c r="T434" s="42"/>
    </row>
    <row r="435" spans="3:20" x14ac:dyDescent="0.3">
      <c r="C435" s="42"/>
      <c r="D435" s="50"/>
      <c r="F435" s="130"/>
      <c r="G435" s="50"/>
      <c r="M435" s="130"/>
      <c r="N435" s="130"/>
      <c r="O435" s="130"/>
      <c r="P435" s="130"/>
      <c r="Q435" s="130"/>
      <c r="R435" s="42"/>
      <c r="S435" s="130"/>
      <c r="T435" s="42"/>
    </row>
    <row r="436" spans="3:20" x14ac:dyDescent="0.3">
      <c r="C436" s="42"/>
      <c r="D436" s="50"/>
      <c r="F436" s="130"/>
      <c r="G436" s="50"/>
      <c r="M436" s="130"/>
      <c r="N436" s="130"/>
      <c r="O436" s="130"/>
      <c r="P436" s="130"/>
      <c r="Q436" s="130"/>
      <c r="R436" s="42"/>
      <c r="S436" s="130"/>
      <c r="T436" s="42"/>
    </row>
    <row r="437" spans="3:20" x14ac:dyDescent="0.3">
      <c r="C437" s="42"/>
      <c r="D437" s="50"/>
      <c r="F437" s="130"/>
      <c r="G437" s="50"/>
      <c r="M437" s="130"/>
      <c r="N437" s="130"/>
      <c r="O437" s="130"/>
      <c r="P437" s="130"/>
      <c r="Q437" s="130"/>
      <c r="R437" s="42"/>
      <c r="S437" s="130"/>
      <c r="T437" s="42"/>
    </row>
    <row r="438" spans="3:20" x14ac:dyDescent="0.3">
      <c r="C438" s="42"/>
      <c r="D438" s="50"/>
      <c r="F438" s="130"/>
      <c r="G438" s="50"/>
      <c r="M438" s="130"/>
      <c r="N438" s="130"/>
      <c r="O438" s="130"/>
      <c r="P438" s="130"/>
      <c r="Q438" s="130"/>
      <c r="R438" s="42"/>
      <c r="S438" s="130"/>
      <c r="T438" s="42"/>
    </row>
    <row r="439" spans="3:20" x14ac:dyDescent="0.3">
      <c r="C439" s="42"/>
      <c r="D439" s="50"/>
      <c r="F439" s="130"/>
      <c r="G439" s="50"/>
      <c r="M439" s="130"/>
      <c r="N439" s="130"/>
      <c r="O439" s="130"/>
      <c r="P439" s="130"/>
      <c r="Q439" s="130"/>
      <c r="R439" s="42"/>
      <c r="S439" s="130"/>
      <c r="T439" s="42"/>
    </row>
    <row r="440" spans="3:20" x14ac:dyDescent="0.3">
      <c r="C440" s="42"/>
      <c r="D440" s="50"/>
      <c r="F440" s="130"/>
      <c r="G440" s="50"/>
      <c r="M440" s="130"/>
      <c r="N440" s="130"/>
      <c r="O440" s="130"/>
      <c r="P440" s="130"/>
      <c r="Q440" s="130"/>
      <c r="R440" s="42"/>
      <c r="S440" s="130"/>
      <c r="T440" s="42"/>
    </row>
    <row r="441" spans="3:20" x14ac:dyDescent="0.3">
      <c r="C441" s="42"/>
      <c r="D441" s="50"/>
      <c r="F441" s="130"/>
      <c r="G441" s="50"/>
      <c r="M441" s="130"/>
      <c r="N441" s="130"/>
      <c r="O441" s="130"/>
      <c r="P441" s="130"/>
      <c r="Q441" s="130"/>
      <c r="R441" s="42"/>
      <c r="S441" s="130"/>
      <c r="T441" s="42"/>
    </row>
    <row r="442" spans="3:20" x14ac:dyDescent="0.3">
      <c r="C442" s="42"/>
      <c r="D442" s="50"/>
      <c r="F442" s="130"/>
      <c r="G442" s="50"/>
      <c r="M442" s="130"/>
      <c r="N442" s="130"/>
      <c r="O442" s="130"/>
      <c r="P442" s="130"/>
      <c r="Q442" s="130"/>
      <c r="R442" s="42"/>
      <c r="S442" s="130"/>
      <c r="T442" s="42"/>
    </row>
    <row r="443" spans="3:20" x14ac:dyDescent="0.3">
      <c r="C443" s="42"/>
      <c r="D443" s="50"/>
      <c r="F443" s="130"/>
      <c r="G443" s="50"/>
      <c r="M443" s="130"/>
      <c r="N443" s="130"/>
      <c r="O443" s="130"/>
      <c r="P443" s="130"/>
      <c r="Q443" s="130"/>
      <c r="R443" s="42"/>
      <c r="S443" s="130"/>
      <c r="T443" s="42"/>
    </row>
    <row r="444" spans="3:20" x14ac:dyDescent="0.3">
      <c r="C444" s="42"/>
      <c r="D444" s="50"/>
      <c r="F444" s="130"/>
      <c r="G444" s="50"/>
      <c r="M444" s="130"/>
      <c r="N444" s="130"/>
      <c r="O444" s="130"/>
      <c r="P444" s="130"/>
      <c r="Q444" s="130"/>
      <c r="R444" s="42"/>
      <c r="S444" s="130"/>
      <c r="T444" s="42"/>
    </row>
    <row r="445" spans="3:20" x14ac:dyDescent="0.3">
      <c r="C445" s="42"/>
      <c r="D445" s="50"/>
      <c r="F445" s="130"/>
      <c r="G445" s="50"/>
      <c r="M445" s="130"/>
      <c r="N445" s="130"/>
      <c r="O445" s="130"/>
      <c r="P445" s="130"/>
      <c r="Q445" s="130"/>
      <c r="R445" s="42"/>
      <c r="S445" s="130"/>
      <c r="T445" s="42"/>
    </row>
    <row r="446" spans="3:20" x14ac:dyDescent="0.3">
      <c r="C446" s="42"/>
      <c r="D446" s="50"/>
      <c r="F446" s="130"/>
      <c r="G446" s="50"/>
      <c r="M446" s="130"/>
      <c r="N446" s="130"/>
      <c r="O446" s="130"/>
      <c r="P446" s="130"/>
      <c r="Q446" s="130"/>
      <c r="R446" s="42"/>
      <c r="S446" s="130"/>
      <c r="T446" s="42"/>
    </row>
    <row r="447" spans="3:20" x14ac:dyDescent="0.3">
      <c r="C447" s="42"/>
      <c r="D447" s="50"/>
      <c r="F447" s="130"/>
      <c r="G447" s="50"/>
      <c r="M447" s="130"/>
      <c r="N447" s="130"/>
      <c r="O447" s="130"/>
      <c r="P447" s="130"/>
      <c r="Q447" s="130"/>
      <c r="R447" s="42"/>
      <c r="S447" s="130"/>
      <c r="T447" s="42"/>
    </row>
    <row r="448" spans="3:20" x14ac:dyDescent="0.3">
      <c r="C448" s="42"/>
      <c r="D448" s="50"/>
      <c r="F448" s="130"/>
      <c r="G448" s="50"/>
      <c r="M448" s="130"/>
      <c r="N448" s="130"/>
      <c r="O448" s="130"/>
      <c r="P448" s="130"/>
      <c r="Q448" s="130"/>
      <c r="R448" s="42"/>
      <c r="S448" s="130"/>
      <c r="T448" s="42"/>
    </row>
    <row r="449" spans="3:20" x14ac:dyDescent="0.3">
      <c r="C449" s="42"/>
      <c r="D449" s="50"/>
      <c r="F449" s="130"/>
      <c r="G449" s="50"/>
      <c r="M449" s="130"/>
      <c r="N449" s="130"/>
      <c r="O449" s="130"/>
      <c r="P449" s="130"/>
      <c r="Q449" s="130"/>
      <c r="R449" s="42"/>
      <c r="S449" s="130"/>
      <c r="T449" s="42"/>
    </row>
    <row r="450" spans="3:20" x14ac:dyDescent="0.3">
      <c r="C450" s="42"/>
      <c r="D450" s="50"/>
      <c r="F450" s="130"/>
      <c r="G450" s="50"/>
      <c r="M450" s="130"/>
      <c r="N450" s="130"/>
      <c r="O450" s="130"/>
      <c r="P450" s="130"/>
      <c r="Q450" s="130"/>
      <c r="R450" s="42"/>
      <c r="S450" s="130"/>
      <c r="T450" s="42"/>
    </row>
    <row r="451" spans="3:20" x14ac:dyDescent="0.3">
      <c r="C451" s="42"/>
      <c r="D451" s="50"/>
      <c r="F451" s="130"/>
      <c r="G451" s="50"/>
      <c r="M451" s="130"/>
      <c r="N451" s="130"/>
      <c r="O451" s="130"/>
      <c r="P451" s="130"/>
      <c r="Q451" s="130"/>
      <c r="R451" s="42"/>
      <c r="S451" s="130"/>
      <c r="T451" s="42"/>
    </row>
    <row r="452" spans="3:20" x14ac:dyDescent="0.3">
      <c r="C452" s="42"/>
      <c r="D452" s="50"/>
      <c r="F452" s="130"/>
      <c r="G452" s="50"/>
      <c r="M452" s="130"/>
      <c r="N452" s="130"/>
      <c r="O452" s="130"/>
      <c r="P452" s="130"/>
      <c r="Q452" s="130"/>
      <c r="R452" s="42"/>
      <c r="S452" s="130"/>
      <c r="T452" s="42"/>
    </row>
    <row r="453" spans="3:20" x14ac:dyDescent="0.3">
      <c r="C453" s="42"/>
      <c r="D453" s="50"/>
      <c r="F453" s="130"/>
      <c r="G453" s="50"/>
      <c r="M453" s="130"/>
      <c r="N453" s="130"/>
      <c r="O453" s="130"/>
      <c r="P453" s="130"/>
      <c r="Q453" s="130"/>
      <c r="R453" s="42"/>
      <c r="S453" s="130"/>
      <c r="T453" s="42"/>
    </row>
    <row r="454" spans="3:20" x14ac:dyDescent="0.3">
      <c r="C454" s="42"/>
      <c r="D454" s="50"/>
      <c r="F454" s="130"/>
      <c r="G454" s="50"/>
      <c r="M454" s="130"/>
      <c r="N454" s="130"/>
      <c r="O454" s="130"/>
      <c r="P454" s="130"/>
      <c r="Q454" s="130"/>
      <c r="R454" s="42"/>
      <c r="S454" s="130"/>
      <c r="T454" s="42"/>
    </row>
    <row r="455" spans="3:20" x14ac:dyDescent="0.3">
      <c r="C455" s="42"/>
      <c r="D455" s="50"/>
      <c r="F455" s="130"/>
      <c r="G455" s="50"/>
      <c r="M455" s="130"/>
      <c r="N455" s="130"/>
      <c r="O455" s="130"/>
      <c r="P455" s="130"/>
      <c r="Q455" s="130"/>
      <c r="R455" s="42"/>
      <c r="S455" s="130"/>
      <c r="T455" s="42"/>
    </row>
    <row r="456" spans="3:20" x14ac:dyDescent="0.3">
      <c r="C456" s="42"/>
      <c r="D456" s="50"/>
      <c r="F456" s="130"/>
      <c r="G456" s="50"/>
      <c r="M456" s="130"/>
      <c r="N456" s="130"/>
      <c r="O456" s="130"/>
      <c r="P456" s="130"/>
      <c r="Q456" s="130"/>
      <c r="R456" s="42"/>
      <c r="S456" s="130"/>
      <c r="T456" s="42"/>
    </row>
    <row r="457" spans="3:20" x14ac:dyDescent="0.3">
      <c r="C457" s="42"/>
      <c r="D457" s="50"/>
      <c r="F457" s="130"/>
      <c r="G457" s="50"/>
      <c r="M457" s="130"/>
      <c r="N457" s="130"/>
      <c r="O457" s="130"/>
      <c r="P457" s="130"/>
      <c r="Q457" s="130"/>
      <c r="R457" s="42"/>
      <c r="S457" s="130"/>
      <c r="T457" s="42"/>
    </row>
    <row r="458" spans="3:20" x14ac:dyDescent="0.3">
      <c r="C458" s="42"/>
      <c r="D458" s="50"/>
      <c r="F458" s="130"/>
      <c r="G458" s="50"/>
      <c r="M458" s="130"/>
      <c r="N458" s="130"/>
      <c r="O458" s="130"/>
      <c r="P458" s="130"/>
      <c r="Q458" s="130"/>
      <c r="R458" s="42"/>
      <c r="S458" s="130"/>
      <c r="T458" s="42"/>
    </row>
    <row r="459" spans="3:20" x14ac:dyDescent="0.3">
      <c r="C459" s="42"/>
      <c r="D459" s="50"/>
      <c r="F459" s="130"/>
      <c r="G459" s="50"/>
      <c r="M459" s="130"/>
      <c r="N459" s="130"/>
      <c r="O459" s="130"/>
      <c r="P459" s="130"/>
      <c r="Q459" s="130"/>
      <c r="R459" s="42"/>
      <c r="S459" s="130"/>
      <c r="T459" s="42"/>
    </row>
    <row r="460" spans="3:20" x14ac:dyDescent="0.3">
      <c r="C460" s="42"/>
      <c r="D460" s="50"/>
      <c r="F460" s="130"/>
      <c r="G460" s="50"/>
      <c r="M460" s="130"/>
      <c r="N460" s="130"/>
      <c r="O460" s="130"/>
      <c r="P460" s="130"/>
      <c r="Q460" s="130"/>
      <c r="R460" s="42"/>
      <c r="S460" s="130"/>
      <c r="T460" s="42"/>
    </row>
    <row r="461" spans="3:20" x14ac:dyDescent="0.3">
      <c r="C461" s="42"/>
      <c r="D461" s="50"/>
      <c r="F461" s="130"/>
      <c r="G461" s="50"/>
      <c r="M461" s="130"/>
      <c r="N461" s="130"/>
      <c r="O461" s="130"/>
      <c r="P461" s="130"/>
      <c r="Q461" s="130"/>
      <c r="R461" s="42"/>
      <c r="S461" s="130"/>
      <c r="T461" s="42"/>
    </row>
    <row r="462" spans="3:20" x14ac:dyDescent="0.3">
      <c r="C462" s="42"/>
      <c r="D462" s="50"/>
      <c r="F462" s="130"/>
      <c r="G462" s="50"/>
      <c r="M462" s="130"/>
      <c r="N462" s="130"/>
      <c r="O462" s="130"/>
      <c r="P462" s="130"/>
      <c r="Q462" s="130"/>
      <c r="R462" s="42"/>
      <c r="S462" s="130"/>
      <c r="T462" s="42"/>
    </row>
    <row r="463" spans="3:20" x14ac:dyDescent="0.3">
      <c r="C463" s="42"/>
      <c r="D463" s="50"/>
      <c r="F463" s="130"/>
      <c r="G463" s="50"/>
      <c r="M463" s="130"/>
      <c r="N463" s="130"/>
      <c r="O463" s="130"/>
      <c r="P463" s="130"/>
      <c r="Q463" s="130"/>
      <c r="R463" s="42"/>
      <c r="S463" s="130"/>
      <c r="T463" s="42"/>
    </row>
    <row r="464" spans="3:20" x14ac:dyDescent="0.3">
      <c r="C464" s="42"/>
      <c r="D464" s="50"/>
      <c r="F464" s="130"/>
      <c r="G464" s="50"/>
      <c r="M464" s="130"/>
      <c r="N464" s="130"/>
      <c r="O464" s="130"/>
      <c r="P464" s="130"/>
      <c r="Q464" s="130"/>
      <c r="R464" s="42"/>
      <c r="S464" s="130"/>
      <c r="T464" s="42"/>
    </row>
    <row r="465" spans="3:20" x14ac:dyDescent="0.3">
      <c r="C465" s="42"/>
      <c r="D465" s="50"/>
      <c r="F465" s="130"/>
      <c r="G465" s="50"/>
      <c r="M465" s="130"/>
      <c r="N465" s="130"/>
      <c r="O465" s="130"/>
      <c r="P465" s="130"/>
      <c r="Q465" s="130"/>
      <c r="R465" s="42"/>
      <c r="S465" s="130"/>
      <c r="T465" s="42"/>
    </row>
    <row r="466" spans="3:20" x14ac:dyDescent="0.3">
      <c r="C466" s="42"/>
      <c r="D466" s="50"/>
      <c r="F466" s="130"/>
      <c r="G466" s="50"/>
      <c r="M466" s="130"/>
      <c r="N466" s="130"/>
      <c r="O466" s="130"/>
      <c r="P466" s="130"/>
      <c r="Q466" s="130"/>
      <c r="R466" s="42"/>
      <c r="S466" s="130"/>
      <c r="T466" s="42"/>
    </row>
    <row r="467" spans="3:20" x14ac:dyDescent="0.3">
      <c r="C467" s="42"/>
      <c r="D467" s="50"/>
      <c r="F467" s="130"/>
      <c r="G467" s="50"/>
      <c r="M467" s="130"/>
      <c r="N467" s="130"/>
      <c r="O467" s="130"/>
      <c r="P467" s="130"/>
      <c r="Q467" s="130"/>
      <c r="R467" s="42"/>
      <c r="S467" s="130"/>
      <c r="T467" s="42"/>
    </row>
    <row r="468" spans="3:20" x14ac:dyDescent="0.3">
      <c r="C468" s="42"/>
      <c r="D468" s="50"/>
      <c r="F468" s="130"/>
      <c r="G468" s="50"/>
      <c r="M468" s="130"/>
      <c r="N468" s="130"/>
      <c r="O468" s="130"/>
      <c r="P468" s="130"/>
      <c r="Q468" s="130"/>
      <c r="R468" s="42"/>
      <c r="S468" s="130"/>
      <c r="T468" s="42"/>
    </row>
    <row r="469" spans="3:20" x14ac:dyDescent="0.3">
      <c r="C469" s="42"/>
      <c r="D469" s="50"/>
      <c r="F469" s="130"/>
      <c r="G469" s="50"/>
      <c r="M469" s="130"/>
      <c r="N469" s="130"/>
      <c r="O469" s="130"/>
      <c r="P469" s="130"/>
      <c r="Q469" s="130"/>
      <c r="R469" s="42"/>
      <c r="S469" s="130"/>
      <c r="T469" s="42"/>
    </row>
    <row r="470" spans="3:20" x14ac:dyDescent="0.3">
      <c r="C470" s="42"/>
      <c r="D470" s="50"/>
      <c r="F470" s="130"/>
      <c r="G470" s="50"/>
      <c r="M470" s="130"/>
      <c r="N470" s="130"/>
      <c r="O470" s="130"/>
      <c r="P470" s="130"/>
      <c r="Q470" s="130"/>
      <c r="R470" s="42"/>
      <c r="S470" s="130"/>
      <c r="T470" s="42"/>
    </row>
    <row r="471" spans="3:20" x14ac:dyDescent="0.3">
      <c r="C471" s="42"/>
      <c r="D471" s="50"/>
      <c r="F471" s="130"/>
      <c r="G471" s="50"/>
      <c r="M471" s="130"/>
      <c r="N471" s="130"/>
      <c r="O471" s="130"/>
      <c r="P471" s="130"/>
      <c r="Q471" s="130"/>
      <c r="R471" s="42"/>
      <c r="S471" s="130"/>
      <c r="T471" s="42"/>
    </row>
    <row r="472" spans="3:20" x14ac:dyDescent="0.3">
      <c r="C472" s="42"/>
      <c r="D472" s="50"/>
      <c r="F472" s="130"/>
      <c r="G472" s="50"/>
      <c r="M472" s="130"/>
      <c r="N472" s="130"/>
      <c r="O472" s="130"/>
      <c r="P472" s="130"/>
      <c r="Q472" s="130"/>
      <c r="R472" s="42"/>
      <c r="S472" s="130"/>
      <c r="T472" s="42"/>
    </row>
    <row r="473" spans="3:20" x14ac:dyDescent="0.3">
      <c r="C473" s="42"/>
      <c r="D473" s="50"/>
      <c r="F473" s="130"/>
      <c r="G473" s="50"/>
      <c r="M473" s="130"/>
      <c r="N473" s="130"/>
      <c r="O473" s="130"/>
      <c r="P473" s="130"/>
      <c r="Q473" s="130"/>
      <c r="R473" s="42"/>
      <c r="S473" s="130"/>
      <c r="T473" s="42"/>
    </row>
    <row r="474" spans="3:20" x14ac:dyDescent="0.3">
      <c r="C474" s="42"/>
      <c r="D474" s="50"/>
      <c r="F474" s="130"/>
      <c r="G474" s="50"/>
      <c r="M474" s="130"/>
      <c r="N474" s="130"/>
      <c r="O474" s="130"/>
      <c r="P474" s="130"/>
      <c r="Q474" s="130"/>
      <c r="R474" s="42"/>
      <c r="S474" s="130"/>
      <c r="T474" s="42"/>
    </row>
    <row r="475" spans="3:20" x14ac:dyDescent="0.3">
      <c r="C475" s="42"/>
      <c r="D475" s="50"/>
      <c r="F475" s="130"/>
      <c r="G475" s="50"/>
      <c r="M475" s="130"/>
      <c r="N475" s="130"/>
      <c r="O475" s="130"/>
      <c r="P475" s="130"/>
      <c r="Q475" s="130"/>
      <c r="R475" s="42"/>
      <c r="S475" s="130"/>
      <c r="T475" s="42"/>
    </row>
    <row r="476" spans="3:20" x14ac:dyDescent="0.3">
      <c r="C476" s="42"/>
      <c r="D476" s="50"/>
      <c r="F476" s="130"/>
      <c r="G476" s="50"/>
      <c r="M476" s="130"/>
      <c r="N476" s="130"/>
      <c r="O476" s="130"/>
      <c r="P476" s="130"/>
      <c r="Q476" s="130"/>
      <c r="R476" s="42"/>
      <c r="S476" s="130"/>
      <c r="T476" s="42"/>
    </row>
    <row r="477" spans="3:20" x14ac:dyDescent="0.3">
      <c r="C477" s="42"/>
      <c r="D477" s="50"/>
      <c r="F477" s="130"/>
      <c r="G477" s="50"/>
      <c r="M477" s="130"/>
      <c r="N477" s="130"/>
      <c r="O477" s="130"/>
      <c r="P477" s="130"/>
      <c r="Q477" s="130"/>
      <c r="R477" s="42"/>
      <c r="S477" s="130"/>
      <c r="T477" s="42"/>
    </row>
    <row r="478" spans="3:20" x14ac:dyDescent="0.3">
      <c r="C478" s="42"/>
      <c r="D478" s="50"/>
      <c r="F478" s="130"/>
      <c r="G478" s="50"/>
      <c r="M478" s="130"/>
      <c r="N478" s="130"/>
      <c r="O478" s="130"/>
      <c r="P478" s="130"/>
      <c r="Q478" s="130"/>
      <c r="R478" s="42"/>
      <c r="S478" s="130"/>
      <c r="T478" s="42"/>
    </row>
    <row r="479" spans="3:20" x14ac:dyDescent="0.3">
      <c r="C479" s="42"/>
      <c r="D479" s="50"/>
      <c r="F479" s="130"/>
      <c r="G479" s="50"/>
      <c r="M479" s="130"/>
      <c r="N479" s="130"/>
      <c r="O479" s="130"/>
      <c r="P479" s="130"/>
      <c r="Q479" s="130"/>
      <c r="R479" s="42"/>
      <c r="S479" s="130"/>
      <c r="T479" s="42"/>
    </row>
    <row r="480" spans="3:20" x14ac:dyDescent="0.3">
      <c r="C480" s="42"/>
      <c r="D480" s="50"/>
      <c r="F480" s="130"/>
      <c r="G480" s="50"/>
      <c r="M480" s="130"/>
      <c r="N480" s="130"/>
      <c r="O480" s="130"/>
      <c r="P480" s="130"/>
      <c r="Q480" s="130"/>
      <c r="R480" s="42"/>
      <c r="S480" s="130"/>
      <c r="T480" s="42"/>
    </row>
    <row r="481" spans="3:20" x14ac:dyDescent="0.3">
      <c r="C481" s="42"/>
      <c r="D481" s="50"/>
      <c r="F481" s="130"/>
      <c r="G481" s="50"/>
      <c r="M481" s="130"/>
      <c r="N481" s="130"/>
      <c r="O481" s="130"/>
      <c r="P481" s="130"/>
      <c r="Q481" s="130"/>
      <c r="R481" s="42"/>
      <c r="S481" s="130"/>
      <c r="T481" s="42"/>
    </row>
    <row r="482" spans="3:20" x14ac:dyDescent="0.3">
      <c r="C482" s="42"/>
      <c r="D482" s="50"/>
      <c r="F482" s="130"/>
      <c r="G482" s="50"/>
      <c r="M482" s="130"/>
      <c r="N482" s="130"/>
      <c r="O482" s="130"/>
      <c r="P482" s="130"/>
      <c r="Q482" s="130"/>
      <c r="R482" s="42"/>
      <c r="S482" s="130"/>
      <c r="T482" s="42"/>
    </row>
    <row r="483" spans="3:20" x14ac:dyDescent="0.3">
      <c r="C483" s="42"/>
      <c r="D483" s="50"/>
      <c r="F483" s="130"/>
      <c r="G483" s="50"/>
      <c r="M483" s="130"/>
      <c r="N483" s="130"/>
      <c r="O483" s="130"/>
      <c r="P483" s="130"/>
      <c r="Q483" s="130"/>
      <c r="R483" s="42"/>
      <c r="S483" s="130"/>
      <c r="T483" s="42"/>
    </row>
    <row r="484" spans="3:20" x14ac:dyDescent="0.3">
      <c r="C484" s="42"/>
      <c r="D484" s="50"/>
      <c r="F484" s="130"/>
      <c r="G484" s="50"/>
      <c r="M484" s="130"/>
      <c r="N484" s="130"/>
      <c r="O484" s="130"/>
      <c r="P484" s="130"/>
      <c r="Q484" s="130"/>
      <c r="R484" s="42"/>
      <c r="S484" s="130"/>
      <c r="T484" s="42"/>
    </row>
    <row r="485" spans="3:20" x14ac:dyDescent="0.3">
      <c r="C485" s="42"/>
      <c r="D485" s="50"/>
      <c r="F485" s="130"/>
      <c r="G485" s="50"/>
      <c r="M485" s="130"/>
      <c r="N485" s="130"/>
      <c r="O485" s="130"/>
      <c r="P485" s="130"/>
      <c r="Q485" s="130"/>
      <c r="R485" s="42"/>
      <c r="S485" s="130"/>
      <c r="T485" s="42"/>
    </row>
    <row r="486" spans="3:20" x14ac:dyDescent="0.3">
      <c r="C486" s="42"/>
      <c r="D486" s="50"/>
      <c r="F486" s="130"/>
      <c r="G486" s="50"/>
      <c r="M486" s="130"/>
      <c r="N486" s="130"/>
      <c r="O486" s="130"/>
      <c r="P486" s="130"/>
      <c r="Q486" s="130"/>
      <c r="R486" s="42"/>
      <c r="S486" s="130"/>
      <c r="T486" s="42"/>
    </row>
    <row r="487" spans="3:20" x14ac:dyDescent="0.3">
      <c r="C487" s="42"/>
      <c r="D487" s="50"/>
      <c r="F487" s="130"/>
      <c r="G487" s="50"/>
      <c r="M487" s="130"/>
      <c r="N487" s="130"/>
      <c r="O487" s="130"/>
      <c r="P487" s="130"/>
      <c r="Q487" s="130"/>
      <c r="R487" s="42"/>
      <c r="S487" s="130"/>
      <c r="T487" s="42"/>
    </row>
    <row r="488" spans="3:20" x14ac:dyDescent="0.3">
      <c r="C488" s="42"/>
      <c r="D488" s="50"/>
      <c r="F488" s="130"/>
      <c r="G488" s="50"/>
      <c r="M488" s="130"/>
      <c r="N488" s="130"/>
      <c r="O488" s="130"/>
      <c r="P488" s="130"/>
      <c r="Q488" s="130"/>
      <c r="R488" s="42"/>
      <c r="S488" s="130"/>
      <c r="T488" s="42"/>
    </row>
    <row r="489" spans="3:20" x14ac:dyDescent="0.3">
      <c r="C489" s="42"/>
      <c r="D489" s="50"/>
      <c r="F489" s="130"/>
      <c r="G489" s="50"/>
      <c r="M489" s="130"/>
      <c r="N489" s="130"/>
      <c r="O489" s="130"/>
      <c r="P489" s="130"/>
      <c r="Q489" s="130"/>
      <c r="R489" s="42"/>
      <c r="S489" s="130"/>
      <c r="T489" s="42"/>
    </row>
    <row r="490" spans="3:20" x14ac:dyDescent="0.3">
      <c r="C490" s="42"/>
      <c r="D490" s="50"/>
      <c r="F490" s="130"/>
      <c r="G490" s="50"/>
      <c r="M490" s="130"/>
      <c r="N490" s="130"/>
      <c r="O490" s="130"/>
      <c r="P490" s="130"/>
      <c r="Q490" s="130"/>
      <c r="R490" s="42"/>
      <c r="S490" s="130"/>
      <c r="T490" s="42"/>
    </row>
    <row r="491" spans="3:20" x14ac:dyDescent="0.3">
      <c r="C491" s="42"/>
      <c r="D491" s="50"/>
      <c r="F491" s="130"/>
      <c r="G491" s="50"/>
      <c r="M491" s="130"/>
      <c r="N491" s="130"/>
      <c r="O491" s="130"/>
      <c r="P491" s="130"/>
      <c r="Q491" s="130"/>
      <c r="R491" s="42"/>
      <c r="S491" s="130"/>
      <c r="T491" s="42"/>
    </row>
    <row r="492" spans="3:20" x14ac:dyDescent="0.3">
      <c r="C492" s="42"/>
      <c r="D492" s="50"/>
      <c r="F492" s="130"/>
      <c r="G492" s="50"/>
      <c r="M492" s="130"/>
      <c r="N492" s="130"/>
      <c r="O492" s="130"/>
      <c r="P492" s="130"/>
      <c r="Q492" s="130"/>
      <c r="R492" s="42"/>
      <c r="S492" s="130"/>
      <c r="T492" s="42"/>
    </row>
    <row r="493" spans="3:20" x14ac:dyDescent="0.3">
      <c r="C493" s="42"/>
      <c r="D493" s="50"/>
      <c r="F493" s="130"/>
      <c r="G493" s="50"/>
      <c r="M493" s="130"/>
      <c r="N493" s="130"/>
      <c r="O493" s="130"/>
      <c r="P493" s="130"/>
      <c r="Q493" s="130"/>
      <c r="R493" s="42"/>
      <c r="S493" s="130"/>
      <c r="T493" s="42"/>
    </row>
    <row r="494" spans="3:20" x14ac:dyDescent="0.3">
      <c r="C494" s="42"/>
      <c r="D494" s="50"/>
      <c r="F494" s="130"/>
      <c r="G494" s="50"/>
      <c r="M494" s="130"/>
      <c r="N494" s="130"/>
      <c r="O494" s="130"/>
      <c r="P494" s="130"/>
      <c r="Q494" s="130"/>
      <c r="R494" s="42"/>
      <c r="S494" s="130"/>
      <c r="T494" s="42"/>
    </row>
    <row r="495" spans="3:20" x14ac:dyDescent="0.3">
      <c r="C495" s="130"/>
      <c r="D495" s="50"/>
      <c r="F495" s="130"/>
      <c r="G495" s="50"/>
      <c r="M495" s="130"/>
      <c r="N495" s="130"/>
      <c r="O495" s="130"/>
      <c r="P495" s="130"/>
      <c r="Q495" s="130"/>
      <c r="R495" s="42"/>
      <c r="S495" s="130"/>
      <c r="T495" s="42"/>
    </row>
    <row r="496" spans="3:20" x14ac:dyDescent="0.3">
      <c r="C496" s="42"/>
      <c r="D496" s="50"/>
      <c r="F496" s="130"/>
      <c r="G496" s="50"/>
      <c r="M496" s="130"/>
      <c r="N496" s="130"/>
      <c r="O496" s="130"/>
      <c r="P496" s="130"/>
      <c r="Q496" s="130"/>
      <c r="R496" s="42"/>
      <c r="S496" s="130"/>
      <c r="T496" s="42"/>
    </row>
    <row r="497" spans="3:20" x14ac:dyDescent="0.3">
      <c r="C497" s="42"/>
      <c r="D497" s="50"/>
      <c r="F497" s="130"/>
      <c r="G497" s="50"/>
      <c r="N497" s="130"/>
      <c r="O497" s="130"/>
      <c r="P497" s="130"/>
      <c r="Q497" s="130"/>
      <c r="R497" s="130"/>
      <c r="S497" s="130"/>
      <c r="T497" s="42"/>
    </row>
    <row r="498" spans="3:20" x14ac:dyDescent="0.3">
      <c r="C498" s="42"/>
      <c r="D498" s="50"/>
      <c r="F498" s="130"/>
      <c r="G498" s="50"/>
      <c r="M498" s="130"/>
      <c r="N498" s="130"/>
      <c r="O498" s="130"/>
      <c r="P498" s="130"/>
      <c r="Q498" s="130"/>
      <c r="R498" s="42"/>
      <c r="S498" s="130"/>
      <c r="T498" s="42"/>
    </row>
    <row r="499" spans="3:20" x14ac:dyDescent="0.3">
      <c r="C499" s="42"/>
      <c r="D499" s="50"/>
      <c r="F499" s="130"/>
      <c r="G499" s="50"/>
      <c r="M499" s="130"/>
      <c r="N499" s="130"/>
      <c r="O499" s="130"/>
      <c r="P499" s="130"/>
      <c r="Q499" s="130"/>
      <c r="R499" s="42"/>
      <c r="S499" s="130"/>
      <c r="T499" s="42"/>
    </row>
    <row r="500" spans="3:20" x14ac:dyDescent="0.3">
      <c r="C500" s="42"/>
      <c r="D500" s="50"/>
      <c r="F500" s="130"/>
      <c r="G500" s="50"/>
      <c r="M500" s="130"/>
      <c r="N500" s="130"/>
      <c r="O500" s="130"/>
      <c r="P500" s="130"/>
      <c r="Q500" s="130"/>
      <c r="R500" s="42"/>
      <c r="S500" s="130"/>
      <c r="T500" s="42"/>
    </row>
    <row r="501" spans="3:20" x14ac:dyDescent="0.3">
      <c r="C501" s="42"/>
      <c r="D501" s="50"/>
      <c r="F501" s="130"/>
      <c r="G501" s="50"/>
      <c r="M501" s="130"/>
      <c r="N501" s="130"/>
      <c r="O501" s="130"/>
      <c r="P501" s="130"/>
      <c r="Q501" s="130"/>
      <c r="R501" s="42"/>
      <c r="S501" s="130"/>
      <c r="T501" s="42"/>
    </row>
    <row r="502" spans="3:20" x14ac:dyDescent="0.3">
      <c r="C502" s="42"/>
      <c r="D502" s="50"/>
      <c r="M502" s="130"/>
      <c r="N502" s="130"/>
      <c r="O502" s="130"/>
      <c r="P502" s="130"/>
      <c r="Q502" s="130"/>
      <c r="R502" s="42"/>
      <c r="S502" s="130"/>
      <c r="T502" s="42"/>
    </row>
    <row r="503" spans="3:20" x14ac:dyDescent="0.3">
      <c r="C503" s="42"/>
      <c r="D503" s="50"/>
      <c r="M503" s="130"/>
      <c r="N503" s="130"/>
      <c r="O503" s="130"/>
      <c r="P503" s="130"/>
      <c r="Q503" s="130"/>
      <c r="R503" s="42"/>
      <c r="S503" s="130"/>
      <c r="T503" s="42"/>
    </row>
    <row r="504" spans="3:20" x14ac:dyDescent="0.3">
      <c r="C504" s="42"/>
      <c r="D504" s="50"/>
      <c r="M504" s="130"/>
      <c r="N504" s="130"/>
      <c r="O504" s="130"/>
      <c r="P504" s="130"/>
      <c r="Q504" s="130"/>
      <c r="R504" s="42"/>
      <c r="S504" s="42"/>
    </row>
    <row r="505" spans="3:20" x14ac:dyDescent="0.3">
      <c r="C505" s="42"/>
      <c r="D505" s="50"/>
      <c r="M505" s="130"/>
      <c r="N505" s="130"/>
      <c r="O505" s="130"/>
      <c r="P505" s="130"/>
      <c r="Q505" s="130"/>
      <c r="R505" s="42"/>
      <c r="S505" s="42"/>
    </row>
    <row r="506" spans="3:20" x14ac:dyDescent="0.3">
      <c r="M506" s="130"/>
      <c r="N506" s="130"/>
      <c r="O506" s="130"/>
      <c r="P506" s="130"/>
      <c r="Q506" s="130"/>
      <c r="R506" s="42"/>
      <c r="S506" s="42"/>
    </row>
    <row r="507" spans="3:20" x14ac:dyDescent="0.3">
      <c r="M507" s="130"/>
      <c r="N507" s="130"/>
      <c r="O507" s="130"/>
      <c r="P507" s="130"/>
      <c r="Q507" s="130"/>
      <c r="R507" s="42"/>
      <c r="S507" s="42"/>
    </row>
    <row r="508" spans="3:20" x14ac:dyDescent="0.3">
      <c r="M508" s="130"/>
      <c r="N508" s="130"/>
      <c r="O508" s="130"/>
      <c r="P508" s="130"/>
      <c r="Q508" s="130"/>
      <c r="R508" s="42"/>
    </row>
  </sheetData>
  <mergeCells count="4">
    <mergeCell ref="B2:J2"/>
    <mergeCell ref="B4:D4"/>
    <mergeCell ref="F4:G4"/>
    <mergeCell ref="I10:J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5ECC8-FDBC-4201-B50E-8F3AF38DB0B6}">
  <dimension ref="B2:C23"/>
  <sheetViews>
    <sheetView showGridLines="0" workbookViewId="0">
      <selection activeCell="G15" sqref="G15"/>
    </sheetView>
  </sheetViews>
  <sheetFormatPr defaultRowHeight="14.4" x14ac:dyDescent="0.3"/>
  <cols>
    <col min="1" max="1" width="4.109375" customWidth="1"/>
    <col min="2" max="2" width="45.44140625" customWidth="1"/>
    <col min="3" max="3" width="12.44140625" customWidth="1"/>
  </cols>
  <sheetData>
    <row r="2" spans="2:3" ht="21" x14ac:dyDescent="0.4">
      <c r="B2" s="1" t="s">
        <v>141</v>
      </c>
    </row>
    <row r="3" spans="2:3" x14ac:dyDescent="0.3">
      <c r="B3" s="57" t="s">
        <v>0</v>
      </c>
      <c r="C3" s="49">
        <v>2025</v>
      </c>
    </row>
    <row r="5" spans="2:3" x14ac:dyDescent="0.3">
      <c r="B5" t="s">
        <v>142</v>
      </c>
      <c r="C5" s="81">
        <f>'Assumptions ( Driver)'!E18</f>
        <v>529</v>
      </c>
    </row>
    <row r="6" spans="2:3" x14ac:dyDescent="0.3">
      <c r="B6" t="s">
        <v>33</v>
      </c>
      <c r="C6" s="81">
        <f>BS!F37</f>
        <v>2483</v>
      </c>
    </row>
    <row r="7" spans="2:3" x14ac:dyDescent="0.3">
      <c r="B7" s="49" t="s">
        <v>143</v>
      </c>
      <c r="C7" s="82">
        <f>C5+C6</f>
        <v>3012</v>
      </c>
    </row>
    <row r="8" spans="2:3" x14ac:dyDescent="0.3">
      <c r="B8" s="17" t="s">
        <v>144</v>
      </c>
    </row>
    <row r="9" spans="2:3" x14ac:dyDescent="0.3">
      <c r="B9" s="22" t="s">
        <v>145</v>
      </c>
      <c r="C9" s="47">
        <f>C5/C7</f>
        <v>0.1756308100929615</v>
      </c>
    </row>
    <row r="10" spans="2:3" x14ac:dyDescent="0.3">
      <c r="B10" s="22" t="s">
        <v>146</v>
      </c>
      <c r="C10" s="47">
        <f>C6/C7</f>
        <v>0.82436918990703856</v>
      </c>
    </row>
    <row r="12" spans="2:3" x14ac:dyDescent="0.3">
      <c r="B12" s="49" t="s">
        <v>147</v>
      </c>
      <c r="C12" s="40"/>
    </row>
    <row r="13" spans="2:3" x14ac:dyDescent="0.3">
      <c r="B13" s="22" t="s">
        <v>148</v>
      </c>
      <c r="C13" s="47">
        <f>'Assumptions ( Driver)'!E19</f>
        <v>0.13827977315689982</v>
      </c>
    </row>
    <row r="14" spans="2:3" x14ac:dyDescent="0.3">
      <c r="B14" s="22" t="s">
        <v>149</v>
      </c>
      <c r="C14" s="50">
        <f>'Assumptions ( Driver)'!G22</f>
        <v>0.28142952529455667</v>
      </c>
    </row>
    <row r="15" spans="2:3" x14ac:dyDescent="0.3">
      <c r="B15" s="17" t="s">
        <v>150</v>
      </c>
      <c r="C15" s="52">
        <f>C13*(1-C14)</f>
        <v>9.9363762239514528E-2</v>
      </c>
    </row>
    <row r="17" spans="2:3" x14ac:dyDescent="0.3">
      <c r="B17" s="49" t="s">
        <v>151</v>
      </c>
      <c r="C17" s="40"/>
    </row>
    <row r="18" spans="2:3" x14ac:dyDescent="0.3">
      <c r="B18" s="22" t="s">
        <v>153</v>
      </c>
      <c r="C18" s="53">
        <v>6.5000000000000002E-2</v>
      </c>
    </row>
    <row r="19" spans="2:3" x14ac:dyDescent="0.3">
      <c r="B19" s="22" t="s">
        <v>152</v>
      </c>
      <c r="C19" s="135">
        <f>Beta!J27</f>
        <v>1.8002308522592005</v>
      </c>
    </row>
    <row r="20" spans="2:3" x14ac:dyDescent="0.3">
      <c r="B20" s="22" t="s">
        <v>154</v>
      </c>
      <c r="C20" s="54">
        <v>0.09</v>
      </c>
    </row>
    <row r="21" spans="2:3" ht="15" thickBot="1" x14ac:dyDescent="0.35">
      <c r="B21" s="55" t="s">
        <v>151</v>
      </c>
      <c r="C21" s="56">
        <f>C18+(C19*(C20-C18))</f>
        <v>0.11000577130648001</v>
      </c>
    </row>
    <row r="23" spans="2:3" x14ac:dyDescent="0.3">
      <c r="B23" s="60" t="s">
        <v>159</v>
      </c>
      <c r="C23" s="61">
        <f>C15*C9+C21*C10</f>
        <v>0.10813670663303224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0E0CB-2770-4650-9389-8B05FB88939D}">
  <dimension ref="B2:K23"/>
  <sheetViews>
    <sheetView showGridLines="0" workbookViewId="0">
      <selection activeCell="M19" sqref="M19"/>
    </sheetView>
  </sheetViews>
  <sheetFormatPr defaultRowHeight="14.4" x14ac:dyDescent="0.3"/>
  <cols>
    <col min="1" max="1" width="5" customWidth="1"/>
    <col min="2" max="2" width="39.33203125" customWidth="1"/>
    <col min="3" max="3" width="15.88671875" customWidth="1"/>
    <col min="4" max="4" width="3.44140625" customWidth="1"/>
    <col min="5" max="5" width="13" customWidth="1"/>
    <col min="6" max="6" width="8.6640625" customWidth="1"/>
    <col min="7" max="8" width="13" customWidth="1"/>
  </cols>
  <sheetData>
    <row r="2" spans="2:11" ht="21" x14ac:dyDescent="0.4">
      <c r="B2" s="34" t="s">
        <v>155</v>
      </c>
      <c r="C2" s="2"/>
      <c r="E2" s="2"/>
      <c r="F2" s="2"/>
      <c r="G2" s="2"/>
      <c r="H2" s="2"/>
    </row>
    <row r="3" spans="2:11" x14ac:dyDescent="0.3">
      <c r="B3" s="3" t="s">
        <v>0</v>
      </c>
      <c r="C3" s="2"/>
      <c r="E3" s="2"/>
      <c r="F3" s="2"/>
      <c r="G3" s="2"/>
      <c r="H3" s="2"/>
    </row>
    <row r="4" spans="2:11" x14ac:dyDescent="0.3">
      <c r="B4" s="4" t="s">
        <v>1</v>
      </c>
      <c r="C4" s="85" t="s">
        <v>91</v>
      </c>
      <c r="E4" s="83" t="s">
        <v>4</v>
      </c>
      <c r="F4" s="83" t="s">
        <v>5</v>
      </c>
      <c r="G4" s="83" t="s">
        <v>6</v>
      </c>
      <c r="H4" s="83" t="s">
        <v>7</v>
      </c>
      <c r="I4" s="83" t="s">
        <v>170</v>
      </c>
    </row>
    <row r="5" spans="2:11" x14ac:dyDescent="0.3">
      <c r="B5" s="22" t="s">
        <v>156</v>
      </c>
      <c r="C5" s="29" t="s">
        <v>231</v>
      </c>
      <c r="E5" s="42">
        <f>CFS!F18+CFS!F20</f>
        <v>202.31466890755596</v>
      </c>
      <c r="F5" s="42">
        <f>CFS!G18+CFS!G20</f>
        <v>-81.008007521128803</v>
      </c>
      <c r="G5" s="42">
        <f>CFS!H18+CFS!H20</f>
        <v>-28.225073649182917</v>
      </c>
      <c r="H5" s="42">
        <f>CFS!I18+CFS!I20</f>
        <v>107.34559655580395</v>
      </c>
      <c r="I5" s="42">
        <f>CFS!J18+CFS!J20</f>
        <v>39.737606755997149</v>
      </c>
    </row>
    <row r="6" spans="2:11" x14ac:dyDescent="0.3">
      <c r="B6" s="22" t="s">
        <v>157</v>
      </c>
      <c r="E6" s="136">
        <v>1</v>
      </c>
      <c r="F6" s="136">
        <v>2</v>
      </c>
      <c r="G6" s="136">
        <v>3</v>
      </c>
      <c r="H6" s="136">
        <v>4</v>
      </c>
      <c r="I6" s="136">
        <v>5</v>
      </c>
    </row>
    <row r="7" spans="2:11" x14ac:dyDescent="0.3">
      <c r="B7" s="58" t="s">
        <v>158</v>
      </c>
      <c r="C7" s="59"/>
      <c r="E7" s="62">
        <f>PV($C$9,E6,0,-E5)</f>
        <v>182.57194053454811</v>
      </c>
      <c r="F7" s="62">
        <f t="shared" ref="F7:I7" si="0">PV($C$9,F6,0,-F5)</f>
        <v>-65.969207740224277</v>
      </c>
      <c r="G7" s="62">
        <f t="shared" si="0"/>
        <v>-20.742211626908375</v>
      </c>
      <c r="H7" s="62">
        <f t="shared" si="0"/>
        <v>71.188668492606212</v>
      </c>
      <c r="I7" s="62">
        <f t="shared" si="0"/>
        <v>23.781267763214419</v>
      </c>
    </row>
    <row r="8" spans="2:11" x14ac:dyDescent="0.3">
      <c r="E8" s="63"/>
    </row>
    <row r="9" spans="2:11" x14ac:dyDescent="0.3">
      <c r="B9" s="22" t="s">
        <v>160</v>
      </c>
      <c r="C9" s="47">
        <f>WACC!C23</f>
        <v>0.10813670663303224</v>
      </c>
    </row>
    <row r="10" spans="2:11" x14ac:dyDescent="0.3">
      <c r="B10" s="65" t="s">
        <v>161</v>
      </c>
      <c r="C10" s="66">
        <f>SUM(E7:H7)</f>
        <v>167.04918966002168</v>
      </c>
      <c r="E10" s="125"/>
      <c r="F10" s="152" t="s">
        <v>232</v>
      </c>
      <c r="G10" s="152"/>
      <c r="H10" s="152"/>
      <c r="I10" s="152"/>
      <c r="J10" s="152"/>
      <c r="K10" s="152"/>
    </row>
    <row r="11" spans="2:11" x14ac:dyDescent="0.3">
      <c r="E11" s="126"/>
      <c r="F11" s="152" t="s">
        <v>159</v>
      </c>
      <c r="G11" s="152"/>
      <c r="H11" s="152"/>
      <c r="I11" s="152"/>
      <c r="J11" s="152"/>
      <c r="K11" s="152"/>
    </row>
    <row r="12" spans="2:11" ht="14.4" customHeight="1" x14ac:dyDescent="0.3">
      <c r="B12" s="22" t="s">
        <v>165</v>
      </c>
      <c r="C12" s="137">
        <v>0.04</v>
      </c>
      <c r="E12" s="153" t="s">
        <v>233</v>
      </c>
      <c r="F12" s="129">
        <f>C23</f>
        <v>88.269081665920808</v>
      </c>
      <c r="G12" s="128">
        <f>H12-1%</f>
        <v>8.8137000000000007E-2</v>
      </c>
      <c r="H12" s="128">
        <f>I12-1%</f>
        <v>9.8137000000000002E-2</v>
      </c>
      <c r="I12" s="138">
        <v>0.108137</v>
      </c>
      <c r="J12" s="128">
        <f>I12+1%</f>
        <v>0.11813699999999999</v>
      </c>
      <c r="K12" s="128">
        <f>J12+1%</f>
        <v>0.128137</v>
      </c>
    </row>
    <row r="13" spans="2:11" x14ac:dyDescent="0.3">
      <c r="B13" s="22" t="s">
        <v>164</v>
      </c>
      <c r="C13" s="67">
        <f>H5*(1+C12)/(C9-C12)</f>
        <v>1638.4622318084573</v>
      </c>
      <c r="E13" s="153"/>
      <c r="F13" s="127">
        <f>F14-1%</f>
        <v>1.9999999999999997E-2</v>
      </c>
      <c r="G13" s="134">
        <f t="dataTable" ref="G13:K17" dt2D="1" dtr="1" r1="C9" r2="C12"/>
        <v>93.065933608349098</v>
      </c>
      <c r="H13" s="134">
        <v>79.34609009472652</v>
      </c>
      <c r="I13" s="134">
        <v>68.807928250124306</v>
      </c>
      <c r="J13" s="134">
        <v>60.475676449555976</v>
      </c>
      <c r="K13" s="134">
        <v>53.734661723072975</v>
      </c>
    </row>
    <row r="14" spans="2:11" x14ac:dyDescent="0.3">
      <c r="B14" s="65" t="s">
        <v>163</v>
      </c>
      <c r="C14" s="67">
        <f>C13/(1+C9)^H6</f>
        <v>1086.5834128299091</v>
      </c>
      <c r="E14" s="153"/>
      <c r="F14" s="127">
        <f>F15-1%</f>
        <v>0.03</v>
      </c>
      <c r="G14" s="134">
        <v>108.64581352937695</v>
      </c>
      <c r="H14" s="134">
        <v>90.624325375984128</v>
      </c>
      <c r="I14" s="134">
        <v>77.292991826872665</v>
      </c>
      <c r="J14" s="134">
        <v>67.051866673836869</v>
      </c>
      <c r="K14" s="134">
        <v>58.953307759893406</v>
      </c>
    </row>
    <row r="15" spans="2:11" x14ac:dyDescent="0.3">
      <c r="E15" s="153"/>
      <c r="F15" s="139">
        <v>0.04</v>
      </c>
      <c r="G15" s="134">
        <v>130.69883466029654</v>
      </c>
      <c r="H15" s="134">
        <v>105.78244275685387</v>
      </c>
      <c r="I15" s="134">
        <v>88.268644533388567</v>
      </c>
      <c r="J15" s="134">
        <v>75.311303048924955</v>
      </c>
      <c r="K15" s="134">
        <v>65.356166110911147</v>
      </c>
    </row>
    <row r="16" spans="2:11" ht="14.4" customHeight="1" x14ac:dyDescent="0.3">
      <c r="B16" s="65" t="s">
        <v>162</v>
      </c>
      <c r="C16" s="68">
        <f>C10+C14</f>
        <v>1253.6326024899308</v>
      </c>
      <c r="E16" s="153"/>
      <c r="F16" s="127">
        <f>F15+1%</f>
        <v>0.05</v>
      </c>
      <c r="G16" s="134">
        <v>164.31701358072212</v>
      </c>
      <c r="H16" s="134">
        <v>127.23846710362085</v>
      </c>
      <c r="I16" s="134">
        <v>103.02008639535308</v>
      </c>
      <c r="J16" s="134">
        <v>85.995101041075117</v>
      </c>
      <c r="K16" s="134">
        <v>73.39790446782051</v>
      </c>
    </row>
    <row r="17" spans="2:11" x14ac:dyDescent="0.3">
      <c r="E17" s="153"/>
      <c r="F17" s="127">
        <f>F16+1%</f>
        <v>6.0000000000000005E-2</v>
      </c>
      <c r="G17" s="134">
        <v>221.83125741242154</v>
      </c>
      <c r="H17" s="134">
        <v>159.94656914227073</v>
      </c>
      <c r="I17" s="134">
        <v>123.90046934710905</v>
      </c>
      <c r="J17" s="134">
        <v>100.35428578938753</v>
      </c>
      <c r="K17" s="134">
        <v>83.800104352801071</v>
      </c>
    </row>
    <row r="18" spans="2:11" x14ac:dyDescent="0.3">
      <c r="B18" s="22" t="s">
        <v>166</v>
      </c>
      <c r="C18" s="42">
        <f>BS!F10</f>
        <v>467</v>
      </c>
    </row>
    <row r="19" spans="2:11" x14ac:dyDescent="0.3">
      <c r="B19" s="22" t="s">
        <v>142</v>
      </c>
      <c r="C19" s="42">
        <f>-WACC!C5</f>
        <v>-529</v>
      </c>
    </row>
    <row r="21" spans="2:11" x14ac:dyDescent="0.3">
      <c r="B21" s="64" t="s">
        <v>167</v>
      </c>
      <c r="C21" s="70">
        <f>C16+C18+C19</f>
        <v>1191.6326024899308</v>
      </c>
    </row>
    <row r="22" spans="2:11" x14ac:dyDescent="0.3">
      <c r="B22" s="22" t="s">
        <v>168</v>
      </c>
      <c r="C22" s="136">
        <v>13.5</v>
      </c>
    </row>
    <row r="23" spans="2:11" x14ac:dyDescent="0.3">
      <c r="B23" s="38" t="s">
        <v>169</v>
      </c>
      <c r="C23" s="69">
        <f>C21/C22</f>
        <v>88.269081665920808</v>
      </c>
    </row>
  </sheetData>
  <mergeCells count="3">
    <mergeCell ref="F10:K10"/>
    <mergeCell ref="F11:K11"/>
    <mergeCell ref="E12:E17"/>
  </mergeCells>
  <conditionalFormatting sqref="G13:K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5"/>
  </sheetPr>
  <dimension ref="A1:A1000"/>
  <sheetViews>
    <sheetView showGridLines="0" workbookViewId="0"/>
  </sheetViews>
  <sheetFormatPr defaultColWidth="14.44140625" defaultRowHeight="15" customHeight="1" x14ac:dyDescent="0.3"/>
  <cols>
    <col min="1" max="26" width="8.6640625" customWidth="1"/>
  </cols>
  <sheetData>
    <row r="1" ht="14.25" customHeight="1" x14ac:dyDescent="0.3"/>
    <row r="2" ht="14.25" customHeight="1" x14ac:dyDescent="0.3"/>
    <row r="3" ht="14.25" customHeight="1" x14ac:dyDescent="0.3"/>
    <row r="4" ht="14.25" customHeight="1" x14ac:dyDescent="0.3"/>
    <row r="5" ht="14.25" customHeight="1" x14ac:dyDescent="0.3"/>
    <row r="6" ht="14.25" customHeight="1" x14ac:dyDescent="0.3"/>
    <row r="7" ht="14.25" customHeight="1" x14ac:dyDescent="0.3"/>
    <row r="8" ht="14.25" customHeight="1" x14ac:dyDescent="0.3"/>
    <row r="9" ht="14.25" customHeight="1" x14ac:dyDescent="0.3"/>
    <row r="10" ht="14.25" customHeight="1" x14ac:dyDescent="0.3"/>
    <row r="11" ht="14.25" customHeight="1" x14ac:dyDescent="0.3"/>
    <row r="12" ht="14.25" customHeight="1" x14ac:dyDescent="0.3"/>
    <row r="13" ht="14.25" customHeight="1" x14ac:dyDescent="0.3"/>
    <row r="14" ht="14.25" customHeight="1" x14ac:dyDescent="0.3"/>
    <row r="15" ht="14.25" customHeight="1" x14ac:dyDescent="0.3"/>
    <row r="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ECF72-C5FB-424C-A64B-6C55E62978B0}">
  <dimension ref="B3:X24"/>
  <sheetViews>
    <sheetView topLeftCell="C1" workbookViewId="0">
      <selection activeCell="Y1" sqref="Y1:Y1048576"/>
    </sheetView>
  </sheetViews>
  <sheetFormatPr defaultRowHeight="14.4" x14ac:dyDescent="0.3"/>
  <cols>
    <col min="2" max="2" width="20.6640625" customWidth="1"/>
    <col min="15" max="15" width="20.109375" customWidth="1"/>
  </cols>
  <sheetData>
    <row r="3" spans="2:24" x14ac:dyDescent="0.3">
      <c r="C3" s="13">
        <v>42064</v>
      </c>
      <c r="D3" s="13">
        <v>42430</v>
      </c>
      <c r="E3" s="13">
        <v>42795</v>
      </c>
      <c r="F3" s="13">
        <v>43160</v>
      </c>
      <c r="G3" s="13">
        <v>43525</v>
      </c>
      <c r="H3" s="13">
        <v>43891</v>
      </c>
      <c r="I3" s="13">
        <v>44256</v>
      </c>
      <c r="J3" s="13">
        <v>44621</v>
      </c>
      <c r="K3" s="13">
        <v>44986</v>
      </c>
      <c r="L3" s="13">
        <v>45352</v>
      </c>
      <c r="M3" s="13">
        <v>45717</v>
      </c>
      <c r="O3" s="87" t="s">
        <v>222</v>
      </c>
      <c r="P3" s="88">
        <v>42825</v>
      </c>
      <c r="Q3" s="88">
        <v>43190</v>
      </c>
      <c r="R3" s="88">
        <v>43555</v>
      </c>
      <c r="S3" s="88">
        <v>43921</v>
      </c>
      <c r="T3" s="88">
        <v>44286</v>
      </c>
      <c r="U3" s="88">
        <v>44651</v>
      </c>
      <c r="V3" s="88">
        <v>45016</v>
      </c>
      <c r="W3" s="88">
        <v>45382</v>
      </c>
      <c r="X3" s="88">
        <v>45747</v>
      </c>
    </row>
    <row r="4" spans="2:24" x14ac:dyDescent="0.3">
      <c r="B4" t="s">
        <v>171</v>
      </c>
      <c r="C4">
        <v>761</v>
      </c>
      <c r="D4">
        <v>959</v>
      </c>
      <c r="E4" s="42">
        <v>1714</v>
      </c>
      <c r="F4" s="42">
        <v>1268</v>
      </c>
      <c r="G4" s="42">
        <v>1559</v>
      </c>
      <c r="H4" s="42">
        <v>1766</v>
      </c>
      <c r="I4" s="42">
        <v>1521</v>
      </c>
      <c r="J4" s="42">
        <v>1468</v>
      </c>
      <c r="K4" s="42">
        <v>2780</v>
      </c>
      <c r="L4" s="42">
        <v>3853</v>
      </c>
      <c r="M4" s="42">
        <v>3868</v>
      </c>
      <c r="O4" s="89" t="s">
        <v>223</v>
      </c>
      <c r="P4">
        <v>1713.6</v>
      </c>
      <c r="Q4">
        <v>1268.19</v>
      </c>
      <c r="R4">
        <v>1559.29</v>
      </c>
      <c r="S4">
        <v>1766.32</v>
      </c>
      <c r="T4">
        <v>1520.64</v>
      </c>
      <c r="U4">
        <v>1467.5</v>
      </c>
      <c r="V4">
        <v>2779.59</v>
      </c>
      <c r="W4">
        <v>3853.3</v>
      </c>
      <c r="X4">
        <v>3867.75</v>
      </c>
    </row>
    <row r="5" spans="2:24" x14ac:dyDescent="0.3">
      <c r="B5" t="s">
        <v>172</v>
      </c>
      <c r="C5" s="51">
        <v>0.2195</v>
      </c>
      <c r="D5" s="51">
        <v>0.26019999999999999</v>
      </c>
      <c r="E5" s="51">
        <v>0.78649999999999998</v>
      </c>
      <c r="F5" s="51">
        <v>-0.25990000000000002</v>
      </c>
      <c r="G5" s="51">
        <v>0.22950000000000001</v>
      </c>
      <c r="H5" s="51">
        <v>0.1328</v>
      </c>
      <c r="I5" s="51">
        <v>-0.1391</v>
      </c>
      <c r="J5" s="51">
        <v>-3.49E-2</v>
      </c>
      <c r="K5" s="51">
        <v>0.89410000000000001</v>
      </c>
      <c r="L5" s="51">
        <v>0.38629999999999998</v>
      </c>
      <c r="M5" s="51">
        <v>3.8E-3</v>
      </c>
      <c r="O5" s="90" t="s">
        <v>224</v>
      </c>
      <c r="P5">
        <v>915.2</v>
      </c>
      <c r="Q5">
        <v>692.4</v>
      </c>
      <c r="R5">
        <v>999.77</v>
      </c>
      <c r="S5">
        <v>1192.3</v>
      </c>
      <c r="T5">
        <v>1045.6600000000001</v>
      </c>
      <c r="U5">
        <v>1037.26</v>
      </c>
      <c r="V5">
        <v>2165.3000000000002</v>
      </c>
      <c r="W5">
        <v>2951.7</v>
      </c>
      <c r="X5">
        <v>2964.91</v>
      </c>
    </row>
    <row r="6" spans="2:24" x14ac:dyDescent="0.3">
      <c r="B6" t="s">
        <v>211</v>
      </c>
      <c r="C6">
        <v>721</v>
      </c>
      <c r="D6">
        <v>929</v>
      </c>
      <c r="E6" s="42">
        <v>1605</v>
      </c>
      <c r="F6" s="42">
        <v>1365</v>
      </c>
      <c r="G6" s="42">
        <v>1550</v>
      </c>
      <c r="H6" s="42">
        <v>1645</v>
      </c>
      <c r="I6" s="42">
        <v>1440</v>
      </c>
      <c r="J6" s="42">
        <v>1303</v>
      </c>
      <c r="K6" s="42">
        <v>2529</v>
      </c>
      <c r="L6" s="42">
        <v>3404</v>
      </c>
      <c r="M6" s="42">
        <v>3459</v>
      </c>
      <c r="O6" s="90" t="s">
        <v>92</v>
      </c>
      <c r="P6">
        <v>-164.6</v>
      </c>
      <c r="Q6">
        <v>-64.84</v>
      </c>
      <c r="R6">
        <v>63.95</v>
      </c>
      <c r="S6">
        <v>40.81</v>
      </c>
      <c r="T6">
        <v>52.24</v>
      </c>
      <c r="U6">
        <v>-10.32</v>
      </c>
      <c r="V6">
        <v>15.37</v>
      </c>
      <c r="W6">
        <v>-36.380000000000003</v>
      </c>
      <c r="X6">
        <v>36.06</v>
      </c>
    </row>
    <row r="7" spans="2:24" x14ac:dyDescent="0.3">
      <c r="B7" t="s">
        <v>212</v>
      </c>
      <c r="C7" s="86">
        <v>0.61</v>
      </c>
      <c r="D7" s="86">
        <v>0.57999999999999996</v>
      </c>
      <c r="E7" s="86">
        <v>0.63</v>
      </c>
      <c r="F7" s="86">
        <v>0.6</v>
      </c>
      <c r="G7" s="86">
        <v>0.6</v>
      </c>
      <c r="H7" s="86">
        <v>0.65</v>
      </c>
      <c r="I7" s="86">
        <v>0.65</v>
      </c>
      <c r="J7" s="86">
        <v>0.71</v>
      </c>
      <c r="K7" s="86">
        <v>0.77</v>
      </c>
      <c r="L7" s="86">
        <v>0.78</v>
      </c>
      <c r="M7" s="86">
        <v>0.76</v>
      </c>
      <c r="O7" s="90" t="s">
        <v>225</v>
      </c>
      <c r="P7">
        <v>28.59</v>
      </c>
      <c r="Q7">
        <v>27.68</v>
      </c>
      <c r="R7">
        <v>35.04</v>
      </c>
      <c r="S7">
        <v>45.58</v>
      </c>
      <c r="T7">
        <v>34.22</v>
      </c>
      <c r="U7">
        <v>33.26</v>
      </c>
      <c r="V7">
        <v>43.7</v>
      </c>
      <c r="W7">
        <v>50.46</v>
      </c>
      <c r="X7">
        <v>59.54</v>
      </c>
    </row>
    <row r="8" spans="2:24" x14ac:dyDescent="0.3">
      <c r="B8" t="s">
        <v>213</v>
      </c>
      <c r="C8" s="86">
        <v>0.13</v>
      </c>
      <c r="D8" s="51">
        <v>0.11</v>
      </c>
      <c r="E8" s="86">
        <v>0.1</v>
      </c>
      <c r="F8" s="86">
        <v>0.13</v>
      </c>
      <c r="G8" s="51">
        <v>0.14000000000000001</v>
      </c>
      <c r="H8" s="86">
        <v>0.14000000000000001</v>
      </c>
      <c r="I8" s="86">
        <v>0.1</v>
      </c>
      <c r="J8" s="86">
        <v>0.1</v>
      </c>
      <c r="K8" s="86">
        <v>0.08</v>
      </c>
      <c r="L8" s="86">
        <v>7.0000000000000007E-2</v>
      </c>
      <c r="M8" s="86">
        <v>0.08</v>
      </c>
      <c r="O8" s="90" t="s">
        <v>226</v>
      </c>
      <c r="P8">
        <v>134.58000000000001</v>
      </c>
      <c r="Q8">
        <v>139.9</v>
      </c>
      <c r="R8">
        <v>185.36</v>
      </c>
      <c r="S8">
        <v>207.74</v>
      </c>
      <c r="T8">
        <v>111.41</v>
      </c>
      <c r="U8">
        <v>111.39</v>
      </c>
      <c r="V8">
        <v>188.99</v>
      </c>
      <c r="W8">
        <v>215.28</v>
      </c>
      <c r="X8">
        <v>260.58</v>
      </c>
    </row>
    <row r="9" spans="2:24" x14ac:dyDescent="0.3">
      <c r="B9" s="22" t="s">
        <v>221</v>
      </c>
      <c r="C9" s="86"/>
      <c r="D9" s="51"/>
      <c r="E9" s="86"/>
      <c r="F9" s="86"/>
      <c r="G9" s="51"/>
      <c r="H9" s="86"/>
      <c r="I9" s="86"/>
      <c r="J9" s="86"/>
      <c r="K9" s="86">
        <f>K7+K8</f>
        <v>0.85</v>
      </c>
      <c r="L9" s="86">
        <f t="shared" ref="L9:M9" si="0">L7+L8</f>
        <v>0.85000000000000009</v>
      </c>
      <c r="M9" s="86">
        <f t="shared" si="0"/>
        <v>0.84</v>
      </c>
      <c r="O9" s="90" t="s">
        <v>227</v>
      </c>
      <c r="P9">
        <v>212.84</v>
      </c>
      <c r="Q9">
        <v>239.78</v>
      </c>
      <c r="R9">
        <v>176.56</v>
      </c>
      <c r="S9">
        <v>152.11000000000001</v>
      </c>
      <c r="T9">
        <v>211.05</v>
      </c>
      <c r="U9">
        <v>46.19</v>
      </c>
      <c r="V9">
        <v>57.33</v>
      </c>
      <c r="W9">
        <v>67.739999999999995</v>
      </c>
      <c r="X9">
        <v>88.04</v>
      </c>
    </row>
    <row r="10" spans="2:24" x14ac:dyDescent="0.3">
      <c r="B10" t="s">
        <v>214</v>
      </c>
      <c r="C10" s="86">
        <v>0.1</v>
      </c>
      <c r="D10" s="86">
        <v>0.18</v>
      </c>
      <c r="E10" s="86">
        <v>0.12</v>
      </c>
      <c r="F10" s="86">
        <v>0.19</v>
      </c>
      <c r="G10" s="86">
        <v>0.11</v>
      </c>
      <c r="H10" s="86">
        <v>0.09</v>
      </c>
      <c r="I10" s="86">
        <v>0.14000000000000001</v>
      </c>
      <c r="J10" s="86">
        <v>0.03</v>
      </c>
      <c r="K10" s="86">
        <v>0.02</v>
      </c>
      <c r="L10" s="86">
        <v>0.02</v>
      </c>
      <c r="M10" s="86">
        <v>0.02</v>
      </c>
      <c r="O10" s="90" t="s">
        <v>228</v>
      </c>
      <c r="P10">
        <v>71.16</v>
      </c>
      <c r="Q10">
        <v>88.66</v>
      </c>
      <c r="R10">
        <v>107.61</v>
      </c>
      <c r="S10">
        <v>56.1</v>
      </c>
      <c r="T10">
        <v>55.04</v>
      </c>
      <c r="U10">
        <v>23.69</v>
      </c>
      <c r="V10">
        <v>29.79</v>
      </c>
      <c r="W10">
        <v>43.19</v>
      </c>
      <c r="X10">
        <v>49.25</v>
      </c>
    </row>
    <row r="11" spans="2:24" x14ac:dyDescent="0.3">
      <c r="B11" t="s">
        <v>215</v>
      </c>
      <c r="C11" s="86">
        <v>0.11</v>
      </c>
      <c r="D11" s="86">
        <v>0.1</v>
      </c>
      <c r="E11" s="86">
        <v>0.09</v>
      </c>
      <c r="F11" s="86">
        <v>0.16</v>
      </c>
      <c r="G11" s="86">
        <v>0.14000000000000001</v>
      </c>
      <c r="H11" s="86">
        <v>0.05</v>
      </c>
      <c r="I11" s="86">
        <v>0.06</v>
      </c>
      <c r="J11" s="86">
        <v>0.04</v>
      </c>
      <c r="K11" s="86">
        <v>0.03</v>
      </c>
      <c r="L11" s="86">
        <v>0.02</v>
      </c>
      <c r="M11" s="86">
        <v>0.03</v>
      </c>
      <c r="O11" s="90" t="s">
        <v>46</v>
      </c>
      <c r="P11">
        <v>78.47</v>
      </c>
      <c r="Q11">
        <v>112</v>
      </c>
      <c r="R11">
        <v>110</v>
      </c>
      <c r="S11">
        <v>32.46</v>
      </c>
      <c r="T11">
        <v>34.869999999999997</v>
      </c>
      <c r="U11">
        <v>40.47</v>
      </c>
      <c r="V11">
        <v>59.08</v>
      </c>
      <c r="W11">
        <v>39.24</v>
      </c>
      <c r="X11">
        <v>72.37</v>
      </c>
    </row>
    <row r="12" spans="2:24" x14ac:dyDescent="0.3">
      <c r="C12" s="86"/>
      <c r="D12" s="86"/>
      <c r="E12" s="86"/>
      <c r="F12" s="86"/>
      <c r="G12" s="86"/>
      <c r="H12" s="86"/>
      <c r="I12" s="86"/>
      <c r="J12" s="86"/>
      <c r="K12" s="86">
        <f>K10+K11</f>
        <v>0.05</v>
      </c>
      <c r="L12" s="86">
        <f t="shared" ref="L12:M12" si="1">L10+L11</f>
        <v>0.04</v>
      </c>
      <c r="M12" s="86">
        <f t="shared" si="1"/>
        <v>0.05</v>
      </c>
      <c r="O12" s="89" t="s">
        <v>90</v>
      </c>
      <c r="P12">
        <v>24.37</v>
      </c>
      <c r="Q12">
        <v>24.79</v>
      </c>
      <c r="R12">
        <v>24.75</v>
      </c>
      <c r="S12">
        <v>-60.09</v>
      </c>
      <c r="T12">
        <v>24.86</v>
      </c>
      <c r="U12">
        <v>-60.76</v>
      </c>
      <c r="V12">
        <v>33.659999999999997</v>
      </c>
      <c r="W12">
        <v>37.520000000000003</v>
      </c>
      <c r="X12">
        <v>75.209999999999994</v>
      </c>
    </row>
    <row r="13" spans="2:24" x14ac:dyDescent="0.3">
      <c r="B13" t="s">
        <v>173</v>
      </c>
      <c r="C13" s="22">
        <v>40</v>
      </c>
      <c r="D13">
        <v>30</v>
      </c>
      <c r="E13">
        <v>108</v>
      </c>
      <c r="F13">
        <v>-97</v>
      </c>
      <c r="G13">
        <v>9</v>
      </c>
      <c r="H13">
        <v>121</v>
      </c>
      <c r="I13">
        <v>81</v>
      </c>
      <c r="J13">
        <v>165</v>
      </c>
      <c r="K13">
        <v>251</v>
      </c>
      <c r="L13">
        <v>449</v>
      </c>
      <c r="M13">
        <v>409</v>
      </c>
      <c r="O13" s="89" t="s">
        <v>175</v>
      </c>
      <c r="P13">
        <v>51.52</v>
      </c>
      <c r="Q13">
        <v>50.84</v>
      </c>
      <c r="R13">
        <v>23.99</v>
      </c>
      <c r="S13">
        <v>29.13</v>
      </c>
      <c r="T13">
        <v>29.87</v>
      </c>
      <c r="U13">
        <v>18.38</v>
      </c>
      <c r="V13">
        <v>22.5</v>
      </c>
      <c r="W13">
        <v>27.1</v>
      </c>
      <c r="X13">
        <v>29.58</v>
      </c>
    </row>
    <row r="14" spans="2:24" x14ac:dyDescent="0.3">
      <c r="B14" t="s">
        <v>174</v>
      </c>
      <c r="C14" s="86">
        <v>0.05</v>
      </c>
      <c r="D14" s="51">
        <v>3.2000000000000001E-2</v>
      </c>
      <c r="E14" s="86">
        <v>0.06</v>
      </c>
      <c r="F14" s="86">
        <v>-0.08</v>
      </c>
      <c r="G14" s="51">
        <v>6.0000000000000001E-3</v>
      </c>
      <c r="H14" s="86">
        <v>7.0000000000000007E-2</v>
      </c>
      <c r="I14" s="86">
        <v>0.05</v>
      </c>
      <c r="J14" s="86">
        <v>0.11</v>
      </c>
      <c r="K14" s="86">
        <v>0.09</v>
      </c>
      <c r="L14" s="86">
        <v>0.12</v>
      </c>
      <c r="M14" s="86">
        <v>0.11</v>
      </c>
      <c r="O14" s="89" t="s">
        <v>15</v>
      </c>
      <c r="P14">
        <v>31.31</v>
      </c>
      <c r="Q14">
        <v>44.06</v>
      </c>
      <c r="R14">
        <v>65.180000000000007</v>
      </c>
      <c r="S14">
        <v>88.27</v>
      </c>
      <c r="T14">
        <v>81.2</v>
      </c>
      <c r="U14">
        <v>57.27</v>
      </c>
      <c r="V14">
        <v>80.75</v>
      </c>
      <c r="W14">
        <v>73.45</v>
      </c>
      <c r="X14">
        <v>73.150000000000006</v>
      </c>
    </row>
    <row r="15" spans="2:24" x14ac:dyDescent="0.3">
      <c r="B15" t="s">
        <v>216</v>
      </c>
      <c r="C15" s="86">
        <v>0</v>
      </c>
      <c r="D15" s="86">
        <v>20</v>
      </c>
      <c r="E15" s="86">
        <v>24</v>
      </c>
      <c r="F15" s="86">
        <v>25</v>
      </c>
      <c r="G15" s="86">
        <v>25</v>
      </c>
      <c r="H15" s="86">
        <v>-60</v>
      </c>
      <c r="I15" s="86">
        <v>25</v>
      </c>
      <c r="J15" s="86">
        <v>-61</v>
      </c>
      <c r="K15" s="86">
        <v>34</v>
      </c>
      <c r="L15" s="86">
        <v>38</v>
      </c>
      <c r="M15" s="86">
        <v>75</v>
      </c>
      <c r="O15" s="89" t="s">
        <v>176</v>
      </c>
      <c r="P15">
        <v>49.7</v>
      </c>
      <c r="Q15">
        <v>-167.18</v>
      </c>
      <c r="R15">
        <v>-55.52</v>
      </c>
      <c r="S15">
        <v>-56.65</v>
      </c>
      <c r="T15">
        <v>-5.58</v>
      </c>
      <c r="U15">
        <v>28.51</v>
      </c>
      <c r="V15">
        <v>181.18</v>
      </c>
      <c r="W15">
        <v>386.28</v>
      </c>
      <c r="X15">
        <v>381.6</v>
      </c>
    </row>
    <row r="16" spans="2:24" x14ac:dyDescent="0.3">
      <c r="B16" t="s">
        <v>217</v>
      </c>
      <c r="C16">
        <v>-28</v>
      </c>
      <c r="D16">
        <v>-21</v>
      </c>
      <c r="E16">
        <v>-5</v>
      </c>
      <c r="F16">
        <v>-1</v>
      </c>
      <c r="G16">
        <v>-8</v>
      </c>
      <c r="H16">
        <v>-92</v>
      </c>
      <c r="I16">
        <v>1</v>
      </c>
      <c r="J16">
        <v>-75</v>
      </c>
      <c r="K16">
        <v>-9</v>
      </c>
      <c r="L16">
        <v>-2</v>
      </c>
      <c r="M16">
        <v>0</v>
      </c>
      <c r="O16" s="89" t="s">
        <v>17</v>
      </c>
      <c r="P16">
        <v>22.26</v>
      </c>
      <c r="Q16">
        <v>-19.95</v>
      </c>
      <c r="R16">
        <v>-33</v>
      </c>
      <c r="S16">
        <v>-20.51</v>
      </c>
      <c r="T16">
        <v>13.21</v>
      </c>
      <c r="U16">
        <v>29.19</v>
      </c>
      <c r="V16">
        <v>55.47</v>
      </c>
      <c r="W16">
        <v>100.14</v>
      </c>
      <c r="X16">
        <v>106.68</v>
      </c>
    </row>
    <row r="17" spans="2:24" x14ac:dyDescent="0.3">
      <c r="B17" t="s">
        <v>218</v>
      </c>
      <c r="C17">
        <v>28</v>
      </c>
      <c r="D17">
        <v>41</v>
      </c>
      <c r="E17">
        <v>29</v>
      </c>
      <c r="F17">
        <v>26</v>
      </c>
      <c r="G17">
        <v>33</v>
      </c>
      <c r="H17">
        <v>31</v>
      </c>
      <c r="I17">
        <v>24</v>
      </c>
      <c r="J17">
        <v>15</v>
      </c>
      <c r="K17">
        <v>42</v>
      </c>
      <c r="L17">
        <v>40</v>
      </c>
      <c r="M17">
        <v>75</v>
      </c>
      <c r="O17" s="89" t="s">
        <v>229</v>
      </c>
      <c r="P17">
        <v>26.9</v>
      </c>
      <c r="Q17">
        <v>-143.62</v>
      </c>
      <c r="R17">
        <v>-28.52</v>
      </c>
      <c r="S17">
        <v>-34.19</v>
      </c>
      <c r="T17">
        <v>-15</v>
      </c>
      <c r="U17">
        <v>-0.33</v>
      </c>
      <c r="V17">
        <v>130.19999999999999</v>
      </c>
      <c r="W17">
        <v>286.14</v>
      </c>
      <c r="X17">
        <v>276.39</v>
      </c>
    </row>
    <row r="18" spans="2:24" x14ac:dyDescent="0.3">
      <c r="B18" t="s">
        <v>15</v>
      </c>
      <c r="C18">
        <v>18</v>
      </c>
      <c r="D18">
        <v>17</v>
      </c>
      <c r="E18">
        <v>31</v>
      </c>
      <c r="F18">
        <v>44</v>
      </c>
      <c r="G18">
        <v>65</v>
      </c>
      <c r="H18">
        <v>88</v>
      </c>
      <c r="I18">
        <v>81</v>
      </c>
      <c r="J18">
        <v>57</v>
      </c>
      <c r="K18">
        <v>81</v>
      </c>
      <c r="L18">
        <v>73</v>
      </c>
      <c r="M18">
        <v>73</v>
      </c>
      <c r="O18" s="89" t="s">
        <v>230</v>
      </c>
      <c r="P18">
        <v>9.23</v>
      </c>
      <c r="Q18">
        <v>3.46</v>
      </c>
      <c r="R18">
        <v>3.47</v>
      </c>
      <c r="S18" s="89"/>
      <c r="T18" s="89"/>
      <c r="U18" s="89"/>
      <c r="V18">
        <v>5.98</v>
      </c>
      <c r="W18">
        <v>10.77</v>
      </c>
      <c r="X18">
        <v>13.46</v>
      </c>
    </row>
    <row r="19" spans="2:24" x14ac:dyDescent="0.3">
      <c r="B19" t="s">
        <v>175</v>
      </c>
      <c r="C19">
        <v>26</v>
      </c>
      <c r="D19">
        <v>46</v>
      </c>
      <c r="E19">
        <v>52</v>
      </c>
      <c r="F19">
        <v>51</v>
      </c>
      <c r="G19">
        <v>24</v>
      </c>
      <c r="H19">
        <v>29</v>
      </c>
      <c r="I19">
        <v>30</v>
      </c>
      <c r="J19">
        <v>18</v>
      </c>
      <c r="K19">
        <v>22</v>
      </c>
      <c r="L19">
        <v>27</v>
      </c>
      <c r="M19">
        <v>30</v>
      </c>
    </row>
    <row r="20" spans="2:24" x14ac:dyDescent="0.3">
      <c r="B20" t="s">
        <v>176</v>
      </c>
      <c r="C20">
        <v>-4</v>
      </c>
      <c r="D20">
        <v>-13</v>
      </c>
      <c r="E20">
        <v>50</v>
      </c>
      <c r="F20">
        <v>-167</v>
      </c>
      <c r="G20">
        <v>-56</v>
      </c>
      <c r="H20">
        <v>-57</v>
      </c>
      <c r="I20">
        <v>-6</v>
      </c>
      <c r="J20">
        <v>29</v>
      </c>
      <c r="K20">
        <v>181</v>
      </c>
      <c r="L20">
        <v>386</v>
      </c>
      <c r="M20">
        <v>382</v>
      </c>
    </row>
    <row r="21" spans="2:24" x14ac:dyDescent="0.3">
      <c r="B21" t="s">
        <v>177</v>
      </c>
      <c r="C21" s="86">
        <v>1.77</v>
      </c>
      <c r="D21" s="86">
        <v>0.52</v>
      </c>
      <c r="E21" s="86">
        <v>0.45</v>
      </c>
      <c r="F21" s="86">
        <v>-0.12</v>
      </c>
      <c r="G21" s="86">
        <v>-0.59</v>
      </c>
      <c r="H21" s="86">
        <v>-0.36</v>
      </c>
      <c r="I21" s="86">
        <v>2.37</v>
      </c>
      <c r="J21" s="86">
        <v>1.02</v>
      </c>
      <c r="K21" s="86">
        <v>0.31</v>
      </c>
      <c r="L21" s="86">
        <v>0.26</v>
      </c>
      <c r="M21" s="86">
        <v>0.28000000000000003</v>
      </c>
    </row>
    <row r="22" spans="2:24" x14ac:dyDescent="0.3">
      <c r="B22" t="s">
        <v>178</v>
      </c>
      <c r="C22">
        <v>-10</v>
      </c>
      <c r="D22">
        <v>-20</v>
      </c>
      <c r="E22">
        <v>27</v>
      </c>
      <c r="F22">
        <v>-147</v>
      </c>
      <c r="G22">
        <v>-23</v>
      </c>
      <c r="H22">
        <v>-36</v>
      </c>
      <c r="I22">
        <v>-19</v>
      </c>
      <c r="J22">
        <v>-1</v>
      </c>
      <c r="K22">
        <v>126</v>
      </c>
      <c r="L22">
        <v>286</v>
      </c>
      <c r="M22">
        <v>275</v>
      </c>
    </row>
    <row r="23" spans="2:24" x14ac:dyDescent="0.3">
      <c r="B23" t="s">
        <v>219</v>
      </c>
      <c r="C23">
        <v>-0.33</v>
      </c>
      <c r="D23">
        <v>-1.69</v>
      </c>
      <c r="E23">
        <v>2.33</v>
      </c>
      <c r="F23">
        <v>-12.43</v>
      </c>
      <c r="G23">
        <v>-2.4700000000000002</v>
      </c>
      <c r="H23">
        <v>-2.96</v>
      </c>
      <c r="I23">
        <v>-1.26</v>
      </c>
      <c r="J23">
        <v>-0.03</v>
      </c>
      <c r="K23">
        <v>10.89</v>
      </c>
      <c r="L23">
        <v>21.25</v>
      </c>
      <c r="M23">
        <v>20.52</v>
      </c>
    </row>
    <row r="24" spans="2:24" x14ac:dyDescent="0.3">
      <c r="B24" t="s">
        <v>220</v>
      </c>
      <c r="C24" s="86">
        <v>-0.48</v>
      </c>
      <c r="D24" s="86">
        <v>-0.47</v>
      </c>
      <c r="E24" s="86">
        <v>0.34</v>
      </c>
      <c r="F24" s="86">
        <v>-0.02</v>
      </c>
      <c r="G24" s="86">
        <v>-0.12</v>
      </c>
      <c r="H24" s="86">
        <v>0</v>
      </c>
      <c r="I24" s="86">
        <v>0</v>
      </c>
      <c r="J24" s="86">
        <v>0</v>
      </c>
      <c r="K24" s="86">
        <v>0.05</v>
      </c>
      <c r="L24" s="86">
        <v>0.04</v>
      </c>
      <c r="M24" s="86">
        <v>0.05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D084C-3ABC-45B2-9074-A3389118859D}">
  <dimension ref="A3:N38"/>
  <sheetViews>
    <sheetView workbookViewId="0">
      <selection activeCell="O12" sqref="O12"/>
    </sheetView>
  </sheetViews>
  <sheetFormatPr defaultRowHeight="14.4" x14ac:dyDescent="0.3"/>
  <cols>
    <col min="2" max="2" width="24.21875" customWidth="1"/>
  </cols>
  <sheetData>
    <row r="3" spans="1:13" x14ac:dyDescent="0.3">
      <c r="C3" s="13">
        <v>42064</v>
      </c>
      <c r="D3" s="13">
        <v>42430</v>
      </c>
      <c r="E3" s="13">
        <v>42795</v>
      </c>
      <c r="F3" s="13">
        <v>43160</v>
      </c>
      <c r="G3" s="13">
        <v>43525</v>
      </c>
      <c r="H3" s="13">
        <v>43891</v>
      </c>
      <c r="I3" s="13">
        <v>44256</v>
      </c>
      <c r="J3" s="13">
        <v>44621</v>
      </c>
      <c r="K3" s="13">
        <v>44986</v>
      </c>
      <c r="L3" s="13">
        <v>45352</v>
      </c>
      <c r="M3" s="13">
        <v>45717</v>
      </c>
    </row>
    <row r="4" spans="1:13" x14ac:dyDescent="0.3">
      <c r="B4" t="s">
        <v>179</v>
      </c>
      <c r="C4">
        <v>20</v>
      </c>
      <c r="D4">
        <v>23</v>
      </c>
      <c r="E4">
        <v>23</v>
      </c>
      <c r="F4">
        <v>23</v>
      </c>
      <c r="G4">
        <v>23</v>
      </c>
      <c r="H4">
        <v>23</v>
      </c>
      <c r="I4">
        <v>24</v>
      </c>
      <c r="J4">
        <v>24</v>
      </c>
      <c r="K4">
        <v>24</v>
      </c>
      <c r="L4">
        <v>27</v>
      </c>
      <c r="M4">
        <v>27</v>
      </c>
    </row>
    <row r="5" spans="1:13" x14ac:dyDescent="0.3">
      <c r="B5" t="s">
        <v>180</v>
      </c>
      <c r="C5">
        <v>669</v>
      </c>
      <c r="D5">
        <v>930</v>
      </c>
      <c r="E5">
        <v>944</v>
      </c>
      <c r="F5">
        <v>832</v>
      </c>
      <c r="G5">
        <v>793</v>
      </c>
      <c r="H5">
        <v>743</v>
      </c>
      <c r="I5">
        <v>817</v>
      </c>
      <c r="J5">
        <v>818</v>
      </c>
      <c r="K5">
        <v>940</v>
      </c>
      <c r="L5" s="42">
        <v>2191</v>
      </c>
      <c r="M5" s="42">
        <v>2456</v>
      </c>
    </row>
    <row r="6" spans="1:13" x14ac:dyDescent="0.3">
      <c r="B6" t="s">
        <v>181</v>
      </c>
      <c r="C6">
        <v>125</v>
      </c>
      <c r="D6">
        <v>233</v>
      </c>
      <c r="E6">
        <v>372</v>
      </c>
      <c r="F6">
        <v>624</v>
      </c>
      <c r="G6">
        <v>896</v>
      </c>
      <c r="H6">
        <v>730</v>
      </c>
      <c r="I6">
        <v>847</v>
      </c>
      <c r="J6">
        <v>920</v>
      </c>
      <c r="K6">
        <v>353</v>
      </c>
      <c r="L6">
        <v>166</v>
      </c>
      <c r="M6">
        <v>627</v>
      </c>
    </row>
    <row r="7" spans="1:13" x14ac:dyDescent="0.3">
      <c r="B7" t="s">
        <v>182</v>
      </c>
      <c r="C7">
        <v>43</v>
      </c>
      <c r="D7">
        <v>164</v>
      </c>
      <c r="E7">
        <v>160</v>
      </c>
      <c r="F7">
        <v>187</v>
      </c>
      <c r="G7">
        <v>576</v>
      </c>
      <c r="H7">
        <v>553</v>
      </c>
      <c r="I7">
        <v>537</v>
      </c>
      <c r="J7">
        <v>496</v>
      </c>
      <c r="K7">
        <v>50</v>
      </c>
      <c r="L7">
        <v>37</v>
      </c>
      <c r="M7">
        <v>25</v>
      </c>
    </row>
    <row r="8" spans="1:13" x14ac:dyDescent="0.3">
      <c r="B8" t="s">
        <v>183</v>
      </c>
      <c r="C8">
        <v>54</v>
      </c>
      <c r="D8">
        <v>52</v>
      </c>
      <c r="E8">
        <v>182</v>
      </c>
      <c r="F8">
        <v>389</v>
      </c>
      <c r="G8">
        <v>294</v>
      </c>
      <c r="H8">
        <v>175</v>
      </c>
      <c r="I8">
        <v>308</v>
      </c>
      <c r="J8">
        <v>365</v>
      </c>
      <c r="K8">
        <v>200</v>
      </c>
      <c r="L8">
        <v>29</v>
      </c>
      <c r="M8">
        <v>504</v>
      </c>
    </row>
    <row r="9" spans="1:13" x14ac:dyDescent="0.3">
      <c r="B9" t="s">
        <v>184</v>
      </c>
      <c r="C9">
        <v>0</v>
      </c>
      <c r="D9">
        <v>0</v>
      </c>
      <c r="E9">
        <v>0</v>
      </c>
      <c r="F9">
        <v>0</v>
      </c>
      <c r="G9">
        <v>0</v>
      </c>
      <c r="H9">
        <v>0</v>
      </c>
      <c r="I9">
        <v>1</v>
      </c>
      <c r="J9">
        <v>59</v>
      </c>
      <c r="K9">
        <v>104</v>
      </c>
      <c r="L9">
        <v>99</v>
      </c>
      <c r="M9">
        <v>98</v>
      </c>
    </row>
    <row r="10" spans="1:13" x14ac:dyDescent="0.3">
      <c r="B10" t="s">
        <v>185</v>
      </c>
      <c r="C10">
        <v>29</v>
      </c>
      <c r="D10">
        <v>16</v>
      </c>
      <c r="E10">
        <v>30</v>
      </c>
      <c r="F10">
        <v>48</v>
      </c>
      <c r="G10">
        <v>26</v>
      </c>
      <c r="H10">
        <v>1</v>
      </c>
      <c r="I10">
        <v>0</v>
      </c>
      <c r="J10">
        <v>0</v>
      </c>
      <c r="K10">
        <v>0</v>
      </c>
      <c r="L10">
        <v>0</v>
      </c>
      <c r="M10">
        <v>0</v>
      </c>
    </row>
    <row r="11" spans="1:13" x14ac:dyDescent="0.3">
      <c r="B11" t="s">
        <v>186</v>
      </c>
      <c r="C11">
        <v>246</v>
      </c>
      <c r="D11" s="42">
        <v>1493</v>
      </c>
      <c r="E11" s="42">
        <v>1356</v>
      </c>
      <c r="F11" s="42">
        <v>1210</v>
      </c>
      <c r="G11">
        <v>975</v>
      </c>
      <c r="H11">
        <v>775</v>
      </c>
      <c r="I11">
        <v>775</v>
      </c>
      <c r="J11">
        <v>903</v>
      </c>
      <c r="K11">
        <v>931</v>
      </c>
      <c r="L11">
        <v>832</v>
      </c>
      <c r="M11">
        <v>651</v>
      </c>
    </row>
    <row r="12" spans="1:13" x14ac:dyDescent="0.3">
      <c r="B12" t="s">
        <v>187</v>
      </c>
      <c r="C12">
        <v>36</v>
      </c>
      <c r="D12">
        <v>79</v>
      </c>
      <c r="E12">
        <v>79</v>
      </c>
      <c r="F12">
        <v>64</v>
      </c>
      <c r="G12">
        <v>73</v>
      </c>
      <c r="H12">
        <v>79</v>
      </c>
      <c r="I12">
        <v>0</v>
      </c>
      <c r="J12">
        <v>0</v>
      </c>
      <c r="K12">
        <v>0</v>
      </c>
      <c r="L12">
        <v>0</v>
      </c>
      <c r="M12">
        <v>1</v>
      </c>
    </row>
    <row r="13" spans="1:13" x14ac:dyDescent="0.3">
      <c r="B13" t="s">
        <v>52</v>
      </c>
      <c r="C13">
        <v>96</v>
      </c>
      <c r="D13">
        <v>378</v>
      </c>
      <c r="E13">
        <v>442</v>
      </c>
      <c r="F13">
        <v>306</v>
      </c>
      <c r="G13">
        <v>535</v>
      </c>
      <c r="H13">
        <v>351</v>
      </c>
      <c r="I13">
        <v>398</v>
      </c>
      <c r="J13">
        <v>439</v>
      </c>
      <c r="K13">
        <v>323</v>
      </c>
      <c r="L13">
        <v>319</v>
      </c>
      <c r="M13">
        <v>235</v>
      </c>
    </row>
    <row r="14" spans="1:13" x14ac:dyDescent="0.3">
      <c r="B14" t="s">
        <v>188</v>
      </c>
      <c r="C14">
        <v>23</v>
      </c>
      <c r="D14">
        <v>632</v>
      </c>
      <c r="E14">
        <v>526</v>
      </c>
      <c r="F14">
        <v>503</v>
      </c>
      <c r="G14">
        <v>160</v>
      </c>
      <c r="H14">
        <v>59</v>
      </c>
      <c r="I14">
        <v>97</v>
      </c>
      <c r="J14">
        <v>337</v>
      </c>
      <c r="K14">
        <v>536</v>
      </c>
      <c r="L14">
        <v>0</v>
      </c>
      <c r="M14">
        <v>0</v>
      </c>
    </row>
    <row r="15" spans="1:13" x14ac:dyDescent="0.3">
      <c r="B15" t="s">
        <v>189</v>
      </c>
      <c r="C15">
        <v>91</v>
      </c>
      <c r="D15">
        <v>404</v>
      </c>
      <c r="E15">
        <v>309</v>
      </c>
      <c r="F15">
        <v>338</v>
      </c>
      <c r="G15">
        <v>207</v>
      </c>
      <c r="H15">
        <v>286</v>
      </c>
      <c r="I15">
        <v>280</v>
      </c>
      <c r="J15">
        <v>127</v>
      </c>
      <c r="K15">
        <v>72</v>
      </c>
      <c r="L15">
        <v>513</v>
      </c>
      <c r="M15">
        <v>414</v>
      </c>
    </row>
    <row r="16" spans="1:13" s="92" customFormat="1" x14ac:dyDescent="0.3">
      <c r="A16" s="91"/>
      <c r="B16" s="92" t="s">
        <v>190</v>
      </c>
      <c r="C16" s="93">
        <v>1060</v>
      </c>
      <c r="D16" s="93">
        <v>2678</v>
      </c>
      <c r="E16" s="93">
        <v>2695</v>
      </c>
      <c r="F16" s="93">
        <v>2689</v>
      </c>
      <c r="G16" s="93">
        <v>2687</v>
      </c>
      <c r="H16" s="93">
        <v>2272</v>
      </c>
      <c r="I16" s="93">
        <v>2462</v>
      </c>
      <c r="J16" s="93">
        <v>2664</v>
      </c>
      <c r="K16" s="93">
        <v>2248</v>
      </c>
      <c r="L16" s="93">
        <v>3216</v>
      </c>
      <c r="M16" s="93">
        <v>3761</v>
      </c>
    </row>
    <row r="17" spans="2:14" x14ac:dyDescent="0.3">
      <c r="B17" t="s">
        <v>191</v>
      </c>
      <c r="C17">
        <v>416</v>
      </c>
      <c r="D17">
        <v>977</v>
      </c>
      <c r="E17">
        <v>933</v>
      </c>
      <c r="F17">
        <v>958</v>
      </c>
      <c r="G17">
        <v>935</v>
      </c>
      <c r="H17">
        <v>872</v>
      </c>
      <c r="I17">
        <v>871</v>
      </c>
      <c r="J17">
        <v>966</v>
      </c>
      <c r="K17">
        <v>732</v>
      </c>
      <c r="L17">
        <v>748</v>
      </c>
      <c r="M17">
        <v>992</v>
      </c>
    </row>
    <row r="18" spans="2:14" x14ac:dyDescent="0.3">
      <c r="B18" t="s">
        <v>192</v>
      </c>
      <c r="C18">
        <v>182</v>
      </c>
      <c r="D18">
        <v>545</v>
      </c>
      <c r="E18">
        <v>528</v>
      </c>
      <c r="F18">
        <v>544</v>
      </c>
      <c r="G18">
        <v>540</v>
      </c>
      <c r="H18">
        <v>539</v>
      </c>
      <c r="I18">
        <v>543</v>
      </c>
      <c r="J18">
        <v>602</v>
      </c>
      <c r="K18">
        <v>554</v>
      </c>
      <c r="L18">
        <v>554</v>
      </c>
      <c r="M18">
        <v>525</v>
      </c>
    </row>
    <row r="19" spans="2:14" x14ac:dyDescent="0.3">
      <c r="B19" t="s">
        <v>193</v>
      </c>
      <c r="C19">
        <v>106</v>
      </c>
      <c r="D19">
        <v>258</v>
      </c>
      <c r="E19">
        <v>248</v>
      </c>
      <c r="F19">
        <v>275</v>
      </c>
      <c r="G19">
        <v>272</v>
      </c>
      <c r="H19">
        <v>239</v>
      </c>
      <c r="I19">
        <v>240</v>
      </c>
      <c r="J19">
        <v>262</v>
      </c>
      <c r="K19">
        <v>108</v>
      </c>
      <c r="L19">
        <v>116</v>
      </c>
      <c r="M19">
        <v>170</v>
      </c>
    </row>
    <row r="20" spans="2:14" x14ac:dyDescent="0.3">
      <c r="B20" t="s">
        <v>194</v>
      </c>
      <c r="C20">
        <v>208</v>
      </c>
      <c r="D20">
        <v>169</v>
      </c>
      <c r="E20">
        <v>172</v>
      </c>
      <c r="F20">
        <v>211</v>
      </c>
      <c r="G20">
        <v>223</v>
      </c>
      <c r="H20">
        <v>160</v>
      </c>
      <c r="I20">
        <v>175</v>
      </c>
      <c r="J20">
        <v>219</v>
      </c>
      <c r="K20">
        <v>137</v>
      </c>
      <c r="L20">
        <v>166</v>
      </c>
      <c r="M20">
        <v>304</v>
      </c>
    </row>
    <row r="21" spans="2:14" x14ac:dyDescent="0.3">
      <c r="B21" t="s">
        <v>195</v>
      </c>
      <c r="C21">
        <v>5</v>
      </c>
      <c r="D21">
        <v>2</v>
      </c>
      <c r="E21">
        <v>3</v>
      </c>
      <c r="F21">
        <v>1</v>
      </c>
      <c r="G21">
        <v>1</v>
      </c>
      <c r="H21">
        <v>2</v>
      </c>
      <c r="I21">
        <v>2</v>
      </c>
      <c r="J21">
        <v>2</v>
      </c>
      <c r="K21">
        <v>2</v>
      </c>
      <c r="L21">
        <v>4</v>
      </c>
      <c r="M21">
        <v>10</v>
      </c>
    </row>
    <row r="22" spans="2:14" x14ac:dyDescent="0.3">
      <c r="B22" t="s">
        <v>196</v>
      </c>
      <c r="C22">
        <v>0</v>
      </c>
      <c r="D22">
        <v>0</v>
      </c>
      <c r="E22">
        <v>0</v>
      </c>
      <c r="F22">
        <v>3</v>
      </c>
      <c r="G22">
        <v>3</v>
      </c>
      <c r="H22">
        <v>3</v>
      </c>
      <c r="I22">
        <v>4</v>
      </c>
      <c r="J22">
        <v>4</v>
      </c>
      <c r="K22">
        <v>5</v>
      </c>
      <c r="L22">
        <v>6</v>
      </c>
      <c r="M22">
        <v>8</v>
      </c>
    </row>
    <row r="23" spans="2:14" x14ac:dyDescent="0.3">
      <c r="B23" t="s">
        <v>197</v>
      </c>
      <c r="C23">
        <v>3</v>
      </c>
      <c r="D23">
        <v>3</v>
      </c>
      <c r="E23">
        <v>3</v>
      </c>
      <c r="F23">
        <v>4</v>
      </c>
      <c r="G23">
        <v>4</v>
      </c>
      <c r="H23">
        <v>4</v>
      </c>
      <c r="I23">
        <v>4</v>
      </c>
      <c r="J23">
        <v>4</v>
      </c>
      <c r="K23">
        <v>4</v>
      </c>
      <c r="L23">
        <v>5</v>
      </c>
      <c r="M23">
        <v>7</v>
      </c>
    </row>
    <row r="24" spans="2:14" x14ac:dyDescent="0.3">
      <c r="B24" t="s">
        <v>198</v>
      </c>
      <c r="C24">
        <v>4</v>
      </c>
      <c r="D24">
        <v>3</v>
      </c>
      <c r="E24">
        <v>3</v>
      </c>
      <c r="F24">
        <v>3</v>
      </c>
      <c r="G24">
        <v>4</v>
      </c>
      <c r="H24">
        <v>4</v>
      </c>
      <c r="I24">
        <v>11</v>
      </c>
      <c r="J24">
        <v>10</v>
      </c>
      <c r="K24">
        <v>12</v>
      </c>
      <c r="L24">
        <v>12</v>
      </c>
      <c r="M24">
        <v>9</v>
      </c>
    </row>
    <row r="25" spans="2:14" x14ac:dyDescent="0.3">
      <c r="B25" t="s">
        <v>199</v>
      </c>
      <c r="C25">
        <v>15</v>
      </c>
      <c r="D25">
        <v>2</v>
      </c>
      <c r="E25">
        <v>2</v>
      </c>
      <c r="F25">
        <v>2</v>
      </c>
      <c r="G25">
        <v>3</v>
      </c>
      <c r="H25">
        <v>3</v>
      </c>
      <c r="I25">
        <v>3</v>
      </c>
      <c r="J25">
        <v>3</v>
      </c>
      <c r="K25">
        <v>4</v>
      </c>
      <c r="L25">
        <v>5</v>
      </c>
      <c r="M25">
        <v>8</v>
      </c>
      <c r="N25">
        <f>SUM(K18:K26)-K29+K27</f>
        <v>731</v>
      </c>
    </row>
    <row r="26" spans="2:14" x14ac:dyDescent="0.3">
      <c r="B26" t="s">
        <v>54</v>
      </c>
      <c r="C26">
        <v>60</v>
      </c>
      <c r="D26">
        <v>28</v>
      </c>
      <c r="E26">
        <v>29</v>
      </c>
      <c r="F26">
        <v>36</v>
      </c>
      <c r="G26">
        <v>34</v>
      </c>
      <c r="H26">
        <v>2</v>
      </c>
      <c r="I26">
        <v>2</v>
      </c>
      <c r="J26">
        <v>2</v>
      </c>
      <c r="K26">
        <v>2</v>
      </c>
      <c r="L26">
        <v>2</v>
      </c>
      <c r="M26">
        <v>2</v>
      </c>
    </row>
    <row r="27" spans="2:14" x14ac:dyDescent="0.3">
      <c r="B27" t="s">
        <v>200</v>
      </c>
      <c r="C27">
        <v>14</v>
      </c>
      <c r="D27">
        <v>12</v>
      </c>
      <c r="E27">
        <v>37</v>
      </c>
      <c r="F27">
        <v>39</v>
      </c>
      <c r="G27">
        <v>67</v>
      </c>
      <c r="H27">
        <v>81</v>
      </c>
      <c r="I27">
        <v>78</v>
      </c>
      <c r="J27">
        <v>79</v>
      </c>
      <c r="K27">
        <v>40</v>
      </c>
      <c r="L27">
        <v>41</v>
      </c>
      <c r="M27">
        <v>110</v>
      </c>
      <c r="N27">
        <f>SUM(M18:M26)-M29+M27</f>
        <v>992</v>
      </c>
    </row>
    <row r="28" spans="2:14" x14ac:dyDescent="0.3">
      <c r="B28" s="91" t="s">
        <v>201</v>
      </c>
      <c r="C28" s="92">
        <v>596</v>
      </c>
      <c r="D28" s="93">
        <v>1022</v>
      </c>
      <c r="E28" s="93">
        <v>1025</v>
      </c>
      <c r="F28" s="93">
        <v>1117</v>
      </c>
      <c r="G28" s="93">
        <v>1151</v>
      </c>
      <c r="H28" s="93">
        <v>1038</v>
      </c>
      <c r="I28" s="93">
        <v>1062</v>
      </c>
      <c r="J28" s="93">
        <v>1187</v>
      </c>
      <c r="K28" s="92">
        <v>869</v>
      </c>
      <c r="L28" s="92">
        <v>913</v>
      </c>
      <c r="M28" s="94">
        <v>1153</v>
      </c>
      <c r="N28" s="42"/>
    </row>
    <row r="29" spans="2:14" x14ac:dyDescent="0.3">
      <c r="B29" t="s">
        <v>202</v>
      </c>
      <c r="C29">
        <v>181</v>
      </c>
      <c r="D29">
        <v>45</v>
      </c>
      <c r="E29">
        <v>92</v>
      </c>
      <c r="F29">
        <v>159</v>
      </c>
      <c r="G29">
        <v>216</v>
      </c>
      <c r="H29">
        <v>166</v>
      </c>
      <c r="I29">
        <v>190</v>
      </c>
      <c r="J29">
        <v>221</v>
      </c>
      <c r="K29">
        <v>137</v>
      </c>
      <c r="L29">
        <v>164</v>
      </c>
      <c r="M29">
        <v>161</v>
      </c>
    </row>
    <row r="30" spans="2:14" x14ac:dyDescent="0.3">
      <c r="B30" t="s">
        <v>94</v>
      </c>
      <c r="C30">
        <v>27</v>
      </c>
      <c r="D30">
        <v>13</v>
      </c>
      <c r="E30">
        <v>15</v>
      </c>
      <c r="F30">
        <v>27</v>
      </c>
      <c r="G30">
        <v>36</v>
      </c>
      <c r="H30">
        <v>0</v>
      </c>
      <c r="I30">
        <v>41</v>
      </c>
      <c r="J30">
        <v>61</v>
      </c>
      <c r="K30">
        <f>12+2</f>
        <v>14</v>
      </c>
      <c r="L30">
        <f>174-3</f>
        <v>171</v>
      </c>
      <c r="M30">
        <v>122</v>
      </c>
    </row>
    <row r="31" spans="2:14" x14ac:dyDescent="0.3">
      <c r="B31" t="s">
        <v>203</v>
      </c>
      <c r="C31">
        <v>1</v>
      </c>
      <c r="D31">
        <v>21</v>
      </c>
      <c r="E31">
        <v>82</v>
      </c>
      <c r="F31">
        <v>83</v>
      </c>
      <c r="G31">
        <v>87</v>
      </c>
      <c r="H31">
        <v>29</v>
      </c>
      <c r="I31">
        <v>31</v>
      </c>
      <c r="J31">
        <v>30</v>
      </c>
      <c r="K31">
        <v>32</v>
      </c>
      <c r="L31">
        <v>198</v>
      </c>
      <c r="M31">
        <v>299</v>
      </c>
    </row>
    <row r="32" spans="2:14" x14ac:dyDescent="0.3">
      <c r="B32" t="s">
        <v>204</v>
      </c>
      <c r="C32">
        <v>616</v>
      </c>
      <c r="D32" s="42">
        <v>1666</v>
      </c>
      <c r="E32" s="42">
        <v>1665</v>
      </c>
      <c r="F32" s="42">
        <v>1621</v>
      </c>
      <c r="G32" s="42">
        <v>1630</v>
      </c>
      <c r="H32" s="42">
        <v>1371</v>
      </c>
      <c r="I32" s="42">
        <v>1518</v>
      </c>
      <c r="J32" s="42">
        <v>1607</v>
      </c>
      <c r="K32" s="42">
        <v>1472</v>
      </c>
      <c r="L32" s="42">
        <v>2097</v>
      </c>
      <c r="M32" s="42">
        <v>2348</v>
      </c>
    </row>
    <row r="33" spans="2:13" x14ac:dyDescent="0.3">
      <c r="B33" t="s">
        <v>58</v>
      </c>
      <c r="C33">
        <v>224</v>
      </c>
      <c r="D33">
        <v>716</v>
      </c>
      <c r="E33">
        <v>537</v>
      </c>
      <c r="F33">
        <v>442</v>
      </c>
      <c r="G33">
        <v>521</v>
      </c>
      <c r="H33">
        <v>376</v>
      </c>
      <c r="I33">
        <v>385</v>
      </c>
      <c r="J33">
        <v>504</v>
      </c>
      <c r="K33">
        <v>461</v>
      </c>
      <c r="L33">
        <v>524</v>
      </c>
      <c r="M33">
        <v>523</v>
      </c>
    </row>
    <row r="34" spans="2:13" x14ac:dyDescent="0.3">
      <c r="B34" t="s">
        <v>205</v>
      </c>
      <c r="C34">
        <v>113</v>
      </c>
      <c r="D34">
        <v>230</v>
      </c>
      <c r="E34">
        <v>234</v>
      </c>
      <c r="F34">
        <v>276</v>
      </c>
      <c r="G34">
        <v>344</v>
      </c>
      <c r="H34">
        <v>252</v>
      </c>
      <c r="I34">
        <v>567</v>
      </c>
      <c r="J34">
        <v>233</v>
      </c>
      <c r="K34">
        <v>279</v>
      </c>
      <c r="L34">
        <v>533</v>
      </c>
      <c r="M34">
        <v>671</v>
      </c>
    </row>
    <row r="35" spans="2:13" x14ac:dyDescent="0.3">
      <c r="B35" t="s">
        <v>206</v>
      </c>
      <c r="C35">
        <v>147</v>
      </c>
      <c r="D35">
        <v>204</v>
      </c>
      <c r="E35">
        <v>46</v>
      </c>
      <c r="F35">
        <v>74</v>
      </c>
      <c r="G35">
        <v>119</v>
      </c>
      <c r="H35">
        <v>56</v>
      </c>
      <c r="I35">
        <v>124</v>
      </c>
      <c r="J35">
        <v>42</v>
      </c>
      <c r="K35">
        <v>100</v>
      </c>
      <c r="L35">
        <v>609</v>
      </c>
      <c r="M35">
        <v>467</v>
      </c>
    </row>
    <row r="36" spans="2:13" x14ac:dyDescent="0.3">
      <c r="B36" t="s">
        <v>207</v>
      </c>
      <c r="C36">
        <v>5</v>
      </c>
      <c r="D36">
        <v>9</v>
      </c>
      <c r="E36">
        <v>10</v>
      </c>
      <c r="F36">
        <v>108</v>
      </c>
      <c r="G36">
        <v>120</v>
      </c>
      <c r="H36">
        <v>8</v>
      </c>
      <c r="I36">
        <v>5</v>
      </c>
      <c r="J36">
        <v>16</v>
      </c>
      <c r="K36">
        <v>8</v>
      </c>
      <c r="L36">
        <v>9</v>
      </c>
      <c r="M36">
        <v>36</v>
      </c>
    </row>
    <row r="37" spans="2:13" x14ac:dyDescent="0.3">
      <c r="B37" t="s">
        <v>208</v>
      </c>
      <c r="C37">
        <v>127</v>
      </c>
      <c r="D37">
        <v>507</v>
      </c>
      <c r="E37">
        <v>837</v>
      </c>
      <c r="F37">
        <v>722</v>
      </c>
      <c r="G37">
        <v>525</v>
      </c>
      <c r="H37">
        <v>678</v>
      </c>
      <c r="I37">
        <v>437</v>
      </c>
      <c r="J37">
        <v>813</v>
      </c>
      <c r="K37">
        <v>623</v>
      </c>
      <c r="L37">
        <v>423</v>
      </c>
      <c r="M37">
        <v>650</v>
      </c>
    </row>
    <row r="38" spans="2:13" x14ac:dyDescent="0.3">
      <c r="B38" t="s">
        <v>26</v>
      </c>
      <c r="C38" s="42">
        <v>1060</v>
      </c>
      <c r="D38" s="42">
        <v>2678</v>
      </c>
      <c r="E38" s="42">
        <v>2695</v>
      </c>
      <c r="F38" s="42">
        <v>2689</v>
      </c>
      <c r="G38" s="42">
        <v>2687</v>
      </c>
      <c r="H38" s="42">
        <v>2272</v>
      </c>
      <c r="I38" s="42">
        <v>2462</v>
      </c>
      <c r="J38" s="42">
        <v>2664</v>
      </c>
      <c r="K38" s="42">
        <v>2248</v>
      </c>
      <c r="L38" s="42">
        <v>3216</v>
      </c>
      <c r="M38" s="42">
        <v>3761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5DEBD-FF99-4FEB-915B-D217BF7FDEB1}">
  <dimension ref="B2:M32"/>
  <sheetViews>
    <sheetView workbookViewId="0">
      <selection activeCell="P5" sqref="P5"/>
    </sheetView>
  </sheetViews>
  <sheetFormatPr defaultRowHeight="14.4" x14ac:dyDescent="0.3"/>
  <cols>
    <col min="2" max="2" width="35.77734375" customWidth="1"/>
    <col min="3" max="3" width="18.21875" customWidth="1"/>
    <col min="4" max="4" width="15.33203125" customWidth="1"/>
  </cols>
  <sheetData>
    <row r="2" spans="2:13" x14ac:dyDescent="0.3">
      <c r="C2" s="13">
        <v>42064</v>
      </c>
      <c r="D2" s="13">
        <v>42430</v>
      </c>
      <c r="E2" s="13">
        <v>42795</v>
      </c>
      <c r="F2" s="13">
        <v>43160</v>
      </c>
      <c r="G2" s="13">
        <v>43525</v>
      </c>
      <c r="H2" s="13">
        <v>43891</v>
      </c>
      <c r="I2" s="13">
        <v>44256</v>
      </c>
      <c r="J2" s="13">
        <v>44621</v>
      </c>
      <c r="K2" s="13">
        <v>44986</v>
      </c>
      <c r="L2" s="13">
        <v>45352</v>
      </c>
      <c r="M2" s="13">
        <v>45717</v>
      </c>
    </row>
    <row r="3" spans="2:13" x14ac:dyDescent="0.3">
      <c r="B3" t="s">
        <v>63</v>
      </c>
      <c r="C3">
        <v>102</v>
      </c>
      <c r="D3">
        <v>-154</v>
      </c>
      <c r="E3">
        <v>-177</v>
      </c>
      <c r="F3">
        <v>-121</v>
      </c>
      <c r="G3">
        <v>-124</v>
      </c>
      <c r="H3">
        <v>154</v>
      </c>
      <c r="I3">
        <v>68</v>
      </c>
      <c r="J3">
        <v>55</v>
      </c>
      <c r="K3">
        <v>41</v>
      </c>
      <c r="L3">
        <v>86</v>
      </c>
      <c r="M3">
        <v>-97</v>
      </c>
    </row>
    <row r="4" spans="2:13" x14ac:dyDescent="0.3">
      <c r="B4" t="s">
        <v>64</v>
      </c>
      <c r="C4">
        <v>25</v>
      </c>
      <c r="D4">
        <v>15</v>
      </c>
      <c r="E4">
        <v>114</v>
      </c>
      <c r="F4">
        <v>-56</v>
      </c>
      <c r="G4">
        <v>59</v>
      </c>
      <c r="H4">
        <v>152</v>
      </c>
      <c r="I4">
        <v>101</v>
      </c>
      <c r="J4">
        <v>201</v>
      </c>
      <c r="K4">
        <v>260</v>
      </c>
      <c r="L4">
        <v>476</v>
      </c>
      <c r="M4">
        <v>457</v>
      </c>
    </row>
    <row r="5" spans="2:13" x14ac:dyDescent="0.3">
      <c r="B5" t="s">
        <v>65</v>
      </c>
      <c r="C5">
        <v>35</v>
      </c>
      <c r="D5">
        <v>-119</v>
      </c>
      <c r="E5">
        <v>-7</v>
      </c>
      <c r="F5">
        <v>-47</v>
      </c>
      <c r="G5">
        <v>-81</v>
      </c>
      <c r="H5">
        <v>44</v>
      </c>
      <c r="I5">
        <v>-72</v>
      </c>
      <c r="J5">
        <v>-53</v>
      </c>
      <c r="K5">
        <v>-103</v>
      </c>
      <c r="L5">
        <v>-261</v>
      </c>
      <c r="M5">
        <v>-140</v>
      </c>
    </row>
    <row r="6" spans="2:13" x14ac:dyDescent="0.3">
      <c r="B6" t="s">
        <v>66</v>
      </c>
      <c r="C6">
        <v>94</v>
      </c>
      <c r="D6">
        <v>-117</v>
      </c>
      <c r="E6">
        <v>179</v>
      </c>
      <c r="F6">
        <v>96</v>
      </c>
      <c r="G6">
        <v>-79</v>
      </c>
      <c r="H6">
        <v>74</v>
      </c>
      <c r="I6">
        <v>-27</v>
      </c>
      <c r="J6">
        <v>-142</v>
      </c>
      <c r="K6">
        <v>-173</v>
      </c>
      <c r="L6">
        <v>-78</v>
      </c>
      <c r="M6">
        <v>0</v>
      </c>
    </row>
    <row r="7" spans="2:13" x14ac:dyDescent="0.3">
      <c r="B7" t="s">
        <v>67</v>
      </c>
      <c r="C7">
        <v>12</v>
      </c>
      <c r="D7">
        <v>0</v>
      </c>
      <c r="E7">
        <v>0</v>
      </c>
      <c r="F7">
        <v>0</v>
      </c>
      <c r="G7">
        <v>0</v>
      </c>
      <c r="H7">
        <v>0</v>
      </c>
      <c r="I7">
        <v>0</v>
      </c>
      <c r="J7">
        <v>39</v>
      </c>
      <c r="K7">
        <v>129</v>
      </c>
      <c r="L7">
        <v>-2</v>
      </c>
      <c r="M7">
        <v>-86</v>
      </c>
    </row>
    <row r="8" spans="2:13" x14ac:dyDescent="0.3">
      <c r="B8" t="s">
        <v>68</v>
      </c>
      <c r="C8">
        <v>7</v>
      </c>
      <c r="D8">
        <v>-271</v>
      </c>
      <c r="E8">
        <v>0</v>
      </c>
      <c r="F8">
        <v>0</v>
      </c>
      <c r="G8">
        <v>0</v>
      </c>
      <c r="H8">
        <v>0</v>
      </c>
      <c r="I8">
        <v>0</v>
      </c>
      <c r="J8">
        <v>0</v>
      </c>
      <c r="K8">
        <v>0</v>
      </c>
      <c r="L8">
        <v>0</v>
      </c>
      <c r="M8">
        <v>0</v>
      </c>
    </row>
    <row r="9" spans="2:13" x14ac:dyDescent="0.3">
      <c r="B9" t="s">
        <v>69</v>
      </c>
      <c r="C9">
        <v>-62</v>
      </c>
      <c r="D9">
        <v>339</v>
      </c>
      <c r="E9">
        <v>-452</v>
      </c>
      <c r="F9">
        <v>-94</v>
      </c>
      <c r="G9">
        <v>-3</v>
      </c>
      <c r="H9">
        <v>-106</v>
      </c>
      <c r="I9">
        <v>64</v>
      </c>
      <c r="J9">
        <v>20</v>
      </c>
      <c r="K9">
        <v>-7</v>
      </c>
      <c r="L9">
        <v>52</v>
      </c>
      <c r="M9">
        <v>-234</v>
      </c>
    </row>
    <row r="10" spans="2:13" x14ac:dyDescent="0.3">
      <c r="B10" t="s">
        <v>70</v>
      </c>
      <c r="C10">
        <v>87</v>
      </c>
      <c r="D10">
        <v>-168</v>
      </c>
      <c r="E10">
        <v>-280</v>
      </c>
      <c r="F10">
        <v>-45</v>
      </c>
      <c r="G10">
        <v>-163</v>
      </c>
      <c r="H10">
        <v>12</v>
      </c>
      <c r="I10">
        <v>-35</v>
      </c>
      <c r="J10">
        <v>-135</v>
      </c>
      <c r="K10">
        <v>-153</v>
      </c>
      <c r="L10">
        <v>-289</v>
      </c>
      <c r="M10">
        <v>-459</v>
      </c>
    </row>
    <row r="11" spans="2:13" x14ac:dyDescent="0.3">
      <c r="B11" t="s">
        <v>71</v>
      </c>
      <c r="C11">
        <v>-10</v>
      </c>
      <c r="D11">
        <v>-1</v>
      </c>
      <c r="E11">
        <v>-11</v>
      </c>
      <c r="F11">
        <v>-20</v>
      </c>
      <c r="G11">
        <v>-21</v>
      </c>
      <c r="H11">
        <v>-10</v>
      </c>
      <c r="I11">
        <v>1</v>
      </c>
      <c r="J11">
        <v>-12</v>
      </c>
      <c r="K11">
        <v>-66</v>
      </c>
      <c r="L11">
        <v>-101</v>
      </c>
      <c r="M11">
        <v>-96</v>
      </c>
    </row>
    <row r="12" spans="2:13" x14ac:dyDescent="0.3">
      <c r="B12" t="s">
        <v>72</v>
      </c>
      <c r="C12">
        <v>-25</v>
      </c>
      <c r="D12">
        <v>-50</v>
      </c>
      <c r="E12">
        <v>44</v>
      </c>
      <c r="F12">
        <v>-45</v>
      </c>
      <c r="G12">
        <v>-49</v>
      </c>
      <c r="H12">
        <v>4</v>
      </c>
      <c r="I12">
        <v>-60</v>
      </c>
      <c r="J12">
        <v>-73</v>
      </c>
      <c r="K12">
        <v>-61</v>
      </c>
      <c r="L12">
        <v>-537</v>
      </c>
      <c r="M12">
        <v>-579</v>
      </c>
    </row>
    <row r="13" spans="2:13" x14ac:dyDescent="0.3">
      <c r="B13" t="s">
        <v>73</v>
      </c>
      <c r="C13">
        <v>-41</v>
      </c>
      <c r="D13">
        <v>-22</v>
      </c>
      <c r="E13">
        <v>-22</v>
      </c>
      <c r="F13">
        <v>-37</v>
      </c>
      <c r="G13">
        <v>-63</v>
      </c>
      <c r="H13">
        <v>-36</v>
      </c>
      <c r="I13">
        <v>-60</v>
      </c>
      <c r="J13">
        <v>-102</v>
      </c>
      <c r="K13">
        <v>-37</v>
      </c>
      <c r="L13">
        <v>-164</v>
      </c>
      <c r="M13">
        <v>-236</v>
      </c>
    </row>
    <row r="14" spans="2:13" x14ac:dyDescent="0.3">
      <c r="B14" t="s">
        <v>74</v>
      </c>
      <c r="C14">
        <v>0</v>
      </c>
      <c r="D14">
        <v>0</v>
      </c>
      <c r="E14">
        <v>0</v>
      </c>
      <c r="F14">
        <v>9</v>
      </c>
      <c r="G14">
        <v>0</v>
      </c>
      <c r="H14">
        <v>11</v>
      </c>
      <c r="I14">
        <v>1</v>
      </c>
      <c r="J14">
        <v>6</v>
      </c>
      <c r="K14">
        <v>0</v>
      </c>
      <c r="L14">
        <v>0</v>
      </c>
      <c r="M14">
        <v>6</v>
      </c>
    </row>
    <row r="15" spans="2:13" x14ac:dyDescent="0.3">
      <c r="B15" t="s">
        <v>75</v>
      </c>
      <c r="C15">
        <v>0</v>
      </c>
      <c r="D15">
        <v>0</v>
      </c>
      <c r="E15">
        <v>0</v>
      </c>
      <c r="F15">
        <v>0</v>
      </c>
      <c r="G15">
        <v>0</v>
      </c>
      <c r="H15">
        <v>0</v>
      </c>
      <c r="I15">
        <v>0</v>
      </c>
      <c r="J15">
        <v>0</v>
      </c>
      <c r="K15">
        <v>0</v>
      </c>
      <c r="L15">
        <v>0</v>
      </c>
      <c r="M15">
        <v>0</v>
      </c>
    </row>
    <row r="16" spans="2:13" x14ac:dyDescent="0.3">
      <c r="B16" t="s">
        <v>76</v>
      </c>
      <c r="C16">
        <v>0</v>
      </c>
      <c r="D16">
        <v>0</v>
      </c>
      <c r="E16">
        <v>0</v>
      </c>
      <c r="F16">
        <v>0</v>
      </c>
      <c r="G16">
        <v>0</v>
      </c>
      <c r="H16">
        <v>59</v>
      </c>
      <c r="I16">
        <v>0</v>
      </c>
      <c r="J16">
        <v>3</v>
      </c>
      <c r="K16">
        <v>0</v>
      </c>
      <c r="L16">
        <v>0</v>
      </c>
      <c r="M16">
        <v>0</v>
      </c>
    </row>
    <row r="17" spans="2:13" x14ac:dyDescent="0.3">
      <c r="B17" t="s">
        <v>77</v>
      </c>
      <c r="C17">
        <v>10</v>
      </c>
      <c r="D17">
        <v>26</v>
      </c>
      <c r="E17">
        <v>11</v>
      </c>
      <c r="F17">
        <v>7</v>
      </c>
      <c r="G17">
        <v>20</v>
      </c>
      <c r="H17">
        <v>4</v>
      </c>
      <c r="I17">
        <v>2</v>
      </c>
      <c r="J17">
        <v>4</v>
      </c>
      <c r="K17">
        <v>6</v>
      </c>
      <c r="L17">
        <v>16</v>
      </c>
      <c r="M17">
        <v>30</v>
      </c>
    </row>
    <row r="18" spans="2:13" x14ac:dyDescent="0.3">
      <c r="B18" t="s">
        <v>78</v>
      </c>
      <c r="C18">
        <v>0</v>
      </c>
      <c r="D18">
        <v>0</v>
      </c>
      <c r="E18">
        <v>0</v>
      </c>
      <c r="F18">
        <v>0</v>
      </c>
      <c r="G18">
        <v>0</v>
      </c>
      <c r="H18">
        <v>0</v>
      </c>
      <c r="I18">
        <v>0</v>
      </c>
      <c r="J18">
        <v>0</v>
      </c>
      <c r="K18">
        <v>0</v>
      </c>
      <c r="L18">
        <v>0</v>
      </c>
      <c r="M18">
        <v>0</v>
      </c>
    </row>
    <row r="19" spans="2:13" x14ac:dyDescent="0.3">
      <c r="B19" t="s">
        <v>79</v>
      </c>
      <c r="C19">
        <v>0</v>
      </c>
      <c r="D19">
        <v>0</v>
      </c>
      <c r="E19">
        <v>0</v>
      </c>
      <c r="F19">
        <v>-1</v>
      </c>
      <c r="G19">
        <v>0</v>
      </c>
      <c r="H19">
        <v>0</v>
      </c>
      <c r="I19">
        <v>0</v>
      </c>
      <c r="J19">
        <v>0</v>
      </c>
      <c r="K19">
        <v>0</v>
      </c>
      <c r="L19">
        <v>-163</v>
      </c>
      <c r="M19">
        <v>-108</v>
      </c>
    </row>
    <row r="20" spans="2:13" x14ac:dyDescent="0.3">
      <c r="B20" t="s">
        <v>80</v>
      </c>
      <c r="C20">
        <v>7</v>
      </c>
      <c r="D20">
        <v>-54</v>
      </c>
      <c r="E20">
        <v>55</v>
      </c>
      <c r="F20">
        <v>-22</v>
      </c>
      <c r="G20">
        <v>-6</v>
      </c>
      <c r="H20">
        <v>-36</v>
      </c>
      <c r="I20">
        <v>-4</v>
      </c>
      <c r="J20">
        <v>16</v>
      </c>
      <c r="K20">
        <v>-30</v>
      </c>
      <c r="L20">
        <v>-226</v>
      </c>
      <c r="M20">
        <v>-270</v>
      </c>
    </row>
    <row r="21" spans="2:13" x14ac:dyDescent="0.3">
      <c r="B21" t="s">
        <v>81</v>
      </c>
      <c r="C21">
        <v>-69</v>
      </c>
      <c r="D21">
        <v>216</v>
      </c>
      <c r="E21">
        <v>111</v>
      </c>
      <c r="F21">
        <v>191</v>
      </c>
      <c r="G21">
        <v>214</v>
      </c>
      <c r="H21">
        <v>-227</v>
      </c>
      <c r="I21">
        <v>43</v>
      </c>
      <c r="J21">
        <v>-53</v>
      </c>
      <c r="K21">
        <v>67</v>
      </c>
      <c r="L21">
        <v>724</v>
      </c>
      <c r="M21">
        <v>372</v>
      </c>
    </row>
    <row r="22" spans="2:13" x14ac:dyDescent="0.3">
      <c r="B22" t="s">
        <v>82</v>
      </c>
      <c r="C22">
        <v>0</v>
      </c>
      <c r="D22">
        <v>153</v>
      </c>
      <c r="E22">
        <v>0</v>
      </c>
      <c r="F22">
        <v>0</v>
      </c>
      <c r="G22">
        <v>0</v>
      </c>
      <c r="H22">
        <v>0</v>
      </c>
      <c r="I22">
        <v>0</v>
      </c>
      <c r="J22">
        <v>1</v>
      </c>
      <c r="K22">
        <v>0</v>
      </c>
      <c r="L22">
        <v>975</v>
      </c>
      <c r="M22">
        <v>0</v>
      </c>
    </row>
    <row r="23" spans="2:13" x14ac:dyDescent="0.3">
      <c r="B23" t="s">
        <v>83</v>
      </c>
      <c r="C23">
        <v>40</v>
      </c>
      <c r="D23">
        <v>128</v>
      </c>
      <c r="E23">
        <v>162</v>
      </c>
      <c r="F23">
        <v>273</v>
      </c>
      <c r="G23">
        <v>412</v>
      </c>
      <c r="H23">
        <v>110</v>
      </c>
      <c r="I23">
        <v>153</v>
      </c>
      <c r="J23">
        <v>116</v>
      </c>
      <c r="K23">
        <v>158</v>
      </c>
      <c r="L23">
        <v>0</v>
      </c>
      <c r="M23">
        <v>475</v>
      </c>
    </row>
    <row r="24" spans="2:13" x14ac:dyDescent="0.3">
      <c r="B24" t="s">
        <v>84</v>
      </c>
      <c r="C24">
        <v>-24</v>
      </c>
      <c r="D24">
        <v>-27</v>
      </c>
      <c r="E24">
        <v>-8</v>
      </c>
      <c r="F24">
        <v>-21</v>
      </c>
      <c r="G24">
        <v>-133</v>
      </c>
      <c r="H24">
        <v>-252</v>
      </c>
      <c r="I24">
        <v>-46</v>
      </c>
      <c r="J24">
        <v>-103</v>
      </c>
      <c r="K24">
        <v>-47</v>
      </c>
      <c r="L24">
        <v>-183</v>
      </c>
      <c r="M24">
        <v>-13</v>
      </c>
    </row>
    <row r="25" spans="2:13" x14ac:dyDescent="0.3">
      <c r="B25" t="s">
        <v>85</v>
      </c>
      <c r="C25">
        <v>-14</v>
      </c>
      <c r="D25">
        <v>-11</v>
      </c>
      <c r="E25">
        <v>-41</v>
      </c>
      <c r="F25">
        <v>-42</v>
      </c>
      <c r="G25">
        <v>-63</v>
      </c>
      <c r="H25">
        <v>-85</v>
      </c>
      <c r="I25">
        <v>-64</v>
      </c>
      <c r="J25">
        <v>-63</v>
      </c>
      <c r="K25">
        <v>-52</v>
      </c>
      <c r="L25">
        <v>-47</v>
      </c>
      <c r="M25">
        <v>-66</v>
      </c>
    </row>
    <row r="26" spans="2:13" x14ac:dyDescent="0.3">
      <c r="B26" t="s">
        <v>86</v>
      </c>
      <c r="C26">
        <v>-9</v>
      </c>
      <c r="D26">
        <v>-22</v>
      </c>
      <c r="E26">
        <v>0</v>
      </c>
      <c r="F26">
        <v>-11</v>
      </c>
      <c r="G26">
        <v>-4</v>
      </c>
      <c r="H26">
        <v>-4</v>
      </c>
      <c r="I26">
        <v>0</v>
      </c>
      <c r="J26">
        <v>0</v>
      </c>
      <c r="K26">
        <v>0</v>
      </c>
      <c r="L26">
        <v>-6</v>
      </c>
      <c r="M26">
        <v>-11</v>
      </c>
    </row>
    <row r="27" spans="2:13" x14ac:dyDescent="0.3">
      <c r="B27" t="s">
        <v>87</v>
      </c>
      <c r="C27">
        <v>0</v>
      </c>
      <c r="D27">
        <v>0</v>
      </c>
      <c r="E27">
        <v>0</v>
      </c>
      <c r="F27">
        <v>0</v>
      </c>
      <c r="G27">
        <v>0</v>
      </c>
      <c r="H27">
        <v>0</v>
      </c>
      <c r="I27">
        <v>0</v>
      </c>
      <c r="J27">
        <v>-4</v>
      </c>
      <c r="K27">
        <v>-9</v>
      </c>
      <c r="L27">
        <v>-14</v>
      </c>
      <c r="M27">
        <v>-13</v>
      </c>
    </row>
    <row r="28" spans="2:13" x14ac:dyDescent="0.3">
      <c r="B28" t="s">
        <v>209</v>
      </c>
      <c r="C28">
        <v>0</v>
      </c>
      <c r="D28">
        <v>0</v>
      </c>
      <c r="E28">
        <v>0</v>
      </c>
      <c r="F28">
        <v>0</v>
      </c>
      <c r="G28">
        <v>0</v>
      </c>
      <c r="H28">
        <v>0</v>
      </c>
      <c r="I28">
        <v>0</v>
      </c>
      <c r="J28">
        <v>0</v>
      </c>
      <c r="K28">
        <v>0</v>
      </c>
      <c r="L28">
        <v>0</v>
      </c>
      <c r="M28">
        <v>0</v>
      </c>
    </row>
    <row r="29" spans="2:13" x14ac:dyDescent="0.3">
      <c r="B29" t="s">
        <v>88</v>
      </c>
      <c r="C29">
        <v>-61</v>
      </c>
      <c r="D29">
        <v>-6</v>
      </c>
      <c r="E29">
        <v>-1</v>
      </c>
      <c r="F29">
        <v>-8</v>
      </c>
      <c r="G29">
        <v>2</v>
      </c>
      <c r="H29">
        <v>4</v>
      </c>
      <c r="I29">
        <v>0</v>
      </c>
      <c r="J29">
        <v>1</v>
      </c>
      <c r="K29">
        <v>17</v>
      </c>
      <c r="L29">
        <v>0</v>
      </c>
      <c r="M29">
        <v>0</v>
      </c>
    </row>
    <row r="30" spans="2:13" x14ac:dyDescent="0.3">
      <c r="B30" t="s">
        <v>89</v>
      </c>
      <c r="C30">
        <v>8</v>
      </c>
      <c r="D30">
        <v>11</v>
      </c>
      <c r="E30">
        <v>-22</v>
      </c>
      <c r="F30">
        <v>25</v>
      </c>
      <c r="G30">
        <v>40</v>
      </c>
      <c r="H30">
        <v>-70</v>
      </c>
      <c r="I30">
        <v>51</v>
      </c>
      <c r="J30">
        <v>-71</v>
      </c>
      <c r="K30">
        <v>46</v>
      </c>
      <c r="L30">
        <v>274</v>
      </c>
      <c r="M30">
        <v>-304</v>
      </c>
    </row>
    <row r="31" spans="2:13" x14ac:dyDescent="0.3">
      <c r="B31" t="s">
        <v>156</v>
      </c>
      <c r="C31">
        <v>61</v>
      </c>
      <c r="D31">
        <v>-176</v>
      </c>
      <c r="E31">
        <v>-199</v>
      </c>
      <c r="F31">
        <v>-150</v>
      </c>
      <c r="G31">
        <v>-188</v>
      </c>
      <c r="H31">
        <v>129</v>
      </c>
      <c r="I31">
        <v>9</v>
      </c>
      <c r="J31">
        <v>-41</v>
      </c>
      <c r="K31">
        <v>4</v>
      </c>
      <c r="L31">
        <v>-78</v>
      </c>
      <c r="M31">
        <v>-328</v>
      </c>
    </row>
    <row r="32" spans="2:13" x14ac:dyDescent="0.3">
      <c r="B32" t="s">
        <v>210</v>
      </c>
      <c r="C32" s="86">
        <v>2.8</v>
      </c>
      <c r="D32" s="86">
        <v>-5.01</v>
      </c>
      <c r="E32" s="86">
        <v>-1.54</v>
      </c>
      <c r="F32" s="86">
        <v>1.04</v>
      </c>
      <c r="G32" s="86">
        <v>-11.61</v>
      </c>
      <c r="H32" s="86">
        <v>1.36</v>
      </c>
      <c r="I32" s="86">
        <v>0.82</v>
      </c>
      <c r="J32" s="86">
        <v>0.4</v>
      </c>
      <c r="K32" s="86">
        <v>0.43</v>
      </c>
      <c r="L32" s="86">
        <v>0.41</v>
      </c>
      <c r="M32" s="86">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38F918-CAE6-4604-9FBB-8003D26C3A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Assumptions ( Driver)</vt:lpstr>
      <vt:lpstr>Schedule </vt:lpstr>
      <vt:lpstr>Capex</vt:lpstr>
      <vt:lpstr>IS</vt:lpstr>
      <vt:lpstr>BS</vt:lpstr>
      <vt:lpstr>CFS</vt:lpstr>
      <vt:lpstr>Valuation</vt:lpstr>
      <vt:lpstr>Beta</vt:lpstr>
      <vt:lpstr>WACC</vt:lpstr>
      <vt:lpstr>DCF</vt:lpstr>
      <vt:lpstr>Source Data</vt:lpstr>
      <vt:lpstr>(IS)</vt:lpstr>
      <vt:lpstr>(BS)</vt:lpstr>
      <vt:lpstr>(CF)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Abinash Rath</dc:creator>
  <cp:lastModifiedBy>SANJEEV PARMAR</cp:lastModifiedBy>
  <dcterms:created xsi:type="dcterms:W3CDTF">2015-06-05T18:17:20Z</dcterms:created>
  <dcterms:modified xsi:type="dcterms:W3CDTF">2026-08-04T14:07:29Z</dcterms:modified>
</cp:coreProperties>
</file>