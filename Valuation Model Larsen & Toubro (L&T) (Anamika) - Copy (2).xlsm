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1.xml" ContentType="application/vnd.openxmlformats-officedocument.drawingml.chart+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pivotTables/pivotTable8.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hp\Downloads\"/>
    </mc:Choice>
  </mc:AlternateContent>
  <xr:revisionPtr revIDLastSave="0" documentId="13_ncr:1_{3457086A-5D15-4F97-B075-42E1274A3137}" xr6:coauthVersionLast="47" xr6:coauthVersionMax="47" xr10:uidLastSave="{00000000-0000-0000-0000-000000000000}"/>
  <bookViews>
    <workbookView xWindow="-108" yWindow="-108" windowWidth="23256" windowHeight="12456" xr2:uid="{00000000-000D-0000-FFFF-FFFF00000000}"/>
  </bookViews>
  <sheets>
    <sheet name="Index" sheetId="22" r:id="rId1"/>
    <sheet name="Dashboard" sheetId="29" r:id="rId2"/>
    <sheet name="P&amp;L_Pivot" sheetId="31" state="hidden" r:id="rId3"/>
    <sheet name="Ratio_Pivot" sheetId="32" state="hidden" r:id="rId4"/>
    <sheet name="CF_Pivot" sheetId="33" state="hidden" r:id="rId5"/>
    <sheet name="Overview" sheetId="24" r:id="rId6"/>
    <sheet name="Sheet3" sheetId="28" state="hidden" r:id="rId7"/>
    <sheet name="Comparative" sheetId="25" r:id="rId8"/>
    <sheet name="Sheet2" sheetId="27" state="hidden" r:id="rId9"/>
    <sheet name="Sheet1" sheetId="26" state="hidden" r:id="rId10"/>
    <sheet name="Ratios" sheetId="23" r:id="rId11"/>
    <sheet name="Drivers" sheetId="11" r:id="rId12"/>
    <sheet name="3 Statements &gt;" sheetId="10" r:id="rId13"/>
    <sheet name="P&amp;L" sheetId="6" r:id="rId14"/>
    <sheet name="Balance Sheet" sheetId="8" r:id="rId15"/>
    <sheet name="Cash Flow" sheetId="9" r:id="rId16"/>
    <sheet name="Cash Flow (A)" sheetId="16" state="hidden" r:id="rId17"/>
    <sheet name="Valuation &gt;" sheetId="17" r:id="rId18"/>
    <sheet name="WACC" sheetId="20" r:id="rId19"/>
    <sheet name="DCF" sheetId="21" r:id="rId20"/>
    <sheet name="Schedules &gt;" sheetId="12" r:id="rId21"/>
    <sheet name="PPE" sheetId="14" r:id="rId22"/>
    <sheet name="WC" sheetId="15" r:id="rId23"/>
    <sheet name="Source &gt;" sheetId="4" r:id="rId24"/>
    <sheet name="(IS)" sheetId="1" r:id="rId25"/>
    <sheet name="(BS)" sheetId="2" r:id="rId26"/>
    <sheet name="(CFS)" sheetId="3" r:id="rId27"/>
  </sheets>
  <definedNames>
    <definedName name="_xlchart.v1.0" hidden="1">'P&amp;L_Pivot'!$I$3:$I$9</definedName>
    <definedName name="_xlchart.v1.1" hidden="1">'P&amp;L_Pivot'!$J$3:$J$9</definedName>
    <definedName name="LiveCase">Drivers!$C$2</definedName>
    <definedName name="Slicer_Years">#N/A</definedName>
    <definedName name="vba_average">Drivers!$G$2</definedName>
    <definedName name="vba_best">Drivers!$H$2</definedName>
    <definedName name="vba_worst">Drivers!$F$2</definedName>
  </definedNames>
  <calcPr calcId="191029"/>
  <pivotCaches>
    <pivotCache cacheId="0" r:id="rId28"/>
    <pivotCache cacheId="1" r:id="rId29"/>
    <pivotCache cacheId="2"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0" i="8" l="1"/>
  <c r="E40" i="8"/>
  <c r="F40" i="8"/>
  <c r="G40" i="8"/>
  <c r="L45" i="8"/>
  <c r="K45" i="8"/>
  <c r="J45" i="8"/>
  <c r="H45" i="8"/>
  <c r="H26" i="9" s="1"/>
  <c r="H25" i="9"/>
  <c r="H29" i="8"/>
  <c r="H30" i="8"/>
  <c r="H12" i="9"/>
  <c r="H19" i="9"/>
  <c r="H29" i="9"/>
  <c r="H18" i="9"/>
  <c r="H14" i="8"/>
  <c r="H34" i="8"/>
  <c r="M14" i="32"/>
  <c r="M15" i="32"/>
  <c r="M16" i="32"/>
  <c r="M17" i="32"/>
  <c r="M18" i="32"/>
  <c r="M19" i="32"/>
  <c r="M13" i="32"/>
  <c r="G11" i="33"/>
  <c r="H11" i="33"/>
  <c r="I11" i="33"/>
  <c r="J11" i="33"/>
  <c r="K11" i="33"/>
  <c r="F11" i="33"/>
  <c r="G10" i="33"/>
  <c r="H10" i="33"/>
  <c r="I10" i="33"/>
  <c r="J10" i="33"/>
  <c r="K10" i="33"/>
  <c r="F10" i="33"/>
  <c r="G9" i="33"/>
  <c r="H9" i="33"/>
  <c r="I9" i="33"/>
  <c r="J9" i="33"/>
  <c r="K9" i="33"/>
  <c r="F9" i="33"/>
  <c r="F34" i="31"/>
  <c r="G34" i="31"/>
  <c r="H34" i="31"/>
  <c r="I34" i="31"/>
  <c r="J34" i="31"/>
  <c r="K34" i="31"/>
  <c r="L34" i="31"/>
  <c r="M34" i="31"/>
  <c r="N34" i="31"/>
  <c r="O34" i="31"/>
  <c r="L19" i="31"/>
  <c r="K19" i="31"/>
  <c r="J19" i="31"/>
  <c r="J9" i="31"/>
  <c r="J8" i="31"/>
  <c r="J7" i="31"/>
  <c r="J6" i="31"/>
  <c r="J5" i="31"/>
  <c r="J4" i="31"/>
  <c r="J3" i="31"/>
  <c r="C202" i="32" l="1"/>
  <c r="C192" i="32"/>
  <c r="C182" i="32"/>
  <c r="C172" i="32"/>
  <c r="C32" i="32"/>
  <c r="C22" i="32"/>
  <c r="C12" i="32"/>
  <c r="C2" i="32"/>
  <c r="I4" i="15" l="1"/>
  <c r="J4" i="15"/>
  <c r="K4" i="15"/>
  <c r="L4" i="15"/>
  <c r="H4" i="15"/>
  <c r="D4" i="15"/>
  <c r="E4" i="15"/>
  <c r="F4" i="15"/>
  <c r="G4" i="15"/>
  <c r="C4" i="15"/>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83" i="28"/>
  <c r="G84" i="28"/>
  <c r="G85" i="28"/>
  <c r="G86" i="28"/>
  <c r="G87" i="28"/>
  <c r="G88" i="28"/>
  <c r="G89" i="28"/>
  <c r="G90" i="28"/>
  <c r="G91" i="28"/>
  <c r="G92" i="28"/>
  <c r="G93" i="28"/>
  <c r="G94" i="28"/>
  <c r="G95" i="28"/>
  <c r="G96" i="28"/>
  <c r="G97" i="28"/>
  <c r="G98" i="28"/>
  <c r="G99" i="28"/>
  <c r="G100" i="28"/>
  <c r="G101" i="28"/>
  <c r="G102" i="28"/>
  <c r="G103" i="28"/>
  <c r="G104" i="28"/>
  <c r="G105" i="28"/>
  <c r="G106" i="28"/>
  <c r="G107" i="28"/>
  <c r="G108" i="28"/>
  <c r="G109" i="28"/>
  <c r="G110" i="28"/>
  <c r="G111" i="28"/>
  <c r="G112" i="28"/>
  <c r="G113" i="28"/>
  <c r="G114" i="28"/>
  <c r="G115" i="28"/>
  <c r="G116" i="28"/>
  <c r="G117" i="28"/>
  <c r="G118" i="28"/>
  <c r="G119" i="28"/>
  <c r="G120" i="28"/>
  <c r="G121" i="28"/>
  <c r="G122" i="28"/>
  <c r="G123" i="28"/>
  <c r="G124" i="28"/>
  <c r="G125" i="28"/>
  <c r="G126" i="28"/>
  <c r="G127" i="28"/>
  <c r="G128" i="28"/>
  <c r="G129" i="28"/>
  <c r="G130" i="28"/>
  <c r="G131" i="28"/>
  <c r="G132" i="28"/>
  <c r="G133" i="28"/>
  <c r="G134" i="28"/>
  <c r="G135" i="28"/>
  <c r="G136" i="28"/>
  <c r="G137" i="28"/>
  <c r="G138" i="28"/>
  <c r="G139" i="28"/>
  <c r="G140" i="28"/>
  <c r="G141" i="28"/>
  <c r="G142" i="28"/>
  <c r="G143" i="28"/>
  <c r="G144" i="28"/>
  <c r="G145" i="28"/>
  <c r="G146" i="28"/>
  <c r="G147" i="28"/>
  <c r="G148" i="28"/>
  <c r="G149" i="28"/>
  <c r="G150" i="28"/>
  <c r="G151" i="28"/>
  <c r="G152" i="28"/>
  <c r="G153" i="28"/>
  <c r="G154" i="28"/>
  <c r="G155" i="28"/>
  <c r="G156" i="28"/>
  <c r="G157" i="28"/>
  <c r="G158" i="28"/>
  <c r="G159" i="28"/>
  <c r="G160" i="28"/>
  <c r="G161" i="28"/>
  <c r="G162" i="28"/>
  <c r="G163" i="28"/>
  <c r="G164" i="28"/>
  <c r="G165" i="28"/>
  <c r="G166" i="28"/>
  <c r="G167" i="28"/>
  <c r="G168" i="28"/>
  <c r="G169" i="28"/>
  <c r="G170" i="28"/>
  <c r="G171" i="28"/>
  <c r="G172" i="28"/>
  <c r="G173" i="28"/>
  <c r="G174" i="28"/>
  <c r="G175" i="28"/>
  <c r="G176" i="28"/>
  <c r="G177" i="28"/>
  <c r="G178" i="28"/>
  <c r="G179" i="28"/>
  <c r="G180" i="28"/>
  <c r="G181" i="28"/>
  <c r="G182" i="28"/>
  <c r="G183" i="28"/>
  <c r="G184" i="28"/>
  <c r="G185" i="28"/>
  <c r="G186" i="28"/>
  <c r="G187" i="28"/>
  <c r="G188" i="28"/>
  <c r="G189" i="28"/>
  <c r="G190" i="28"/>
  <c r="G191" i="28"/>
  <c r="G192" i="28"/>
  <c r="G193" i="28"/>
  <c r="G194" i="28"/>
  <c r="G195" i="28"/>
  <c r="G196" i="28"/>
  <c r="G197" i="28"/>
  <c r="G198" i="28"/>
  <c r="G199" i="28"/>
  <c r="G200" i="28"/>
  <c r="G201" i="28"/>
  <c r="G202" i="28"/>
  <c r="G203" i="28"/>
  <c r="G204" i="28"/>
  <c r="G205" i="28"/>
  <c r="G206" i="28"/>
  <c r="G207" i="28"/>
  <c r="G208" i="28"/>
  <c r="G209" i="28"/>
  <c r="G210" i="28"/>
  <c r="G211" i="28"/>
  <c r="G212" i="28"/>
  <c r="G213" i="28"/>
  <c r="G214" i="28"/>
  <c r="G215" i="28"/>
  <c r="G216" i="28"/>
  <c r="G217" i="28"/>
  <c r="G218" i="28"/>
  <c r="G219" i="28"/>
  <c r="G220" i="28"/>
  <c r="G221" i="28"/>
  <c r="G222" i="28"/>
  <c r="G223" i="28"/>
  <c r="G224" i="28"/>
  <c r="G225" i="28"/>
  <c r="G226" i="28"/>
  <c r="G227" i="28"/>
  <c r="G228" i="28"/>
  <c r="G229" i="28"/>
  <c r="G230" i="28"/>
  <c r="G231" i="28"/>
  <c r="G232" i="28"/>
  <c r="G233" i="28"/>
  <c r="G234" i="28"/>
  <c r="G235" i="28"/>
  <c r="G236" i="28"/>
  <c r="G237" i="28"/>
  <c r="G238" i="28"/>
  <c r="G239" i="28"/>
  <c r="G240" i="28"/>
  <c r="G241" i="28"/>
  <c r="G242" i="28"/>
  <c r="G243" i="28"/>
  <c r="G244" i="28"/>
  <c r="G245" i="28"/>
  <c r="G246" i="28"/>
  <c r="G247" i="28"/>
  <c r="G248" i="28"/>
  <c r="G249" i="28"/>
  <c r="G250" i="28"/>
  <c r="G251" i="28"/>
  <c r="G252" i="28"/>
  <c r="G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6" i="28"/>
  <c r="J5" i="24"/>
  <c r="R5" i="24" s="1"/>
  <c r="K5" i="24"/>
  <c r="S5" i="24" s="1"/>
  <c r="L5" i="24"/>
  <c r="T5" i="24" s="1"/>
  <c r="I5" i="24"/>
  <c r="Q5" i="24" s="1"/>
  <c r="H6" i="25"/>
  <c r="I6" i="25" s="1"/>
  <c r="E6" i="25"/>
  <c r="I4" i="21"/>
  <c r="J4" i="21"/>
  <c r="K4" i="21"/>
  <c r="L4" i="21"/>
  <c r="H4" i="21"/>
  <c r="D4" i="21"/>
  <c r="E4" i="21"/>
  <c r="F4" i="21"/>
  <c r="G4" i="21"/>
  <c r="C4" i="21"/>
  <c r="H17" i="9" l="1"/>
  <c r="C97" i="33" s="1"/>
  <c r="E13" i="15"/>
  <c r="F13" i="15"/>
  <c r="D12" i="15"/>
  <c r="E12" i="15"/>
  <c r="C12" i="15"/>
  <c r="F9" i="15"/>
  <c r="E8" i="15"/>
  <c r="C6" i="15"/>
  <c r="D6" i="15"/>
  <c r="G6" i="15"/>
  <c r="F7" i="15"/>
  <c r="G7" i="15"/>
  <c r="F26" i="14"/>
  <c r="I4" i="14"/>
  <c r="J4" i="14"/>
  <c r="K4" i="14"/>
  <c r="L4" i="14"/>
  <c r="H4" i="14"/>
  <c r="D4" i="14"/>
  <c r="E4" i="14"/>
  <c r="F4" i="14"/>
  <c r="G4" i="14"/>
  <c r="C4" i="14"/>
  <c r="F16" i="14"/>
  <c r="E8" i="14"/>
  <c r="F8" i="14"/>
  <c r="D31" i="11"/>
  <c r="G31" i="11"/>
  <c r="F30" i="11"/>
  <c r="G30" i="11"/>
  <c r="E29" i="11"/>
  <c r="D22" i="11"/>
  <c r="E22" i="11"/>
  <c r="C22" i="11"/>
  <c r="E43" i="1"/>
  <c r="E44" i="1"/>
  <c r="C54" i="1" s="1"/>
  <c r="H10" i="11" s="1"/>
  <c r="E45" i="1"/>
  <c r="E46" i="1"/>
  <c r="E47" i="1"/>
  <c r="E48" i="1"/>
  <c r="E49" i="1"/>
  <c r="E50" i="1"/>
  <c r="E42" i="1"/>
  <c r="I4" i="11"/>
  <c r="J4" i="11"/>
  <c r="K4" i="11"/>
  <c r="L4" i="11"/>
  <c r="H4" i="11"/>
  <c r="D4" i="11"/>
  <c r="E4" i="11"/>
  <c r="F4" i="11"/>
  <c r="G4" i="11"/>
  <c r="C4" i="11"/>
  <c r="D29" i="9"/>
  <c r="C193" i="33" s="1"/>
  <c r="E29" i="9"/>
  <c r="C194" i="33" s="1"/>
  <c r="F29" i="9"/>
  <c r="C195" i="33" s="1"/>
  <c r="G29" i="9"/>
  <c r="C196" i="33" s="1"/>
  <c r="C29" i="9"/>
  <c r="C192" i="33" s="1"/>
  <c r="C25" i="9"/>
  <c r="C152" i="33" s="1"/>
  <c r="D25" i="9"/>
  <c r="C153" i="33" s="1"/>
  <c r="E25" i="9"/>
  <c r="C154" i="33" s="1"/>
  <c r="F25" i="9"/>
  <c r="C155" i="33" s="1"/>
  <c r="G25" i="9"/>
  <c r="C156" i="33" s="1"/>
  <c r="C26" i="9"/>
  <c r="C162" i="33" s="1"/>
  <c r="D26" i="9"/>
  <c r="C163" i="33" s="1"/>
  <c r="E26" i="9"/>
  <c r="C164" i="33" s="1"/>
  <c r="F26" i="9"/>
  <c r="C165" i="33" s="1"/>
  <c r="G26" i="9"/>
  <c r="C166" i="33" s="1"/>
  <c r="C27" i="9"/>
  <c r="C172" i="33" s="1"/>
  <c r="D27" i="9"/>
  <c r="C173" i="33" s="1"/>
  <c r="E27" i="9"/>
  <c r="C174" i="33" s="1"/>
  <c r="F27" i="9"/>
  <c r="C175" i="33" s="1"/>
  <c r="G27" i="9"/>
  <c r="C176" i="33" s="1"/>
  <c r="C28" i="9"/>
  <c r="C182" i="33" s="1"/>
  <c r="D28" i="9"/>
  <c r="C183" i="33" s="1"/>
  <c r="E28" i="9"/>
  <c r="C184" i="33" s="1"/>
  <c r="F28" i="9"/>
  <c r="C185" i="33" s="1"/>
  <c r="G28" i="9"/>
  <c r="C186" i="33" s="1"/>
  <c r="D24" i="9"/>
  <c r="C143" i="33" s="1"/>
  <c r="E24" i="9"/>
  <c r="C144" i="33" s="1"/>
  <c r="F24" i="9"/>
  <c r="C145" i="33" s="1"/>
  <c r="G24" i="9"/>
  <c r="C146" i="33" s="1"/>
  <c r="C24" i="9"/>
  <c r="C142" i="33" s="1"/>
  <c r="B32" i="3"/>
  <c r="D20" i="9"/>
  <c r="C123" i="33" s="1"/>
  <c r="E20" i="9"/>
  <c r="C124" i="33" s="1"/>
  <c r="F20" i="9"/>
  <c r="C125" i="33" s="1"/>
  <c r="G20" i="9"/>
  <c r="C126" i="33" s="1"/>
  <c r="C17" i="9"/>
  <c r="C92" i="33" s="1"/>
  <c r="D17" i="9"/>
  <c r="C93" i="33" s="1"/>
  <c r="E17" i="9"/>
  <c r="C94" i="33" s="1"/>
  <c r="F17" i="9"/>
  <c r="C95" i="33" s="1"/>
  <c r="G17" i="9"/>
  <c r="C96" i="33" s="1"/>
  <c r="C18" i="9"/>
  <c r="C102" i="33" s="1"/>
  <c r="D18" i="9"/>
  <c r="C103" i="33" s="1"/>
  <c r="E18" i="9"/>
  <c r="C104" i="33" s="1"/>
  <c r="F18" i="9"/>
  <c r="G18" i="9"/>
  <c r="C106" i="33" s="1"/>
  <c r="C19" i="9"/>
  <c r="C112" i="33" s="1"/>
  <c r="D19" i="9"/>
  <c r="C113" i="33" s="1"/>
  <c r="E19" i="9"/>
  <c r="C114" i="33" s="1"/>
  <c r="F19" i="9"/>
  <c r="C115" i="33" s="1"/>
  <c r="G19" i="9"/>
  <c r="C116" i="33" s="1"/>
  <c r="D16" i="9"/>
  <c r="C83" i="33" s="1"/>
  <c r="E16" i="9"/>
  <c r="C84" i="33" s="1"/>
  <c r="F16" i="9"/>
  <c r="C85" i="33" s="1"/>
  <c r="G16" i="9"/>
  <c r="C86" i="33" s="1"/>
  <c r="C16" i="9"/>
  <c r="C82" i="33" s="1"/>
  <c r="C20" i="9"/>
  <c r="C122" i="33" s="1"/>
  <c r="B1" i="3"/>
  <c r="F4" i="3"/>
  <c r="G6" i="9" s="1"/>
  <c r="C6" i="33" s="1"/>
  <c r="E4" i="3"/>
  <c r="F6" i="9" s="1"/>
  <c r="C5" i="33" s="1"/>
  <c r="D4" i="3"/>
  <c r="E6" i="9" s="1"/>
  <c r="C4" i="33" s="1"/>
  <c r="C4" i="3"/>
  <c r="D6" i="9" s="1"/>
  <c r="C3" i="33" s="1"/>
  <c r="D9" i="9"/>
  <c r="C33" i="33" s="1"/>
  <c r="E9" i="9"/>
  <c r="C34" i="33" s="1"/>
  <c r="F9" i="9"/>
  <c r="C35" i="33" s="1"/>
  <c r="G9" i="9"/>
  <c r="C36" i="33" s="1"/>
  <c r="D10" i="9"/>
  <c r="C43" i="33" s="1"/>
  <c r="E10" i="9"/>
  <c r="C44" i="33" s="1"/>
  <c r="F10" i="9"/>
  <c r="C45" i="33" s="1"/>
  <c r="G10" i="9"/>
  <c r="C46" i="33" s="1"/>
  <c r="D11" i="9"/>
  <c r="C53" i="33" s="1"/>
  <c r="E11" i="9"/>
  <c r="C54" i="33" s="1"/>
  <c r="F11" i="9"/>
  <c r="C55" i="33" s="1"/>
  <c r="G11" i="9"/>
  <c r="C56" i="33" s="1"/>
  <c r="D12" i="9"/>
  <c r="C63" i="33" s="1"/>
  <c r="E12" i="9"/>
  <c r="C64" i="33" s="1"/>
  <c r="F12" i="9"/>
  <c r="C65" i="33" s="1"/>
  <c r="G12" i="9"/>
  <c r="C66" i="33" s="1"/>
  <c r="D8" i="9"/>
  <c r="C23" i="33" s="1"/>
  <c r="E8" i="9"/>
  <c r="C24" i="33" s="1"/>
  <c r="F8" i="9"/>
  <c r="C25" i="33" s="1"/>
  <c r="G8" i="9"/>
  <c r="C26" i="33" s="1"/>
  <c r="D7" i="9"/>
  <c r="C13" i="33" s="1"/>
  <c r="E7" i="9"/>
  <c r="C14" i="33" s="1"/>
  <c r="F7" i="9"/>
  <c r="C15" i="33" s="1"/>
  <c r="G7" i="9"/>
  <c r="C16" i="33" s="1"/>
  <c r="B4" i="3"/>
  <c r="C6" i="9"/>
  <c r="C2" i="33" s="1"/>
  <c r="C8" i="9"/>
  <c r="C22" i="33" s="1"/>
  <c r="C9" i="9"/>
  <c r="C32" i="33" s="1"/>
  <c r="C10" i="9"/>
  <c r="C42" i="33" s="1"/>
  <c r="C11" i="9"/>
  <c r="C52" i="33" s="1"/>
  <c r="C12" i="9"/>
  <c r="C62" i="33" s="1"/>
  <c r="C7" i="9"/>
  <c r="C12" i="33" s="1"/>
  <c r="I4" i="8"/>
  <c r="J4" i="8"/>
  <c r="K4" i="8"/>
  <c r="L4" i="8"/>
  <c r="D4" i="8"/>
  <c r="E4" i="8"/>
  <c r="F4" i="8"/>
  <c r="G4" i="8"/>
  <c r="C4" i="8"/>
  <c r="D9" i="6"/>
  <c r="C43" i="31" s="1"/>
  <c r="E9" i="6"/>
  <c r="C44" i="31" s="1"/>
  <c r="F9" i="6"/>
  <c r="C45" i="31" s="1"/>
  <c r="G9" i="6"/>
  <c r="C46" i="31" s="1"/>
  <c r="C9" i="6"/>
  <c r="C42" i="31" s="1"/>
  <c r="B35" i="1"/>
  <c r="C35" i="1" s="1"/>
  <c r="C36" i="1" s="1"/>
  <c r="D18" i="8"/>
  <c r="E18" i="8"/>
  <c r="F18" i="8"/>
  <c r="G18" i="8"/>
  <c r="D17" i="8"/>
  <c r="E17" i="8"/>
  <c r="F17" i="8"/>
  <c r="G17" i="8"/>
  <c r="H17" i="8" s="1"/>
  <c r="I17" i="8" s="1"/>
  <c r="J17" i="8" s="1"/>
  <c r="K17" i="8" s="1"/>
  <c r="L17" i="8" s="1"/>
  <c r="C17" i="8"/>
  <c r="C18" i="8"/>
  <c r="B45" i="2"/>
  <c r="C35" i="8"/>
  <c r="D35" i="8"/>
  <c r="E35" i="8"/>
  <c r="F35" i="8"/>
  <c r="G35" i="8"/>
  <c r="C36" i="8"/>
  <c r="D36" i="8"/>
  <c r="E36" i="8"/>
  <c r="F36" i="8"/>
  <c r="G36" i="8"/>
  <c r="H36" i="8" s="1"/>
  <c r="D34" i="8"/>
  <c r="E34" i="8"/>
  <c r="F34" i="8"/>
  <c r="G34" i="8"/>
  <c r="C34" i="8"/>
  <c r="C37" i="8" s="1"/>
  <c r="C29" i="8"/>
  <c r="D29" i="8"/>
  <c r="E29" i="8"/>
  <c r="F29" i="8"/>
  <c r="G29" i="8"/>
  <c r="I29" i="8" s="1"/>
  <c r="J29" i="8" s="1"/>
  <c r="K29" i="8" s="1"/>
  <c r="L29" i="8" s="1"/>
  <c r="C30" i="8"/>
  <c r="D30" i="8"/>
  <c r="E30" i="8"/>
  <c r="F30" i="8"/>
  <c r="G30" i="8"/>
  <c r="I30" i="8" s="1"/>
  <c r="J30" i="8" s="1"/>
  <c r="K30" i="8" s="1"/>
  <c r="L30" i="8" s="1"/>
  <c r="D28" i="8"/>
  <c r="D30" i="11" s="1"/>
  <c r="E28" i="8"/>
  <c r="E30" i="11" s="1"/>
  <c r="H30" i="11" s="1"/>
  <c r="H28" i="8" s="1"/>
  <c r="F28" i="8"/>
  <c r="G28" i="8"/>
  <c r="C28" i="8"/>
  <c r="C31" i="8" s="1"/>
  <c r="C32" i="8" s="1"/>
  <c r="C23" i="8"/>
  <c r="D23" i="8"/>
  <c r="E23" i="8"/>
  <c r="F23" i="8"/>
  <c r="F12" i="15" s="1"/>
  <c r="G23" i="8"/>
  <c r="G12" i="15" s="1"/>
  <c r="C24" i="8"/>
  <c r="C13" i="15" s="1"/>
  <c r="D24" i="8"/>
  <c r="D13" i="15" s="1"/>
  <c r="E24" i="8"/>
  <c r="F24" i="8"/>
  <c r="G24" i="8"/>
  <c r="G13" i="15" s="1"/>
  <c r="C25" i="8"/>
  <c r="C14" i="15" s="1"/>
  <c r="D25" i="8"/>
  <c r="D14" i="15" s="1"/>
  <c r="E25" i="8"/>
  <c r="E14" i="15" s="1"/>
  <c r="F25" i="8"/>
  <c r="F14" i="15" s="1"/>
  <c r="G25" i="8"/>
  <c r="G14" i="15" s="1"/>
  <c r="D22" i="8"/>
  <c r="D29" i="11" s="1"/>
  <c r="E22" i="8"/>
  <c r="F22" i="8"/>
  <c r="F29" i="11" s="1"/>
  <c r="G22" i="8"/>
  <c r="G29" i="11" s="1"/>
  <c r="C22" i="8"/>
  <c r="C26" i="8" s="1"/>
  <c r="C14" i="8"/>
  <c r="D14" i="8"/>
  <c r="E14" i="8"/>
  <c r="F14" i="8"/>
  <c r="G14" i="8"/>
  <c r="C15" i="8"/>
  <c r="C26" i="14" s="1"/>
  <c r="D15" i="8"/>
  <c r="D26" i="14" s="1"/>
  <c r="E15" i="8"/>
  <c r="E26" i="14" s="1"/>
  <c r="F15" i="8"/>
  <c r="G15" i="8"/>
  <c r="G26" i="14" s="1"/>
  <c r="C16" i="8"/>
  <c r="D16" i="8"/>
  <c r="E16" i="8"/>
  <c r="F16" i="8"/>
  <c r="G16" i="8"/>
  <c r="D13" i="8"/>
  <c r="D8" i="14" s="1"/>
  <c r="E13" i="8"/>
  <c r="F13" i="8"/>
  <c r="G13" i="8"/>
  <c r="G8" i="14" s="1"/>
  <c r="C13" i="8"/>
  <c r="C8" i="14" s="1"/>
  <c r="C6" i="8"/>
  <c r="D6" i="8"/>
  <c r="E6" i="8"/>
  <c r="E6" i="15" s="1"/>
  <c r="F6" i="8"/>
  <c r="F6" i="15" s="1"/>
  <c r="G6" i="8"/>
  <c r="C7" i="8"/>
  <c r="C7" i="15" s="1"/>
  <c r="D7" i="8"/>
  <c r="D7" i="15" s="1"/>
  <c r="E7" i="8"/>
  <c r="E7" i="15" s="1"/>
  <c r="F7" i="8"/>
  <c r="G7" i="8"/>
  <c r="C8" i="8"/>
  <c r="D8" i="8"/>
  <c r="E8" i="8"/>
  <c r="F8" i="8"/>
  <c r="G8" i="8"/>
  <c r="C9" i="8"/>
  <c r="C8" i="15" s="1"/>
  <c r="D9" i="8"/>
  <c r="D8" i="15" s="1"/>
  <c r="E9" i="8"/>
  <c r="F9" i="8"/>
  <c r="F8" i="15" s="1"/>
  <c r="G9" i="8"/>
  <c r="C10" i="8"/>
  <c r="C9" i="15" s="1"/>
  <c r="D10" i="8"/>
  <c r="D9" i="15" s="1"/>
  <c r="E10" i="8"/>
  <c r="E9" i="15" s="1"/>
  <c r="F10" i="8"/>
  <c r="G10" i="8"/>
  <c r="G9" i="15" s="1"/>
  <c r="D5" i="8"/>
  <c r="D5" i="15" s="1"/>
  <c r="D10" i="15" s="1"/>
  <c r="E5" i="8"/>
  <c r="E5" i="15" s="1"/>
  <c r="E10" i="15" s="1"/>
  <c r="F5" i="8"/>
  <c r="F5" i="15" s="1"/>
  <c r="G5" i="8"/>
  <c r="G5" i="15" s="1"/>
  <c r="C5" i="8"/>
  <c r="C5" i="15" s="1"/>
  <c r="C10" i="15" s="1"/>
  <c r="D17" i="6"/>
  <c r="C123" i="31" s="1"/>
  <c r="E17" i="6"/>
  <c r="C124" i="31" s="1"/>
  <c r="F17" i="6"/>
  <c r="C125" i="31" s="1"/>
  <c r="F33" i="1"/>
  <c r="G17" i="6" s="1"/>
  <c r="C17" i="6"/>
  <c r="C122" i="31" s="1"/>
  <c r="D15" i="6"/>
  <c r="C103" i="31" s="1"/>
  <c r="E15" i="6"/>
  <c r="C104" i="31" s="1"/>
  <c r="F15" i="6"/>
  <c r="C105" i="31" s="1"/>
  <c r="G15" i="6"/>
  <c r="C106" i="31" s="1"/>
  <c r="C15" i="6"/>
  <c r="C102" i="31" s="1"/>
  <c r="D13" i="6"/>
  <c r="C83" i="31" s="1"/>
  <c r="E13" i="6"/>
  <c r="C84" i="31" s="1"/>
  <c r="F13" i="6"/>
  <c r="C85" i="31" s="1"/>
  <c r="G13" i="6"/>
  <c r="C86" i="31" s="1"/>
  <c r="C13" i="6"/>
  <c r="C82" i="31" s="1"/>
  <c r="D11" i="6"/>
  <c r="C63" i="31" s="1"/>
  <c r="E11" i="6"/>
  <c r="C64" i="31" s="1"/>
  <c r="F11" i="6"/>
  <c r="C65" i="31" s="1"/>
  <c r="G11" i="6"/>
  <c r="C66" i="31" s="1"/>
  <c r="C11" i="6"/>
  <c r="C62" i="31" s="1"/>
  <c r="D8" i="6"/>
  <c r="C33" i="31" s="1"/>
  <c r="E8" i="6"/>
  <c r="C34" i="31" s="1"/>
  <c r="F8" i="6"/>
  <c r="C35" i="31" s="1"/>
  <c r="G8" i="6"/>
  <c r="C36" i="31" s="1"/>
  <c r="C8" i="6"/>
  <c r="C32" i="31" s="1"/>
  <c r="D6" i="6"/>
  <c r="E6" i="6"/>
  <c r="F6" i="6"/>
  <c r="G6" i="6"/>
  <c r="C6" i="6"/>
  <c r="C12" i="31" s="1"/>
  <c r="D5" i="6"/>
  <c r="E5" i="6"/>
  <c r="F5" i="6"/>
  <c r="G5" i="6"/>
  <c r="C5" i="6"/>
  <c r="C2" i="31" s="1"/>
  <c r="D6" i="24"/>
  <c r="Q7" i="25"/>
  <c r="Q17" i="25" s="1"/>
  <c r="Q24" i="25" s="1"/>
  <c r="Q8" i="25"/>
  <c r="Q9" i="25"/>
  <c r="Q10" i="25"/>
  <c r="Q11" i="25"/>
  <c r="Q12" i="25"/>
  <c r="Q6" i="25"/>
  <c r="H7" i="25"/>
  <c r="I7" i="25" s="1"/>
  <c r="H8" i="25"/>
  <c r="I8" i="25" s="1"/>
  <c r="H9" i="25"/>
  <c r="I9" i="25" s="1"/>
  <c r="O9" i="25" s="1"/>
  <c r="H10" i="25"/>
  <c r="I10" i="25" s="1"/>
  <c r="H11" i="25"/>
  <c r="I11" i="25" s="1"/>
  <c r="H12" i="25"/>
  <c r="I12" i="25" s="1"/>
  <c r="O12" i="25" s="1"/>
  <c r="O23" i="25"/>
  <c r="P23" i="25" s="1"/>
  <c r="Q23" i="25" s="1"/>
  <c r="E7" i="25"/>
  <c r="E8" i="25"/>
  <c r="E9" i="25"/>
  <c r="E10" i="25"/>
  <c r="E11" i="25"/>
  <c r="E12" i="25"/>
  <c r="O25" i="25"/>
  <c r="H9" i="11" l="1"/>
  <c r="H8" i="11"/>
  <c r="C38" i="8"/>
  <c r="C15" i="15"/>
  <c r="H8" i="15"/>
  <c r="H9" i="8" s="1"/>
  <c r="H13" i="15"/>
  <c r="H9" i="15"/>
  <c r="C126" i="31"/>
  <c r="G37" i="11"/>
  <c r="C17" i="15"/>
  <c r="G10" i="15"/>
  <c r="H31" i="8"/>
  <c r="F10" i="15"/>
  <c r="C4" i="31"/>
  <c r="J6" i="24"/>
  <c r="E26" i="23"/>
  <c r="C174" i="32" s="1"/>
  <c r="D37" i="11"/>
  <c r="C3" i="31"/>
  <c r="D26" i="23"/>
  <c r="I6" i="24"/>
  <c r="C105" i="33"/>
  <c r="C107" i="33"/>
  <c r="D30" i="9"/>
  <c r="C203" i="33" s="1"/>
  <c r="G19" i="11"/>
  <c r="G22" i="11"/>
  <c r="F31" i="11"/>
  <c r="E16" i="14"/>
  <c r="Q16" i="25"/>
  <c r="C19" i="21"/>
  <c r="E30" i="9"/>
  <c r="C204" i="33" s="1"/>
  <c r="D19" i="11"/>
  <c r="F19" i="11"/>
  <c r="F22" i="11"/>
  <c r="C30" i="11"/>
  <c r="E31" i="11"/>
  <c r="D16" i="14"/>
  <c r="H15" i="8"/>
  <c r="I15" i="8" s="1"/>
  <c r="J15" i="8" s="1"/>
  <c r="K15" i="8" s="1"/>
  <c r="L15" i="8" s="1"/>
  <c r="E19" i="11"/>
  <c r="H24" i="9"/>
  <c r="C147" i="33" s="1"/>
  <c r="C14" i="31"/>
  <c r="E28" i="23"/>
  <c r="C194" i="32" s="1"/>
  <c r="E27" i="23"/>
  <c r="C184" i="32" s="1"/>
  <c r="C11" i="8"/>
  <c r="C23" i="23" s="1"/>
  <c r="C152" i="32" s="1"/>
  <c r="C30" i="9"/>
  <c r="C202" i="33" s="1"/>
  <c r="G20" i="11"/>
  <c r="C29" i="11"/>
  <c r="H29" i="11" s="1"/>
  <c r="C16" i="31"/>
  <c r="G28" i="23"/>
  <c r="C196" i="32" s="1"/>
  <c r="G27" i="23"/>
  <c r="C186" i="32" s="1"/>
  <c r="G30" i="9"/>
  <c r="C206" i="33" s="1"/>
  <c r="F20" i="11"/>
  <c r="H20" i="11" s="1"/>
  <c r="F37" i="11"/>
  <c r="C16" i="14"/>
  <c r="C18" i="14" s="1"/>
  <c r="G8" i="15"/>
  <c r="I8" i="15" s="1"/>
  <c r="C15" i="31"/>
  <c r="F28" i="23"/>
  <c r="C195" i="32" s="1"/>
  <c r="F27" i="23"/>
  <c r="C185" i="32" s="1"/>
  <c r="C24" i="23"/>
  <c r="C162" i="32" s="1"/>
  <c r="D20" i="11"/>
  <c r="C37" i="11"/>
  <c r="C6" i="31"/>
  <c r="G26" i="23"/>
  <c r="C176" i="32" s="1"/>
  <c r="L6" i="24"/>
  <c r="C13" i="31"/>
  <c r="D28" i="23"/>
  <c r="C193" i="32" s="1"/>
  <c r="D27" i="23"/>
  <c r="C183" i="32" s="1"/>
  <c r="C5" i="31"/>
  <c r="K6" i="24"/>
  <c r="F26" i="23"/>
  <c r="C175" i="32" s="1"/>
  <c r="F30" i="9"/>
  <c r="C205" i="33" s="1"/>
  <c r="E20" i="11"/>
  <c r="C31" i="11"/>
  <c r="E37" i="11"/>
  <c r="G16" i="14"/>
  <c r="O10" i="25"/>
  <c r="P10" i="25"/>
  <c r="P11" i="25"/>
  <c r="O11" i="25"/>
  <c r="O7" i="25"/>
  <c r="P7" i="25"/>
  <c r="P8" i="25"/>
  <c r="O8" i="25"/>
  <c r="O16" i="25" s="1"/>
  <c r="P9" i="25"/>
  <c r="Q22" i="25"/>
  <c r="Q19" i="25"/>
  <c r="Q15" i="25"/>
  <c r="Q18" i="25"/>
  <c r="Q14" i="25"/>
  <c r="P19" i="25"/>
  <c r="P6" i="25"/>
  <c r="P12" i="25"/>
  <c r="D7" i="24"/>
  <c r="P25" i="25"/>
  <c r="Q25" i="25" s="1"/>
  <c r="Q26" i="25" s="1"/>
  <c r="C33" i="11"/>
  <c r="C21" i="9"/>
  <c r="C132" i="33" s="1"/>
  <c r="D13" i="9"/>
  <c r="C13" i="9"/>
  <c r="C72" i="33" s="1"/>
  <c r="C19" i="8"/>
  <c r="C20" i="8" s="1"/>
  <c r="K15" i="21"/>
  <c r="L15" i="21" s="1"/>
  <c r="H15" i="21"/>
  <c r="I15" i="21"/>
  <c r="G19" i="21"/>
  <c r="G20" i="21" s="1"/>
  <c r="G17" i="21"/>
  <c r="G16" i="21" s="1"/>
  <c r="H7" i="21"/>
  <c r="I7" i="21" s="1"/>
  <c r="J7" i="21" s="1"/>
  <c r="K7" i="21" s="1"/>
  <c r="L7" i="21" s="1"/>
  <c r="C15" i="20"/>
  <c r="C18" i="20" s="1"/>
  <c r="C9" i="20"/>
  <c r="L35" i="16"/>
  <c r="K35" i="16"/>
  <c r="J35" i="16"/>
  <c r="I35" i="16"/>
  <c r="H35" i="16"/>
  <c r="C36" i="16"/>
  <c r="C24" i="16"/>
  <c r="C15" i="16"/>
  <c r="O41" i="15"/>
  <c r="P38" i="15" s="1"/>
  <c r="N41" i="15"/>
  <c r="O38" i="15" s="1"/>
  <c r="M41" i="15"/>
  <c r="O40" i="15"/>
  <c r="N40" i="15"/>
  <c r="M40" i="15"/>
  <c r="M38" i="15"/>
  <c r="E25" i="14"/>
  <c r="F25" i="14"/>
  <c r="G25" i="14"/>
  <c r="D25" i="14"/>
  <c r="O43" i="14"/>
  <c r="N43" i="14"/>
  <c r="M43" i="14"/>
  <c r="O42" i="14"/>
  <c r="N42" i="14"/>
  <c r="M42" i="14"/>
  <c r="H23" i="11"/>
  <c r="I25" i="11"/>
  <c r="I23" i="11" s="1"/>
  <c r="H26" i="11"/>
  <c r="I26" i="11" s="1"/>
  <c r="J26" i="11" s="1"/>
  <c r="K26" i="11" s="1"/>
  <c r="L26" i="11" s="1"/>
  <c r="H24" i="11"/>
  <c r="I24" i="11" s="1"/>
  <c r="J24" i="11" s="1"/>
  <c r="K24" i="11" s="1"/>
  <c r="L24" i="11" s="1"/>
  <c r="I24" i="9"/>
  <c r="I17" i="9"/>
  <c r="H20" i="9"/>
  <c r="G57" i="11"/>
  <c r="F57" i="11"/>
  <c r="E57" i="11"/>
  <c r="D57" i="11"/>
  <c r="H16" i="8"/>
  <c r="H23" i="14"/>
  <c r="G23" i="14"/>
  <c r="C57" i="11"/>
  <c r="D54" i="11" s="1"/>
  <c r="D23" i="14"/>
  <c r="D24" i="14" s="1"/>
  <c r="J8" i="15" l="1"/>
  <c r="J9" i="8" s="1"/>
  <c r="I9" i="8"/>
  <c r="J10" i="9" s="1"/>
  <c r="C49" i="33" s="1"/>
  <c r="J17" i="9"/>
  <c r="C98" i="33"/>
  <c r="I10" i="9"/>
  <c r="C48" i="33" s="1"/>
  <c r="O22" i="25"/>
  <c r="O24" i="25" s="1"/>
  <c r="O26" i="25" s="1"/>
  <c r="H10" i="8"/>
  <c r="H22" i="8"/>
  <c r="G17" i="15"/>
  <c r="I20" i="9"/>
  <c r="C127" i="33"/>
  <c r="O39" i="15"/>
  <c r="C5" i="21"/>
  <c r="C73" i="33"/>
  <c r="C67" i="33"/>
  <c r="I12" i="9"/>
  <c r="H10" i="9"/>
  <c r="C47" i="33" s="1"/>
  <c r="I9" i="15"/>
  <c r="H20" i="15"/>
  <c r="P18" i="25"/>
  <c r="O19" i="25"/>
  <c r="O14" i="25"/>
  <c r="I19" i="9"/>
  <c r="C117" i="33"/>
  <c r="H24" i="8"/>
  <c r="H14" i="16" s="1"/>
  <c r="H21" i="15"/>
  <c r="I13" i="15"/>
  <c r="J24" i="9"/>
  <c r="C148" i="33"/>
  <c r="K8" i="15"/>
  <c r="K9" i="8" s="1"/>
  <c r="I18" i="9"/>
  <c r="I29" i="9"/>
  <c r="C197" i="33"/>
  <c r="D32" i="23"/>
  <c r="C222" i="32" s="1"/>
  <c r="C173" i="32"/>
  <c r="D8" i="24"/>
  <c r="O18" i="25"/>
  <c r="P15" i="25"/>
  <c r="P16" i="25"/>
  <c r="P22" i="25" s="1"/>
  <c r="P24" i="25" s="1"/>
  <c r="P26" i="25" s="1"/>
  <c r="P17" i="25"/>
  <c r="O15" i="25"/>
  <c r="O17" i="25"/>
  <c r="P14" i="25"/>
  <c r="O6" i="25"/>
  <c r="D10" i="24"/>
  <c r="E13" i="9"/>
  <c r="F34" i="16"/>
  <c r="F31" i="16"/>
  <c r="F29" i="16"/>
  <c r="F21" i="16"/>
  <c r="E21" i="16"/>
  <c r="G10" i="16"/>
  <c r="G21" i="9"/>
  <c r="C136" i="33" s="1"/>
  <c r="F21" i="9"/>
  <c r="C135" i="33" s="1"/>
  <c r="E21" i="9"/>
  <c r="C134" i="33" s="1"/>
  <c r="D21" i="9"/>
  <c r="C133" i="33" s="1"/>
  <c r="D28" i="16"/>
  <c r="D21" i="16"/>
  <c r="F37" i="8"/>
  <c r="D20" i="16"/>
  <c r="G31" i="8"/>
  <c r="G37" i="8"/>
  <c r="C5" i="20" s="1"/>
  <c r="C19" i="23"/>
  <c r="C122" i="32" s="1"/>
  <c r="D14" i="16"/>
  <c r="E20" i="16"/>
  <c r="G20" i="16"/>
  <c r="G29" i="16"/>
  <c r="G34" i="16"/>
  <c r="D32" i="16"/>
  <c r="E32" i="16"/>
  <c r="F32" i="16"/>
  <c r="G19" i="8"/>
  <c r="G22" i="16"/>
  <c r="G12" i="16"/>
  <c r="G14" i="16"/>
  <c r="G32" i="16"/>
  <c r="G13" i="16"/>
  <c r="D22" i="16"/>
  <c r="F22" i="16"/>
  <c r="F30" i="16"/>
  <c r="D29" i="16"/>
  <c r="D31" i="16"/>
  <c r="D33" i="16"/>
  <c r="D34" i="16"/>
  <c r="H31" i="16"/>
  <c r="E22" i="16"/>
  <c r="G24" i="14"/>
  <c r="G28" i="14" s="1"/>
  <c r="D13" i="16"/>
  <c r="F20" i="16"/>
  <c r="E31" i="16"/>
  <c r="E33" i="16"/>
  <c r="E34" i="16"/>
  <c r="G5" i="14"/>
  <c r="G54" i="11"/>
  <c r="D5" i="14"/>
  <c r="I16" i="8"/>
  <c r="H21" i="16"/>
  <c r="E54" i="11"/>
  <c r="F5" i="14"/>
  <c r="F54" i="11"/>
  <c r="D19" i="8"/>
  <c r="D30" i="16"/>
  <c r="E12" i="16"/>
  <c r="F9" i="16"/>
  <c r="G21" i="16"/>
  <c r="G31" i="16"/>
  <c r="E29" i="16"/>
  <c r="E19" i="8"/>
  <c r="E5" i="14"/>
  <c r="D23" i="16"/>
  <c r="F14" i="16"/>
  <c r="G11" i="16"/>
  <c r="E9" i="16"/>
  <c r="G28" i="16"/>
  <c r="F19" i="8"/>
  <c r="G15" i="15"/>
  <c r="E14" i="16"/>
  <c r="F11" i="16"/>
  <c r="G23" i="16"/>
  <c r="G33" i="16"/>
  <c r="F28" i="16"/>
  <c r="G11" i="8"/>
  <c r="F15" i="15"/>
  <c r="D9" i="16"/>
  <c r="E11" i="16"/>
  <c r="F23" i="16"/>
  <c r="F33" i="16"/>
  <c r="G30" i="16"/>
  <c r="E28" i="16"/>
  <c r="C21" i="21"/>
  <c r="D11" i="8"/>
  <c r="D26" i="8"/>
  <c r="D24" i="23" s="1"/>
  <c r="C163" i="32" s="1"/>
  <c r="D31" i="8"/>
  <c r="D37" i="8"/>
  <c r="D19" i="23" s="1"/>
  <c r="C123" i="32" s="1"/>
  <c r="E15" i="15"/>
  <c r="D10" i="16"/>
  <c r="F13" i="16"/>
  <c r="E23" i="16"/>
  <c r="E11" i="8"/>
  <c r="E26" i="8"/>
  <c r="E24" i="23" s="1"/>
  <c r="C164" i="32" s="1"/>
  <c r="E31" i="8"/>
  <c r="E37" i="8"/>
  <c r="D11" i="16"/>
  <c r="E13" i="16"/>
  <c r="F10" i="16"/>
  <c r="E30" i="16"/>
  <c r="F11" i="8"/>
  <c r="F26" i="8"/>
  <c r="F24" i="23" s="1"/>
  <c r="C165" i="32" s="1"/>
  <c r="F31" i="8"/>
  <c r="F19" i="23"/>
  <c r="C125" i="32" s="1"/>
  <c r="D12" i="16"/>
  <c r="E10" i="16"/>
  <c r="G26" i="8"/>
  <c r="G24" i="23" s="1"/>
  <c r="C166" i="32" s="1"/>
  <c r="C40" i="16"/>
  <c r="D39" i="16" s="1"/>
  <c r="F12" i="16"/>
  <c r="G9" i="16"/>
  <c r="M39" i="15"/>
  <c r="P40" i="15"/>
  <c r="P39" i="15"/>
  <c r="P41" i="15" s="1"/>
  <c r="Q38" i="15" s="1"/>
  <c r="N38" i="15"/>
  <c r="N39" i="15" s="1"/>
  <c r="J25" i="11"/>
  <c r="I10" i="11"/>
  <c r="H11" i="11"/>
  <c r="E23" i="14"/>
  <c r="E24" i="14" s="1"/>
  <c r="F23" i="14"/>
  <c r="F24" i="14" s="1"/>
  <c r="M40" i="14"/>
  <c r="M41" i="14" s="1"/>
  <c r="N40" i="14"/>
  <c r="N41" i="14" s="1"/>
  <c r="O40" i="14"/>
  <c r="O41" i="14" s="1"/>
  <c r="P40" i="14"/>
  <c r="E33" i="11"/>
  <c r="F34" i="23"/>
  <c r="C242" i="32" s="1"/>
  <c r="E33" i="23"/>
  <c r="C232" i="32" s="1"/>
  <c r="G32" i="23"/>
  <c r="C225" i="32" s="1"/>
  <c r="E29" i="23"/>
  <c r="C204" i="32" s="1"/>
  <c r="I10" i="8" l="1"/>
  <c r="J29" i="9"/>
  <c r="C198" i="33"/>
  <c r="J18" i="9"/>
  <c r="C108" i="33"/>
  <c r="J12" i="9"/>
  <c r="C68" i="33"/>
  <c r="J20" i="9"/>
  <c r="C128" i="33"/>
  <c r="F23" i="23"/>
  <c r="C155" i="32" s="1"/>
  <c r="E23" i="23"/>
  <c r="C154" i="32" s="1"/>
  <c r="D23" i="23"/>
  <c r="C153" i="32" s="1"/>
  <c r="K17" i="9"/>
  <c r="C99" i="33"/>
  <c r="J9" i="15"/>
  <c r="D5" i="21"/>
  <c r="C74" i="33"/>
  <c r="J19" i="9"/>
  <c r="C118" i="33"/>
  <c r="G23" i="23"/>
  <c r="C156" i="32" s="1"/>
  <c r="K24" i="9"/>
  <c r="C149" i="33"/>
  <c r="L8" i="15"/>
  <c r="L9" i="8" s="1"/>
  <c r="L10" i="9" s="1"/>
  <c r="C51" i="33" s="1"/>
  <c r="I24" i="8"/>
  <c r="J13" i="15"/>
  <c r="I20" i="15"/>
  <c r="K10" i="9"/>
  <c r="C50" i="33" s="1"/>
  <c r="F13" i="9"/>
  <c r="G13" i="9"/>
  <c r="G19" i="23"/>
  <c r="C126" i="32" s="1"/>
  <c r="I30" i="11"/>
  <c r="I28" i="8" s="1"/>
  <c r="G19" i="16"/>
  <c r="D32" i="9"/>
  <c r="C213" i="33" s="1"/>
  <c r="F32" i="9"/>
  <c r="C215" i="33" s="1"/>
  <c r="C32" i="9"/>
  <c r="C212" i="33" s="1"/>
  <c r="E32" i="9"/>
  <c r="C214" i="33" s="1"/>
  <c r="G32" i="9"/>
  <c r="C216" i="33" s="1"/>
  <c r="D20" i="8"/>
  <c r="D15" i="15"/>
  <c r="D17" i="15" s="1"/>
  <c r="G20" i="8"/>
  <c r="E32" i="8"/>
  <c r="E38" i="8" s="1"/>
  <c r="G30" i="23"/>
  <c r="C216" i="32" s="1"/>
  <c r="E32" i="23"/>
  <c r="C223" i="32" s="1"/>
  <c r="C51" i="11"/>
  <c r="C13" i="11"/>
  <c r="G51" i="11"/>
  <c r="G13" i="11"/>
  <c r="G7" i="16"/>
  <c r="F33" i="23"/>
  <c r="C233" i="32" s="1"/>
  <c r="D29" i="23"/>
  <c r="C203" i="32" s="1"/>
  <c r="F4" i="23"/>
  <c r="C5" i="32" s="1"/>
  <c r="F7" i="11"/>
  <c r="F50" i="11"/>
  <c r="F32" i="23"/>
  <c r="C224" i="32" s="1"/>
  <c r="F30" i="23"/>
  <c r="C215" i="32" s="1"/>
  <c r="G4" i="23"/>
  <c r="C6" i="32" s="1"/>
  <c r="G7" i="11"/>
  <c r="H7" i="11" s="1"/>
  <c r="G50" i="11"/>
  <c r="G27" i="16"/>
  <c r="C14" i="14"/>
  <c r="F29" i="23"/>
  <c r="C205" i="32" s="1"/>
  <c r="D7" i="16"/>
  <c r="F51" i="11"/>
  <c r="F13" i="11"/>
  <c r="F7" i="16"/>
  <c r="D7" i="6"/>
  <c r="D4" i="23"/>
  <c r="C3" i="32" s="1"/>
  <c r="D50" i="11"/>
  <c r="D7" i="11"/>
  <c r="D27" i="16"/>
  <c r="E7" i="6"/>
  <c r="E4" i="23"/>
  <c r="C4" i="32" s="1"/>
  <c r="E50" i="11"/>
  <c r="E7" i="11"/>
  <c r="E27" i="16"/>
  <c r="D33" i="11"/>
  <c r="F27" i="16"/>
  <c r="D13" i="11"/>
  <c r="D51" i="11"/>
  <c r="C7" i="6"/>
  <c r="C50" i="11"/>
  <c r="C7" i="11"/>
  <c r="E51" i="11"/>
  <c r="E13" i="11"/>
  <c r="E7" i="16"/>
  <c r="G33" i="23"/>
  <c r="C234" i="32" s="1"/>
  <c r="C30" i="23"/>
  <c r="C212" i="32" s="1"/>
  <c r="E34" i="23"/>
  <c r="C241" i="32" s="1"/>
  <c r="G34" i="23"/>
  <c r="C243" i="32" s="1"/>
  <c r="F32" i="8"/>
  <c r="F38" i="8" s="1"/>
  <c r="C6" i="20"/>
  <c r="C10" i="20" s="1"/>
  <c r="C17" i="20" s="1"/>
  <c r="D32" i="8"/>
  <c r="D38" i="8" s="1"/>
  <c r="F33" i="11"/>
  <c r="H22" i="16"/>
  <c r="H32" i="16"/>
  <c r="G33" i="11"/>
  <c r="E30" i="23"/>
  <c r="C214" i="32" s="1"/>
  <c r="F28" i="14"/>
  <c r="F19" i="16"/>
  <c r="F20" i="8"/>
  <c r="F22" i="23"/>
  <c r="C145" i="32" s="1"/>
  <c r="E19" i="23"/>
  <c r="C124" i="32" s="1"/>
  <c r="G32" i="8"/>
  <c r="G38" i="8" s="1"/>
  <c r="E28" i="14"/>
  <c r="E19" i="16"/>
  <c r="H34" i="16"/>
  <c r="I36" i="8"/>
  <c r="I14" i="16"/>
  <c r="H5" i="14"/>
  <c r="F17" i="15"/>
  <c r="J16" i="8"/>
  <c r="I21" i="16"/>
  <c r="D30" i="23"/>
  <c r="C213" i="32" s="1"/>
  <c r="D28" i="14"/>
  <c r="D19" i="16"/>
  <c r="C22" i="23"/>
  <c r="C142" i="32" s="1"/>
  <c r="G22" i="23"/>
  <c r="C146" i="32" s="1"/>
  <c r="G29" i="23"/>
  <c r="C206" i="32" s="1"/>
  <c r="E17" i="15"/>
  <c r="E20" i="8"/>
  <c r="E22" i="23"/>
  <c r="C144" i="32" s="1"/>
  <c r="D22" i="23"/>
  <c r="C143" i="32" s="1"/>
  <c r="D33" i="23"/>
  <c r="C231" i="32" s="1"/>
  <c r="H33" i="16"/>
  <c r="I34" i="8"/>
  <c r="Q40" i="15"/>
  <c r="Q39" i="15"/>
  <c r="I8" i="11"/>
  <c r="J10" i="11"/>
  <c r="J8" i="11" s="1"/>
  <c r="K25" i="11"/>
  <c r="J23" i="11"/>
  <c r="I11" i="11"/>
  <c r="P42" i="14"/>
  <c r="P41" i="14"/>
  <c r="I9" i="11"/>
  <c r="F7" i="6"/>
  <c r="G7" i="6"/>
  <c r="F10" i="6" l="1"/>
  <c r="C25" i="31"/>
  <c r="K13" i="15"/>
  <c r="J24" i="8"/>
  <c r="K18" i="9"/>
  <c r="C109" i="33"/>
  <c r="I28" i="14"/>
  <c r="C10" i="6"/>
  <c r="C52" i="31" s="1"/>
  <c r="C22" i="31"/>
  <c r="D10" i="6"/>
  <c r="C23" i="31"/>
  <c r="K19" i="9"/>
  <c r="C119" i="33"/>
  <c r="E10" i="6"/>
  <c r="C24" i="31"/>
  <c r="J10" i="8"/>
  <c r="K20" i="9"/>
  <c r="C129" i="33"/>
  <c r="F5" i="21"/>
  <c r="C76" i="33"/>
  <c r="L24" i="9"/>
  <c r="C151" i="33" s="1"/>
  <c r="C150" i="33"/>
  <c r="L17" i="9"/>
  <c r="C101" i="33" s="1"/>
  <c r="C100" i="33"/>
  <c r="K9" i="15"/>
  <c r="K29" i="9"/>
  <c r="C199" i="33"/>
  <c r="L9" i="15"/>
  <c r="L10" i="8" s="1"/>
  <c r="E5" i="21"/>
  <c r="C75" i="33"/>
  <c r="G10" i="6"/>
  <c r="C26" i="31"/>
  <c r="H28" i="14"/>
  <c r="K12" i="9"/>
  <c r="C69" i="33"/>
  <c r="J20" i="15"/>
  <c r="H33" i="11"/>
  <c r="Q41" i="15"/>
  <c r="R38" i="15" s="1"/>
  <c r="R40" i="15" s="1"/>
  <c r="F43" i="11"/>
  <c r="F46" i="11"/>
  <c r="D44" i="11"/>
  <c r="D45" i="11"/>
  <c r="D47" i="11"/>
  <c r="D48" i="11"/>
  <c r="D43" i="11"/>
  <c r="D46" i="11"/>
  <c r="G44" i="11"/>
  <c r="G45" i="11"/>
  <c r="G48" i="11"/>
  <c r="G47" i="11"/>
  <c r="C44" i="11"/>
  <c r="C48" i="11"/>
  <c r="H48" i="11" s="1"/>
  <c r="C45" i="11"/>
  <c r="C47" i="11"/>
  <c r="E44" i="11"/>
  <c r="E47" i="11"/>
  <c r="E45" i="11"/>
  <c r="E48" i="11"/>
  <c r="G43" i="11"/>
  <c r="G46" i="11"/>
  <c r="F44" i="11"/>
  <c r="F45" i="11"/>
  <c r="F47" i="11"/>
  <c r="F48" i="11"/>
  <c r="E43" i="11"/>
  <c r="E46" i="11"/>
  <c r="C43" i="11"/>
  <c r="C46" i="11"/>
  <c r="H31" i="11"/>
  <c r="H13" i="6" s="1"/>
  <c r="H5" i="6"/>
  <c r="C7" i="31" s="1"/>
  <c r="D8" i="11"/>
  <c r="C9" i="23"/>
  <c r="C42" i="32" s="1"/>
  <c r="C20" i="21"/>
  <c r="C8" i="20"/>
  <c r="C11" i="20" s="1"/>
  <c r="C20" i="20" s="1"/>
  <c r="C15" i="21" s="1"/>
  <c r="E35" i="23"/>
  <c r="C250" i="32" s="1"/>
  <c r="G35" i="23"/>
  <c r="C252" i="32" s="1"/>
  <c r="H19" i="11"/>
  <c r="H8" i="6" s="1"/>
  <c r="C37" i="31" s="1"/>
  <c r="F35" i="23"/>
  <c r="C251" i="32" s="1"/>
  <c r="D34" i="23"/>
  <c r="I20" i="11"/>
  <c r="F14" i="11"/>
  <c r="D18" i="14"/>
  <c r="D14" i="14"/>
  <c r="D7" i="14" s="1"/>
  <c r="G18" i="14"/>
  <c r="G14" i="14"/>
  <c r="G7" i="14" s="1"/>
  <c r="E9" i="23"/>
  <c r="C44" i="32" s="1"/>
  <c r="E18" i="14"/>
  <c r="E14" i="14"/>
  <c r="E7" i="14" s="1"/>
  <c r="E8" i="11"/>
  <c r="C14" i="11"/>
  <c r="G8" i="11"/>
  <c r="F9" i="23"/>
  <c r="C45" i="32" s="1"/>
  <c r="D9" i="23"/>
  <c r="C43" i="32" s="1"/>
  <c r="F8" i="11"/>
  <c r="D14" i="11"/>
  <c r="E14" i="11"/>
  <c r="G9" i="23"/>
  <c r="C46" i="32" s="1"/>
  <c r="F18" i="14"/>
  <c r="F14" i="14"/>
  <c r="F7" i="14" s="1"/>
  <c r="G14" i="11"/>
  <c r="I31" i="16"/>
  <c r="I29" i="11"/>
  <c r="I22" i="8" s="1"/>
  <c r="I11" i="16"/>
  <c r="I22" i="16"/>
  <c r="I34" i="16"/>
  <c r="J36" i="8"/>
  <c r="J30" i="11"/>
  <c r="J28" i="8" s="1"/>
  <c r="K16" i="8"/>
  <c r="J21" i="16"/>
  <c r="J31" i="16"/>
  <c r="I32" i="16"/>
  <c r="I33" i="16"/>
  <c r="J34" i="8"/>
  <c r="C40" i="8"/>
  <c r="J14" i="16"/>
  <c r="H11" i="16"/>
  <c r="J11" i="11"/>
  <c r="K10" i="11"/>
  <c r="K8" i="11" s="1"/>
  <c r="J9" i="11"/>
  <c r="L25" i="11"/>
  <c r="L23" i="11" s="1"/>
  <c r="K23" i="11"/>
  <c r="P43" i="14"/>
  <c r="Q40" i="14" s="1"/>
  <c r="Q42" i="14" s="1"/>
  <c r="L7" i="24" l="1"/>
  <c r="C56" i="31"/>
  <c r="H27" i="9"/>
  <c r="C177" i="33" s="1"/>
  <c r="C87" i="31"/>
  <c r="J7" i="24"/>
  <c r="C54" i="31"/>
  <c r="R39" i="15"/>
  <c r="R41" i="15" s="1"/>
  <c r="S38" i="15" s="1"/>
  <c r="L19" i="9"/>
  <c r="C121" i="33" s="1"/>
  <c r="C120" i="33"/>
  <c r="D35" i="23"/>
  <c r="C249" i="32" s="1"/>
  <c r="C240" i="32"/>
  <c r="L12" i="9"/>
  <c r="C71" i="33" s="1"/>
  <c r="C70" i="33"/>
  <c r="L29" i="9"/>
  <c r="C201" i="33" s="1"/>
  <c r="C200" i="33"/>
  <c r="L13" i="15"/>
  <c r="L24" i="8" s="1"/>
  <c r="K24" i="8"/>
  <c r="L18" i="9"/>
  <c r="C111" i="33" s="1"/>
  <c r="C110" i="33"/>
  <c r="C12" i="6"/>
  <c r="L20" i="15"/>
  <c r="K10" i="8"/>
  <c r="L20" i="9"/>
  <c r="C131" i="33" s="1"/>
  <c r="C130" i="33"/>
  <c r="I7" i="24"/>
  <c r="C53" i="31"/>
  <c r="K20" i="15"/>
  <c r="K7" i="24"/>
  <c r="C55" i="31"/>
  <c r="I48" i="11"/>
  <c r="H43" i="11"/>
  <c r="I43" i="11" s="1"/>
  <c r="D6" i="14"/>
  <c r="D11" i="14" s="1"/>
  <c r="D10" i="14"/>
  <c r="H9" i="6"/>
  <c r="C47" i="31" s="1"/>
  <c r="H47" i="11"/>
  <c r="H30" i="16"/>
  <c r="H46" i="11"/>
  <c r="I46" i="11" s="1"/>
  <c r="J20" i="11"/>
  <c r="K20" i="11" s="1"/>
  <c r="L20" i="11" s="1"/>
  <c r="I33" i="11"/>
  <c r="J33" i="11" s="1"/>
  <c r="H16" i="11"/>
  <c r="H14" i="11" s="1"/>
  <c r="H13" i="11" s="1"/>
  <c r="L10" i="11"/>
  <c r="L8" i="11" s="1"/>
  <c r="H44" i="11"/>
  <c r="K11" i="11"/>
  <c r="K9" i="11"/>
  <c r="I7" i="11"/>
  <c r="H18" i="14"/>
  <c r="H19" i="14" s="1"/>
  <c r="H45" i="11"/>
  <c r="I45" i="11" s="1"/>
  <c r="J45" i="11" s="1"/>
  <c r="I19" i="11"/>
  <c r="J19" i="11" s="1"/>
  <c r="K19" i="11" s="1"/>
  <c r="L19" i="11" s="1"/>
  <c r="F6" i="14"/>
  <c r="F10" i="14"/>
  <c r="D12" i="6"/>
  <c r="C73" i="31" s="1"/>
  <c r="D10" i="23"/>
  <c r="D5" i="23"/>
  <c r="C13" i="32" s="1"/>
  <c r="E12" i="6"/>
  <c r="C74" i="31" s="1"/>
  <c r="E10" i="23"/>
  <c r="E5" i="23"/>
  <c r="C14" i="32" s="1"/>
  <c r="G6" i="14"/>
  <c r="G10" i="14"/>
  <c r="G12" i="6"/>
  <c r="C76" i="31" s="1"/>
  <c r="G5" i="23"/>
  <c r="C16" i="32" s="1"/>
  <c r="G10" i="23"/>
  <c r="C10" i="23"/>
  <c r="C52" i="32" s="1"/>
  <c r="F12" i="6"/>
  <c r="C75" i="31" s="1"/>
  <c r="F10" i="23"/>
  <c r="F5" i="23"/>
  <c r="C15" i="32" s="1"/>
  <c r="H4" i="23"/>
  <c r="C7" i="32" s="1"/>
  <c r="H50" i="11"/>
  <c r="H14" i="15" s="1"/>
  <c r="E10" i="14"/>
  <c r="E6" i="14"/>
  <c r="J28" i="14"/>
  <c r="K28" i="14" s="1"/>
  <c r="H24" i="14"/>
  <c r="H20" i="16" s="1"/>
  <c r="L16" i="8"/>
  <c r="L21" i="16" s="1"/>
  <c r="K21" i="16"/>
  <c r="I31" i="8"/>
  <c r="I30" i="16"/>
  <c r="J22" i="16"/>
  <c r="K30" i="11"/>
  <c r="K28" i="8" s="1"/>
  <c r="K34" i="8"/>
  <c r="J33" i="16"/>
  <c r="I25" i="9"/>
  <c r="C158" i="33" s="1"/>
  <c r="J32" i="16"/>
  <c r="J30" i="16"/>
  <c r="J31" i="8"/>
  <c r="J29" i="11"/>
  <c r="L31" i="16"/>
  <c r="K31" i="16"/>
  <c r="J34" i="16"/>
  <c r="K36" i="8"/>
  <c r="K14" i="16"/>
  <c r="Q41" i="14"/>
  <c r="Q43" i="14" s="1"/>
  <c r="R40" i="14" s="1"/>
  <c r="R42" i="14" s="1"/>
  <c r="S40" i="15" l="1"/>
  <c r="S39" i="15"/>
  <c r="K29" i="11"/>
  <c r="K22" i="8" s="1"/>
  <c r="J22" i="8"/>
  <c r="S6" i="24"/>
  <c r="C55" i="32"/>
  <c r="C14" i="6"/>
  <c r="C72" i="31"/>
  <c r="Q6" i="24"/>
  <c r="C53" i="32"/>
  <c r="R6" i="24"/>
  <c r="C54" i="32"/>
  <c r="T6" i="24"/>
  <c r="C56" i="32"/>
  <c r="H25" i="8"/>
  <c r="H29" i="16" s="1"/>
  <c r="H22" i="15"/>
  <c r="H23" i="15" s="1"/>
  <c r="H11" i="9" s="1"/>
  <c r="C57" i="33" s="1"/>
  <c r="H10" i="14"/>
  <c r="I44" i="11"/>
  <c r="H7" i="15"/>
  <c r="H7" i="8" s="1"/>
  <c r="I47" i="11"/>
  <c r="H5" i="15"/>
  <c r="J48" i="11"/>
  <c r="K33" i="11"/>
  <c r="L33" i="11" s="1"/>
  <c r="J43" i="11"/>
  <c r="S41" i="15"/>
  <c r="T38" i="15" s="1"/>
  <c r="I31" i="11"/>
  <c r="I13" i="6" s="1"/>
  <c r="L9" i="11"/>
  <c r="L11" i="11"/>
  <c r="K11" i="16"/>
  <c r="L11" i="16"/>
  <c r="I18" i="14"/>
  <c r="I19" i="14" s="1"/>
  <c r="I5" i="6"/>
  <c r="C8" i="31" s="1"/>
  <c r="J7" i="11"/>
  <c r="H6" i="6"/>
  <c r="C17" i="31" s="1"/>
  <c r="H15" i="11"/>
  <c r="H17" i="11"/>
  <c r="I8" i="6"/>
  <c r="I16" i="11"/>
  <c r="E18" i="16"/>
  <c r="E24" i="16" s="1"/>
  <c r="E11" i="14"/>
  <c r="J46" i="11"/>
  <c r="H7" i="14"/>
  <c r="G14" i="6"/>
  <c r="G11" i="23"/>
  <c r="C66" i="32" s="1"/>
  <c r="G20" i="23"/>
  <c r="G6" i="23"/>
  <c r="C26" i="32" s="1"/>
  <c r="G17" i="23"/>
  <c r="G11" i="14"/>
  <c r="G18" i="16"/>
  <c r="G24" i="16" s="1"/>
  <c r="F18" i="16"/>
  <c r="F24" i="16" s="1"/>
  <c r="F11" i="14"/>
  <c r="C11" i="23"/>
  <c r="C62" i="32" s="1"/>
  <c r="C20" i="23"/>
  <c r="C132" i="32" s="1"/>
  <c r="C17" i="23"/>
  <c r="C112" i="32" s="1"/>
  <c r="E14" i="6"/>
  <c r="E6" i="23"/>
  <c r="C24" i="32" s="1"/>
  <c r="E11" i="23"/>
  <c r="C64" i="32" s="1"/>
  <c r="E20" i="23"/>
  <c r="E17" i="23"/>
  <c r="F14" i="6"/>
  <c r="F20" i="23"/>
  <c r="F6" i="23"/>
  <c r="C25" i="32" s="1"/>
  <c r="F11" i="23"/>
  <c r="C65" i="32" s="1"/>
  <c r="F17" i="23"/>
  <c r="D18" i="16"/>
  <c r="D24" i="16" s="1"/>
  <c r="D14" i="6"/>
  <c r="D11" i="23"/>
  <c r="C63" i="32" s="1"/>
  <c r="D6" i="23"/>
  <c r="C23" i="32" s="1"/>
  <c r="D20" i="23"/>
  <c r="D17" i="23"/>
  <c r="L28" i="14"/>
  <c r="H19" i="16"/>
  <c r="L29" i="11"/>
  <c r="L22" i="8" s="1"/>
  <c r="K25" i="9"/>
  <c r="C160" i="33" s="1"/>
  <c r="K45" i="11"/>
  <c r="K43" i="11"/>
  <c r="K31" i="11"/>
  <c r="K13" i="6" s="1"/>
  <c r="K34" i="16"/>
  <c r="L36" i="8"/>
  <c r="L34" i="16" s="1"/>
  <c r="L34" i="8"/>
  <c r="K33" i="16"/>
  <c r="J31" i="11"/>
  <c r="J13" i="6" s="1"/>
  <c r="J25" i="9"/>
  <c r="C159" i="33" s="1"/>
  <c r="L22" i="16"/>
  <c r="K22" i="16"/>
  <c r="K32" i="16"/>
  <c r="L32" i="16"/>
  <c r="L14" i="16"/>
  <c r="L30" i="11"/>
  <c r="L28" i="8" s="1"/>
  <c r="J11" i="16"/>
  <c r="T40" i="15"/>
  <c r="T39" i="15"/>
  <c r="R41" i="14"/>
  <c r="R43" i="14"/>
  <c r="S40" i="14" s="1"/>
  <c r="S41" i="14" s="1"/>
  <c r="K27" i="9" l="1"/>
  <c r="C180" i="33" s="1"/>
  <c r="C90" i="31"/>
  <c r="Q8" i="24"/>
  <c r="C133" i="32"/>
  <c r="S8" i="24"/>
  <c r="C135" i="32"/>
  <c r="T8" i="24"/>
  <c r="C136" i="32"/>
  <c r="C92" i="31"/>
  <c r="C23" i="11"/>
  <c r="C16" i="6"/>
  <c r="R10" i="24"/>
  <c r="C114" i="32"/>
  <c r="G23" i="11"/>
  <c r="C96" i="31"/>
  <c r="R8" i="24"/>
  <c r="C134" i="32"/>
  <c r="I27" i="9"/>
  <c r="C178" i="33" s="1"/>
  <c r="C88" i="31"/>
  <c r="Q10" i="24"/>
  <c r="C113" i="32"/>
  <c r="F23" i="11"/>
  <c r="C95" i="31"/>
  <c r="D23" i="11"/>
  <c r="C93" i="31"/>
  <c r="J27" i="9"/>
  <c r="C179" i="33" s="1"/>
  <c r="C89" i="31"/>
  <c r="S10" i="24"/>
  <c r="C115" i="32"/>
  <c r="H11" i="14"/>
  <c r="H6" i="14" s="1"/>
  <c r="H13" i="8" s="1"/>
  <c r="J8" i="6"/>
  <c r="C38" i="31"/>
  <c r="E23" i="11"/>
  <c r="C94" i="31"/>
  <c r="T10" i="24"/>
  <c r="C116" i="32"/>
  <c r="H16" i="9"/>
  <c r="K48" i="11"/>
  <c r="H7" i="9"/>
  <c r="C17" i="33" s="1"/>
  <c r="H26" i="23"/>
  <c r="C177" i="32" s="1"/>
  <c r="H5" i="8"/>
  <c r="J47" i="11"/>
  <c r="I9" i="6"/>
  <c r="C48" i="31" s="1"/>
  <c r="J44" i="11"/>
  <c r="H14" i="14"/>
  <c r="T41" i="15"/>
  <c r="S42" i="14"/>
  <c r="S43" i="14" s="1"/>
  <c r="T40" i="14" s="1"/>
  <c r="J5" i="6"/>
  <c r="C9" i="31" s="1"/>
  <c r="K7" i="11"/>
  <c r="I50" i="11"/>
  <c r="I14" i="15" s="1"/>
  <c r="I4" i="23"/>
  <c r="C8" i="32" s="1"/>
  <c r="J18" i="14"/>
  <c r="I14" i="11"/>
  <c r="I13" i="11" s="1"/>
  <c r="I6" i="6" s="1"/>
  <c r="C18" i="31" s="1"/>
  <c r="I15" i="11"/>
  <c r="J16" i="11"/>
  <c r="I17" i="11"/>
  <c r="H51" i="11"/>
  <c r="H7" i="6"/>
  <c r="C12" i="23"/>
  <c r="C72" i="32" s="1"/>
  <c r="K46" i="11"/>
  <c r="G16" i="6"/>
  <c r="C116" i="31" s="1"/>
  <c r="G12" i="23"/>
  <c r="C76" i="32" s="1"/>
  <c r="K44" i="11"/>
  <c r="E16" i="6"/>
  <c r="C114" i="31" s="1"/>
  <c r="E12" i="23"/>
  <c r="C74" i="32" s="1"/>
  <c r="D16" i="6"/>
  <c r="C113" i="31" s="1"/>
  <c r="D12" i="23"/>
  <c r="C73" i="32" s="1"/>
  <c r="F16" i="6"/>
  <c r="C115" i="31" s="1"/>
  <c r="F12" i="23"/>
  <c r="C75" i="32" s="1"/>
  <c r="I10" i="14"/>
  <c r="J10" i="14" s="1"/>
  <c r="K10" i="14" s="1"/>
  <c r="L10" i="14" s="1"/>
  <c r="L31" i="8"/>
  <c r="L30" i="16"/>
  <c r="L31" i="11"/>
  <c r="L13" i="6" s="1"/>
  <c r="L25" i="9"/>
  <c r="C161" i="33" s="1"/>
  <c r="L43" i="11"/>
  <c r="K31" i="8"/>
  <c r="K30" i="16"/>
  <c r="L33" i="16"/>
  <c r="L45" i="11"/>
  <c r="T41" i="14" l="1"/>
  <c r="T42" i="14"/>
  <c r="H21" i="9"/>
  <c r="C137" i="33" s="1"/>
  <c r="C87" i="33"/>
  <c r="H8" i="14"/>
  <c r="I5" i="14" s="1"/>
  <c r="L27" i="9"/>
  <c r="C181" i="33" s="1"/>
  <c r="C91" i="31"/>
  <c r="C112" i="31"/>
  <c r="C18" i="6"/>
  <c r="C132" i="31" s="1"/>
  <c r="C36" i="11"/>
  <c r="C38" i="11" s="1"/>
  <c r="K8" i="6"/>
  <c r="C39" i="31"/>
  <c r="I5" i="15"/>
  <c r="I5" i="8" s="1"/>
  <c r="H10" i="6"/>
  <c r="C57" i="31" s="1"/>
  <c r="C27" i="31"/>
  <c r="I7" i="15"/>
  <c r="I7" i="8" s="1"/>
  <c r="I7" i="9" s="1"/>
  <c r="C18" i="33" s="1"/>
  <c r="J9" i="6"/>
  <c r="C49" i="31" s="1"/>
  <c r="I8" i="24"/>
  <c r="I9" i="24" s="1"/>
  <c r="Q11" i="24" s="1"/>
  <c r="D36" i="11"/>
  <c r="D38" i="11" s="1"/>
  <c r="K47" i="11"/>
  <c r="K8" i="24"/>
  <c r="K9" i="24" s="1"/>
  <c r="S11" i="24" s="1"/>
  <c r="F36" i="11"/>
  <c r="F38" i="11" s="1"/>
  <c r="L8" i="24"/>
  <c r="L9" i="24" s="1"/>
  <c r="T11" i="24" s="1"/>
  <c r="G36" i="11"/>
  <c r="G38" i="11" s="1"/>
  <c r="L48" i="11"/>
  <c r="J8" i="24"/>
  <c r="J9" i="24" s="1"/>
  <c r="R11" i="24" s="1"/>
  <c r="E36" i="11"/>
  <c r="H12" i="15"/>
  <c r="H6" i="15"/>
  <c r="I25" i="8"/>
  <c r="I29" i="16" s="1"/>
  <c r="I22" i="15"/>
  <c r="H15" i="14"/>
  <c r="H25" i="14" s="1"/>
  <c r="H32" i="23"/>
  <c r="C226" i="32" s="1"/>
  <c r="H18" i="16"/>
  <c r="I11" i="14"/>
  <c r="J11" i="14" s="1"/>
  <c r="K5" i="6"/>
  <c r="C10" i="31" s="1"/>
  <c r="L7" i="11"/>
  <c r="L5" i="6" s="1"/>
  <c r="C11" i="31" s="1"/>
  <c r="J4" i="23"/>
  <c r="C9" i="32" s="1"/>
  <c r="J50" i="11"/>
  <c r="J14" i="15" s="1"/>
  <c r="H29" i="23"/>
  <c r="C207" i="32" s="1"/>
  <c r="K18" i="14"/>
  <c r="K19" i="14" s="1"/>
  <c r="J19" i="14"/>
  <c r="H9" i="23"/>
  <c r="C47" i="32" s="1"/>
  <c r="J14" i="11"/>
  <c r="J13" i="11" s="1"/>
  <c r="J6" i="6" s="1"/>
  <c r="C19" i="31" s="1"/>
  <c r="J17" i="11"/>
  <c r="K16" i="11"/>
  <c r="J15" i="11"/>
  <c r="I51" i="11"/>
  <c r="I7" i="6"/>
  <c r="C13" i="23"/>
  <c r="C82" i="32" s="1"/>
  <c r="C16" i="23"/>
  <c r="C102" i="32" s="1"/>
  <c r="C15" i="23"/>
  <c r="C92" i="32" s="1"/>
  <c r="L46" i="11"/>
  <c r="L44" i="11"/>
  <c r="G18" i="6"/>
  <c r="G7" i="23"/>
  <c r="C36" i="32" s="1"/>
  <c r="G13" i="23"/>
  <c r="G6" i="16"/>
  <c r="G15" i="16" s="1"/>
  <c r="G16" i="23"/>
  <c r="G15" i="23"/>
  <c r="C96" i="32" s="1"/>
  <c r="F18" i="6"/>
  <c r="F13" i="23"/>
  <c r="F7" i="23"/>
  <c r="C35" i="32" s="1"/>
  <c r="F6" i="16"/>
  <c r="F15" i="16" s="1"/>
  <c r="F16" i="23"/>
  <c r="F15" i="23"/>
  <c r="C95" i="32" s="1"/>
  <c r="E18" i="6"/>
  <c r="E13" i="23"/>
  <c r="E7" i="23"/>
  <c r="C34" i="32" s="1"/>
  <c r="E38" i="11"/>
  <c r="E6" i="16"/>
  <c r="E15" i="16" s="1"/>
  <c r="E16" i="23"/>
  <c r="E15" i="23"/>
  <c r="C94" i="32" s="1"/>
  <c r="D18" i="6"/>
  <c r="D7" i="23"/>
  <c r="C33" i="32" s="1"/>
  <c r="D13" i="23"/>
  <c r="D6" i="16"/>
  <c r="D15" i="16" s="1"/>
  <c r="D16" i="23"/>
  <c r="D15" i="23"/>
  <c r="C93" i="32" s="1"/>
  <c r="I7" i="14"/>
  <c r="I14" i="14" s="1"/>
  <c r="I15" i="14" s="1"/>
  <c r="I25" i="14" s="1"/>
  <c r="T43" i="14"/>
  <c r="E55" i="11" l="1"/>
  <c r="E56" i="11" s="1"/>
  <c r="E35" i="16" s="1"/>
  <c r="E36" i="16" s="1"/>
  <c r="C134" i="31"/>
  <c r="D55" i="11"/>
  <c r="D56" i="11" s="1"/>
  <c r="D35" i="16" s="1"/>
  <c r="D36" i="16" s="1"/>
  <c r="C133" i="31"/>
  <c r="T9" i="24"/>
  <c r="C106" i="32"/>
  <c r="Q7" i="24"/>
  <c r="C83" i="32"/>
  <c r="S9" i="24"/>
  <c r="C105" i="32"/>
  <c r="S7" i="24"/>
  <c r="C85" i="32"/>
  <c r="F55" i="11"/>
  <c r="F56" i="11" s="1"/>
  <c r="F35" i="16" s="1"/>
  <c r="F36" i="16" s="1"/>
  <c r="C135" i="31"/>
  <c r="R9" i="24"/>
  <c r="C104" i="32"/>
  <c r="T7" i="24"/>
  <c r="C86" i="32"/>
  <c r="L8" i="6"/>
  <c r="C41" i="31" s="1"/>
  <c r="C40" i="31"/>
  <c r="R7" i="24"/>
  <c r="C84" i="32"/>
  <c r="Q9" i="24"/>
  <c r="C103" i="32"/>
  <c r="G55" i="11"/>
  <c r="G56" i="11" s="1"/>
  <c r="G35" i="16" s="1"/>
  <c r="G36" i="16" s="1"/>
  <c r="C136" i="31"/>
  <c r="I26" i="23"/>
  <c r="I32" i="23" s="1"/>
  <c r="C227" i="32" s="1"/>
  <c r="I10" i="6"/>
  <c r="C58" i="31" s="1"/>
  <c r="C28" i="31"/>
  <c r="J25" i="8"/>
  <c r="J29" i="16" s="1"/>
  <c r="J22" i="15"/>
  <c r="H26" i="14"/>
  <c r="I23" i="14" s="1"/>
  <c r="H15" i="15"/>
  <c r="H23" i="8"/>
  <c r="L9" i="6"/>
  <c r="C51" i="31" s="1"/>
  <c r="I12" i="15"/>
  <c r="I23" i="8" s="1"/>
  <c r="I6" i="15"/>
  <c r="K9" i="6"/>
  <c r="C50" i="31" s="1"/>
  <c r="H38" i="11"/>
  <c r="I38" i="11" s="1"/>
  <c r="J38" i="11" s="1"/>
  <c r="K38" i="11" s="1"/>
  <c r="L38" i="11" s="1"/>
  <c r="J7" i="15"/>
  <c r="J7" i="8" s="1"/>
  <c r="J5" i="15"/>
  <c r="H6" i="8"/>
  <c r="H10" i="15"/>
  <c r="L47" i="11"/>
  <c r="L50" i="11"/>
  <c r="L14" i="15" s="1"/>
  <c r="H16" i="14"/>
  <c r="L4" i="23"/>
  <c r="C11" i="32" s="1"/>
  <c r="D38" i="16"/>
  <c r="D40" i="16" s="1"/>
  <c r="E39" i="16" s="1"/>
  <c r="I21" i="15"/>
  <c r="K4" i="23"/>
  <c r="C10" i="32" s="1"/>
  <c r="K50" i="11"/>
  <c r="K5" i="15" s="1"/>
  <c r="I6" i="14"/>
  <c r="K11" i="14"/>
  <c r="L11" i="14" s="1"/>
  <c r="L18" i="14"/>
  <c r="L19" i="14" s="1"/>
  <c r="I9" i="23"/>
  <c r="C48" i="32" s="1"/>
  <c r="H10" i="23"/>
  <c r="C57" i="32" s="1"/>
  <c r="H6" i="9"/>
  <c r="C7" i="33" s="1"/>
  <c r="H5" i="23"/>
  <c r="C17" i="32" s="1"/>
  <c r="J51" i="11"/>
  <c r="J7" i="6"/>
  <c r="E38" i="16"/>
  <c r="K14" i="11"/>
  <c r="K13" i="11" s="1"/>
  <c r="K6" i="6" s="1"/>
  <c r="C20" i="31" s="1"/>
  <c r="L16" i="11"/>
  <c r="K17" i="11"/>
  <c r="K15" i="11"/>
  <c r="F38" i="16"/>
  <c r="G38" i="16"/>
  <c r="I16" i="14"/>
  <c r="I11" i="6" s="1"/>
  <c r="C68" i="31" s="1"/>
  <c r="I13" i="16" l="1"/>
  <c r="C178" i="32"/>
  <c r="L5" i="15"/>
  <c r="L5" i="8" s="1"/>
  <c r="H17" i="15"/>
  <c r="J10" i="6"/>
  <c r="C59" i="31" s="1"/>
  <c r="C29" i="31"/>
  <c r="I24" i="14"/>
  <c r="I26" i="14"/>
  <c r="J23" i="14" s="1"/>
  <c r="J24" i="14" s="1"/>
  <c r="J19" i="16" s="1"/>
  <c r="L25" i="8"/>
  <c r="H9" i="9"/>
  <c r="C37" i="33" s="1"/>
  <c r="H13" i="16"/>
  <c r="H27" i="23"/>
  <c r="C187" i="32" s="1"/>
  <c r="I27" i="23"/>
  <c r="C188" i="32" s="1"/>
  <c r="K14" i="15"/>
  <c r="L22" i="15" s="1"/>
  <c r="K7" i="15"/>
  <c r="K7" i="8" s="1"/>
  <c r="K7" i="9" s="1"/>
  <c r="C20" i="33" s="1"/>
  <c r="J5" i="8"/>
  <c r="L7" i="15"/>
  <c r="L7" i="8" s="1"/>
  <c r="H11" i="6"/>
  <c r="C67" i="31" s="1"/>
  <c r="H18" i="8"/>
  <c r="J12" i="15"/>
  <c r="J23" i="8" s="1"/>
  <c r="J6" i="15"/>
  <c r="J6" i="8" s="1"/>
  <c r="J7" i="9"/>
  <c r="C19" i="33" s="1"/>
  <c r="J26" i="23"/>
  <c r="C179" i="32" s="1"/>
  <c r="I6" i="8"/>
  <c r="I28" i="23" s="1"/>
  <c r="I10" i="15"/>
  <c r="I16" i="9"/>
  <c r="H8" i="9"/>
  <c r="C27" i="33" s="1"/>
  <c r="H28" i="23"/>
  <c r="C197" i="32" s="1"/>
  <c r="H10" i="16"/>
  <c r="I9" i="9"/>
  <c r="C38" i="33" s="1"/>
  <c r="K5" i="8"/>
  <c r="N4" i="23"/>
  <c r="I23" i="15"/>
  <c r="I11" i="9" s="1"/>
  <c r="C58" i="33" s="1"/>
  <c r="O4" i="23"/>
  <c r="E40" i="16"/>
  <c r="F39" i="16" s="1"/>
  <c r="F40" i="16" s="1"/>
  <c r="G39" i="16" s="1"/>
  <c r="G40" i="16" s="1"/>
  <c r="H39" i="16" s="1"/>
  <c r="I18" i="16"/>
  <c r="I8" i="14"/>
  <c r="I29" i="23" s="1"/>
  <c r="C208" i="32" s="1"/>
  <c r="J21" i="15"/>
  <c r="I13" i="8"/>
  <c r="L14" i="11"/>
  <c r="L13" i="11" s="1"/>
  <c r="L6" i="6" s="1"/>
  <c r="C21" i="31" s="1"/>
  <c r="L17" i="11"/>
  <c r="L15" i="11"/>
  <c r="K51" i="11"/>
  <c r="K7" i="6"/>
  <c r="J9" i="23"/>
  <c r="C49" i="32" s="1"/>
  <c r="I5" i="23"/>
  <c r="C18" i="32" s="1"/>
  <c r="I6" i="9"/>
  <c r="C8" i="33" s="1"/>
  <c r="I10" i="23"/>
  <c r="C58" i="32" s="1"/>
  <c r="H9" i="16"/>
  <c r="H26" i="8"/>
  <c r="H12" i="16"/>
  <c r="I15" i="15"/>
  <c r="I12" i="6"/>
  <c r="C78" i="31" s="1"/>
  <c r="I7" i="16"/>
  <c r="J10" i="15" l="1"/>
  <c r="H13" i="9"/>
  <c r="J10" i="16"/>
  <c r="I21" i="9"/>
  <c r="C138" i="33" s="1"/>
  <c r="C88" i="33"/>
  <c r="I34" i="23"/>
  <c r="C245" i="32" s="1"/>
  <c r="C198" i="32"/>
  <c r="J32" i="23"/>
  <c r="C228" i="32" s="1"/>
  <c r="K10" i="6"/>
  <c r="C60" i="31" s="1"/>
  <c r="C30" i="31"/>
  <c r="J9" i="9"/>
  <c r="C39" i="33" s="1"/>
  <c r="J27" i="23"/>
  <c r="C189" i="32" s="1"/>
  <c r="H5" i="21"/>
  <c r="H8" i="21" s="1"/>
  <c r="I18" i="8"/>
  <c r="H19" i="8"/>
  <c r="J8" i="9"/>
  <c r="C29" i="33" s="1"/>
  <c r="I10" i="16"/>
  <c r="J28" i="23"/>
  <c r="C199" i="32" s="1"/>
  <c r="J13" i="16"/>
  <c r="H24" i="23"/>
  <c r="C167" i="32" s="1"/>
  <c r="H32" i="8"/>
  <c r="K6" i="15"/>
  <c r="K12" i="15"/>
  <c r="K23" i="8" s="1"/>
  <c r="I8" i="9"/>
  <c r="C28" i="33" s="1"/>
  <c r="L7" i="9"/>
  <c r="C21" i="33" s="1"/>
  <c r="L26" i="23"/>
  <c r="C181" i="32" s="1"/>
  <c r="K26" i="23"/>
  <c r="C180" i="32" s="1"/>
  <c r="K25" i="8"/>
  <c r="K29" i="16" s="1"/>
  <c r="K22" i="15"/>
  <c r="I14" i="8"/>
  <c r="I19" i="16"/>
  <c r="J5" i="14"/>
  <c r="J6" i="14" s="1"/>
  <c r="J23" i="15"/>
  <c r="J11" i="9" s="1"/>
  <c r="C59" i="33" s="1"/>
  <c r="H34" i="23"/>
  <c r="C244" i="32" s="1"/>
  <c r="I17" i="15"/>
  <c r="K21" i="15"/>
  <c r="L21" i="15"/>
  <c r="J10" i="23"/>
  <c r="C59" i="32" s="1"/>
  <c r="J5" i="23"/>
  <c r="C19" i="32" s="1"/>
  <c r="J6" i="9"/>
  <c r="H33" i="23"/>
  <c r="C235" i="32" s="1"/>
  <c r="J15" i="15"/>
  <c r="I33" i="23"/>
  <c r="I26" i="8"/>
  <c r="I32" i="8" s="1"/>
  <c r="I12" i="16"/>
  <c r="L51" i="11"/>
  <c r="L7" i="6"/>
  <c r="K9" i="23"/>
  <c r="C50" i="32" s="1"/>
  <c r="I9" i="16"/>
  <c r="I14" i="6"/>
  <c r="C98" i="31" s="1"/>
  <c r="I11" i="23"/>
  <c r="C68" i="32" s="1"/>
  <c r="I20" i="23"/>
  <c r="C138" i="32" s="1"/>
  <c r="H23" i="16"/>
  <c r="H24" i="16" s="1"/>
  <c r="H12" i="6"/>
  <c r="H7" i="16"/>
  <c r="C77" i="33" l="1"/>
  <c r="G5" i="21"/>
  <c r="K23" i="15"/>
  <c r="K11" i="9" s="1"/>
  <c r="C60" i="33" s="1"/>
  <c r="L32" i="23"/>
  <c r="C230" i="32" s="1"/>
  <c r="I13" i="9"/>
  <c r="I5" i="21" s="1"/>
  <c r="I8" i="21" s="1"/>
  <c r="J13" i="9"/>
  <c r="C79" i="33" s="1"/>
  <c r="C9" i="33"/>
  <c r="I6" i="23"/>
  <c r="C28" i="32" s="1"/>
  <c r="C77" i="31"/>
  <c r="L10" i="6"/>
  <c r="C61" i="31" s="1"/>
  <c r="C31" i="31"/>
  <c r="I35" i="23"/>
  <c r="C254" i="32" s="1"/>
  <c r="C236" i="32"/>
  <c r="L29" i="16"/>
  <c r="L6" i="15"/>
  <c r="L12" i="15"/>
  <c r="L23" i="8" s="1"/>
  <c r="L9" i="9" s="1"/>
  <c r="C41" i="33" s="1"/>
  <c r="J14" i="8"/>
  <c r="J20" i="16" s="1"/>
  <c r="I20" i="16"/>
  <c r="K9" i="9"/>
  <c r="C40" i="33" s="1"/>
  <c r="K27" i="23"/>
  <c r="C190" i="32" s="1"/>
  <c r="K6" i="8"/>
  <c r="K10" i="15"/>
  <c r="L23" i="15"/>
  <c r="L11" i="9" s="1"/>
  <c r="C61" i="33" s="1"/>
  <c r="J7" i="14"/>
  <c r="J14" i="14" s="1"/>
  <c r="J15" i="14" s="1"/>
  <c r="J25" i="14" s="1"/>
  <c r="J26" i="14" s="1"/>
  <c r="K23" i="14" s="1"/>
  <c r="J34" i="23"/>
  <c r="C246" i="32" s="1"/>
  <c r="K32" i="23"/>
  <c r="C229" i="32" s="1"/>
  <c r="O26" i="23"/>
  <c r="N26" i="23"/>
  <c r="J9" i="16"/>
  <c r="K13" i="16"/>
  <c r="J17" i="15"/>
  <c r="J12" i="16"/>
  <c r="J26" i="8"/>
  <c r="J32" i="8" s="1"/>
  <c r="L9" i="23"/>
  <c r="K10" i="23"/>
  <c r="C60" i="32" s="1"/>
  <c r="K6" i="9"/>
  <c r="C10" i="33" s="1"/>
  <c r="K5" i="23"/>
  <c r="C20" i="32" s="1"/>
  <c r="K15" i="15"/>
  <c r="H35" i="23"/>
  <c r="C253" i="32" s="1"/>
  <c r="I23" i="16"/>
  <c r="I24" i="16" s="1"/>
  <c r="I19" i="8"/>
  <c r="J16" i="9"/>
  <c r="J18" i="16"/>
  <c r="J13" i="8"/>
  <c r="H14" i="6"/>
  <c r="H20" i="23"/>
  <c r="C137" i="32" s="1"/>
  <c r="H11" i="23"/>
  <c r="C67" i="32" s="1"/>
  <c r="H6" i="23"/>
  <c r="C27" i="32" s="1"/>
  <c r="I12" i="23"/>
  <c r="C78" i="32" s="1"/>
  <c r="I15" i="6"/>
  <c r="C108" i="31" s="1"/>
  <c r="C78" i="33" l="1"/>
  <c r="J21" i="9"/>
  <c r="C139" i="33" s="1"/>
  <c r="C89" i="33"/>
  <c r="H15" i="6"/>
  <c r="C107" i="31" s="1"/>
  <c r="C97" i="31"/>
  <c r="N9" i="23"/>
  <c r="C51" i="32"/>
  <c r="L13" i="16"/>
  <c r="J8" i="14"/>
  <c r="J29" i="23" s="1"/>
  <c r="C209" i="32" s="1"/>
  <c r="L6" i="8"/>
  <c r="L8" i="9" s="1"/>
  <c r="C31" i="33" s="1"/>
  <c r="L10" i="15"/>
  <c r="K28" i="23"/>
  <c r="C200" i="32" s="1"/>
  <c r="K10" i="16"/>
  <c r="K8" i="9"/>
  <c r="C30" i="33" s="1"/>
  <c r="J5" i="21"/>
  <c r="L27" i="23"/>
  <c r="K24" i="14"/>
  <c r="K14" i="8" s="1"/>
  <c r="J16" i="14"/>
  <c r="O9" i="23"/>
  <c r="O32" i="23"/>
  <c r="N32" i="23"/>
  <c r="K17" i="15"/>
  <c r="K9" i="16"/>
  <c r="L15" i="15"/>
  <c r="J33" i="23"/>
  <c r="C237" i="32" s="1"/>
  <c r="L6" i="9"/>
  <c r="C11" i="33" s="1"/>
  <c r="L10" i="23"/>
  <c r="L5" i="23"/>
  <c r="K33" i="23"/>
  <c r="C238" i="32" s="1"/>
  <c r="K12" i="16"/>
  <c r="K26" i="8"/>
  <c r="K32" i="8" s="1"/>
  <c r="H12" i="23"/>
  <c r="C77" i="32" s="1"/>
  <c r="I16" i="6"/>
  <c r="C118" i="31" s="1"/>
  <c r="K5" i="14" l="1"/>
  <c r="L10" i="16"/>
  <c r="N5" i="23"/>
  <c r="C21" i="32"/>
  <c r="L28" i="23"/>
  <c r="C201" i="32" s="1"/>
  <c r="O10" i="23"/>
  <c r="C61" i="32"/>
  <c r="L33" i="23"/>
  <c r="C239" i="32" s="1"/>
  <c r="C191" i="32"/>
  <c r="K13" i="9"/>
  <c r="C80" i="33" s="1"/>
  <c r="K20" i="16"/>
  <c r="J11" i="6"/>
  <c r="J18" i="8"/>
  <c r="J19" i="8" s="1"/>
  <c r="L13" i="9"/>
  <c r="C81" i="33" s="1"/>
  <c r="K19" i="16"/>
  <c r="K34" i="23"/>
  <c r="L9" i="16"/>
  <c r="O27" i="23"/>
  <c r="N27" i="23"/>
  <c r="N10" i="23"/>
  <c r="L17" i="15"/>
  <c r="L12" i="16"/>
  <c r="L26" i="8"/>
  <c r="L32" i="8" s="1"/>
  <c r="J35" i="23"/>
  <c r="C255" i="32" s="1"/>
  <c r="O5" i="23"/>
  <c r="I13" i="23"/>
  <c r="C88" i="32" s="1"/>
  <c r="I6" i="16"/>
  <c r="I15" i="16" s="1"/>
  <c r="I36" i="11"/>
  <c r="I37" i="11" s="1"/>
  <c r="I17" i="6" s="1"/>
  <c r="H16" i="6"/>
  <c r="C117" i="31" s="1"/>
  <c r="K7" i="14"/>
  <c r="K14" i="14" s="1"/>
  <c r="K6" i="14"/>
  <c r="J7" i="16" l="1"/>
  <c r="C69" i="31"/>
  <c r="J23" i="16"/>
  <c r="J24" i="16" s="1"/>
  <c r="L34" i="23"/>
  <c r="L35" i="23" s="1"/>
  <c r="I28" i="9"/>
  <c r="C188" i="33" s="1"/>
  <c r="C128" i="31"/>
  <c r="K35" i="23"/>
  <c r="C256" i="32" s="1"/>
  <c r="C247" i="32"/>
  <c r="N33" i="23"/>
  <c r="O33" i="23"/>
  <c r="J12" i="6"/>
  <c r="C79" i="31" s="1"/>
  <c r="I7" i="23"/>
  <c r="C38" i="32" s="1"/>
  <c r="H36" i="11"/>
  <c r="N28" i="23"/>
  <c r="O28" i="23"/>
  <c r="K8" i="14"/>
  <c r="K29" i="23" s="1"/>
  <c r="C210" i="32" s="1"/>
  <c r="K15" i="14"/>
  <c r="K25" i="14" s="1"/>
  <c r="K26" i="14" s="1"/>
  <c r="L23" i="14" s="1"/>
  <c r="L24" i="14" s="1"/>
  <c r="L14" i="8" s="1"/>
  <c r="L20" i="16" s="1"/>
  <c r="H13" i="23"/>
  <c r="C87" i="32" s="1"/>
  <c r="H7" i="23"/>
  <c r="C37" i="32" s="1"/>
  <c r="H6" i="16"/>
  <c r="H15" i="16" s="1"/>
  <c r="I18" i="6"/>
  <c r="C138" i="31" s="1"/>
  <c r="I27" i="16"/>
  <c r="K16" i="9"/>
  <c r="C90" i="33" s="1"/>
  <c r="K18" i="16"/>
  <c r="K13" i="8"/>
  <c r="C248" i="32" l="1"/>
  <c r="O34" i="23"/>
  <c r="N34" i="23"/>
  <c r="C257" i="32"/>
  <c r="N35" i="23"/>
  <c r="O35" i="23"/>
  <c r="K21" i="9"/>
  <c r="C140" i="33" s="1"/>
  <c r="K5" i="21"/>
  <c r="J6" i="23"/>
  <c r="C29" i="32" s="1"/>
  <c r="J11" i="23"/>
  <c r="C69" i="32" s="1"/>
  <c r="J20" i="23"/>
  <c r="C139" i="32" s="1"/>
  <c r="J14" i="6"/>
  <c r="C99" i="31" s="1"/>
  <c r="H37" i="11"/>
  <c r="H17" i="6" s="1"/>
  <c r="L5" i="14"/>
  <c r="L7" i="14" s="1"/>
  <c r="L14" i="14" s="1"/>
  <c r="J8" i="21"/>
  <c r="K16" i="14"/>
  <c r="K11" i="6" s="1"/>
  <c r="C70" i="31" s="1"/>
  <c r="L19" i="16"/>
  <c r="H28" i="9" l="1"/>
  <c r="C187" i="33" s="1"/>
  <c r="C127" i="31"/>
  <c r="J12" i="23"/>
  <c r="C79" i="32" s="1"/>
  <c r="J15" i="6"/>
  <c r="L6" i="14"/>
  <c r="H18" i="6"/>
  <c r="H35" i="8" s="1"/>
  <c r="H27" i="16"/>
  <c r="L8" i="14"/>
  <c r="L29" i="23" s="1"/>
  <c r="K18" i="8"/>
  <c r="L13" i="8"/>
  <c r="L18" i="16"/>
  <c r="L16" i="9"/>
  <c r="C91" i="33" s="1"/>
  <c r="L15" i="14"/>
  <c r="L25" i="14" s="1"/>
  <c r="L26" i="14" s="1"/>
  <c r="C137" i="31" l="1"/>
  <c r="O29" i="23"/>
  <c r="C211" i="32"/>
  <c r="J16" i="6"/>
  <c r="C119" i="31" s="1"/>
  <c r="C109" i="31"/>
  <c r="L21" i="9"/>
  <c r="C141" i="33" s="1"/>
  <c r="L5" i="21"/>
  <c r="C16" i="21" s="1"/>
  <c r="C17" i="21" s="1"/>
  <c r="H37" i="8"/>
  <c r="H38" i="8" s="1"/>
  <c r="I35" i="8"/>
  <c r="I37" i="8" s="1"/>
  <c r="N29" i="23"/>
  <c r="K12" i="6"/>
  <c r="C80" i="31" s="1"/>
  <c r="K7" i="16"/>
  <c r="K23" i="16"/>
  <c r="K24" i="16" s="1"/>
  <c r="K19" i="8"/>
  <c r="L16" i="14"/>
  <c r="L11" i="6" s="1"/>
  <c r="C71" i="31" s="1"/>
  <c r="J13" i="23" l="1"/>
  <c r="C89" i="32" s="1"/>
  <c r="J7" i="23"/>
  <c r="C39" i="32" s="1"/>
  <c r="J6" i="16"/>
  <c r="J15" i="16" s="1"/>
  <c r="J36" i="11"/>
  <c r="J37" i="11" s="1"/>
  <c r="J17" i="6" s="1"/>
  <c r="C129" i="31" s="1"/>
  <c r="H19" i="23"/>
  <c r="C127" i="32" s="1"/>
  <c r="H16" i="23"/>
  <c r="C107" i="32" s="1"/>
  <c r="H30" i="23"/>
  <c r="C217" i="32" s="1"/>
  <c r="H17" i="23"/>
  <c r="C117" i="32" s="1"/>
  <c r="L18" i="8"/>
  <c r="I30" i="23"/>
  <c r="C218" i="32" s="1"/>
  <c r="I38" i="8"/>
  <c r="I19" i="23"/>
  <c r="C128" i="32" s="1"/>
  <c r="I17" i="23"/>
  <c r="C118" i="32" s="1"/>
  <c r="I16" i="23"/>
  <c r="C108" i="32" s="1"/>
  <c r="L12" i="6"/>
  <c r="C81" i="31" s="1"/>
  <c r="L7" i="16"/>
  <c r="K14" i="6"/>
  <c r="C100" i="31" s="1"/>
  <c r="K20" i="23"/>
  <c r="C140" i="32" s="1"/>
  <c r="K6" i="23"/>
  <c r="C30" i="32" s="1"/>
  <c r="K11" i="23"/>
  <c r="C70" i="32" s="1"/>
  <c r="J28" i="9" l="1"/>
  <c r="J27" i="16"/>
  <c r="J18" i="6"/>
  <c r="L14" i="6"/>
  <c r="C101" i="31" s="1"/>
  <c r="L6" i="23"/>
  <c r="L20" i="23"/>
  <c r="L11" i="23"/>
  <c r="L23" i="16"/>
  <c r="L24" i="16" s="1"/>
  <c r="L19" i="8"/>
  <c r="K12" i="23"/>
  <c r="C80" i="32" s="1"/>
  <c r="K15" i="6"/>
  <c r="C110" i="31" s="1"/>
  <c r="C189" i="33" l="1"/>
  <c r="O11" i="23"/>
  <c r="C71" i="32"/>
  <c r="N20" i="23"/>
  <c r="C141" i="32"/>
  <c r="C139" i="31"/>
  <c r="J35" i="8"/>
  <c r="J37" i="8" s="1"/>
  <c r="O6" i="23"/>
  <c r="C31" i="32"/>
  <c r="N11" i="23"/>
  <c r="N6" i="23"/>
  <c r="O20" i="23"/>
  <c r="L12" i="23"/>
  <c r="L15" i="6"/>
  <c r="C111" i="31" s="1"/>
  <c r="K16" i="6"/>
  <c r="C120" i="31" s="1"/>
  <c r="N12" i="23" l="1"/>
  <c r="C81" i="32"/>
  <c r="J19" i="23"/>
  <c r="C129" i="32" s="1"/>
  <c r="J38" i="8"/>
  <c r="J16" i="23"/>
  <c r="C109" i="32" s="1"/>
  <c r="J17" i="23"/>
  <c r="C119" i="32" s="1"/>
  <c r="J30" i="23"/>
  <c r="C219" i="32" s="1"/>
  <c r="O12" i="23"/>
  <c r="K7" i="23"/>
  <c r="C40" i="32" s="1"/>
  <c r="K13" i="23"/>
  <c r="C90" i="32" s="1"/>
  <c r="K6" i="16"/>
  <c r="K15" i="16" s="1"/>
  <c r="K36" i="11"/>
  <c r="K37" i="11" s="1"/>
  <c r="K17" i="6" s="1"/>
  <c r="K8" i="21"/>
  <c r="L16" i="6"/>
  <c r="C121" i="31" s="1"/>
  <c r="K28" i="9" l="1"/>
  <c r="C190" i="33" s="1"/>
  <c r="C130" i="31"/>
  <c r="L7" i="23"/>
  <c r="L13" i="23"/>
  <c r="L6" i="16"/>
  <c r="L15" i="16" s="1"/>
  <c r="L36" i="11"/>
  <c r="L37" i="11" s="1"/>
  <c r="L17" i="6" s="1"/>
  <c r="K18" i="6"/>
  <c r="K27" i="16"/>
  <c r="L8" i="21"/>
  <c r="C13" i="21" s="1"/>
  <c r="L28" i="9" l="1"/>
  <c r="C191" i="33" s="1"/>
  <c r="C131" i="31"/>
  <c r="K35" i="8"/>
  <c r="C140" i="31"/>
  <c r="O13" i="23"/>
  <c r="C91" i="32"/>
  <c r="O7" i="23"/>
  <c r="C41" i="32"/>
  <c r="N7" i="23"/>
  <c r="N13" i="23"/>
  <c r="C18" i="21"/>
  <c r="C22" i="21" s="1"/>
  <c r="C24" i="21" s="1"/>
  <c r="G15" i="21" s="1"/>
  <c r="K37" i="8"/>
  <c r="L18" i="6"/>
  <c r="C141" i="31" s="1"/>
  <c r="L27" i="16"/>
  <c r="L35" i="8" l="1"/>
  <c r="L37" i="8" s="1"/>
  <c r="K30" i="23"/>
  <c r="C220" i="32" s="1"/>
  <c r="K38" i="8"/>
  <c r="K19" i="23"/>
  <c r="C130" i="32" s="1"/>
  <c r="K17" i="23"/>
  <c r="C120" i="32" s="1"/>
  <c r="K16" i="23"/>
  <c r="C110" i="32" s="1"/>
  <c r="L19" i="23" l="1"/>
  <c r="C131" i="32" s="1"/>
  <c r="L16" i="23"/>
  <c r="L30" i="23"/>
  <c r="C221" i="32" s="1"/>
  <c r="L38" i="8"/>
  <c r="L17" i="23"/>
  <c r="N19" i="23"/>
  <c r="N30" i="23" l="1"/>
  <c r="O19" i="23"/>
  <c r="O30" i="23"/>
  <c r="N17" i="23"/>
  <c r="C121" i="32"/>
  <c r="O16" i="23"/>
  <c r="C111" i="32"/>
  <c r="O17" i="23"/>
  <c r="N16" i="23"/>
  <c r="C157" i="33" l="1"/>
  <c r="H30" i="9"/>
  <c r="C207" i="33" s="1"/>
  <c r="C167" i="33"/>
  <c r="H32" i="9" l="1"/>
  <c r="C217" i="33" l="1"/>
  <c r="H8" i="8"/>
  <c r="H11" i="8" l="1"/>
  <c r="I24" i="23"/>
  <c r="C168" i="32" s="1"/>
  <c r="H28" i="16"/>
  <c r="H36" i="16" s="1"/>
  <c r="H38" i="16" s="1"/>
  <c r="H40" i="16" s="1"/>
  <c r="I39" i="16" s="1"/>
  <c r="H20" i="8" l="1"/>
  <c r="H40" i="8" s="1"/>
  <c r="H23" i="23"/>
  <c r="C157" i="32" s="1"/>
  <c r="H22" i="23"/>
  <c r="C147" i="32" s="1"/>
  <c r="H15" i="23" l="1"/>
  <c r="C97" i="32" s="1"/>
  <c r="I45" i="8"/>
  <c r="I26" i="9" s="1"/>
  <c r="J26" i="9" l="1"/>
  <c r="K26" i="9" s="1"/>
  <c r="I30" i="9"/>
  <c r="I32" i="9" s="1"/>
  <c r="C168" i="33"/>
  <c r="J30" i="9"/>
  <c r="C169" i="33"/>
  <c r="I8" i="8"/>
  <c r="C218" i="33"/>
  <c r="C208" i="33"/>
  <c r="I28" i="16" l="1"/>
  <c r="I36" i="16" s="1"/>
  <c r="I38" i="16" s="1"/>
  <c r="I40" i="16" s="1"/>
  <c r="J39" i="16" s="1"/>
  <c r="J24" i="23"/>
  <c r="I11" i="8"/>
  <c r="C209" i="33"/>
  <c r="J32" i="9"/>
  <c r="C219" i="33" s="1"/>
  <c r="K30" i="9"/>
  <c r="C170" i="33"/>
  <c r="L26" i="9"/>
  <c r="I22" i="23" l="1"/>
  <c r="I23" i="23"/>
  <c r="I20" i="8"/>
  <c r="J8" i="8"/>
  <c r="L30" i="9"/>
  <c r="C171" i="33"/>
  <c r="C169" i="32"/>
  <c r="K32" i="9"/>
  <c r="C220" i="33" s="1"/>
  <c r="C210" i="33"/>
  <c r="C211" i="33" l="1"/>
  <c r="L32" i="9"/>
  <c r="C221" i="33" s="1"/>
  <c r="I40" i="8"/>
  <c r="I15" i="23"/>
  <c r="C158" i="32"/>
  <c r="J11" i="8"/>
  <c r="K24" i="23"/>
  <c r="K8" i="8"/>
  <c r="J28" i="16"/>
  <c r="J36" i="16" s="1"/>
  <c r="J38" i="16" s="1"/>
  <c r="J40" i="16" s="1"/>
  <c r="K39" i="16" s="1"/>
  <c r="C148" i="32"/>
  <c r="C98" i="32" l="1"/>
  <c r="K11" i="8"/>
  <c r="L8" i="8"/>
  <c r="L11" i="8" s="1"/>
  <c r="L24" i="23"/>
  <c r="C171" i="32" s="1"/>
  <c r="C170" i="32"/>
  <c r="J23" i="23"/>
  <c r="J20" i="8"/>
  <c r="J22" i="23"/>
  <c r="K28" i="16"/>
  <c r="K36" i="16" s="1"/>
  <c r="K38" i="16" s="1"/>
  <c r="K40" i="16" s="1"/>
  <c r="L39" i="16" s="1"/>
  <c r="L28" i="16" l="1"/>
  <c r="L36" i="16" s="1"/>
  <c r="L38" i="16" s="1"/>
  <c r="J15" i="23"/>
  <c r="J40" i="8"/>
  <c r="C149" i="32"/>
  <c r="K22" i="23"/>
  <c r="C150" i="32" s="1"/>
  <c r="K23" i="23"/>
  <c r="C160" i="32" s="1"/>
  <c r="K20" i="8"/>
  <c r="L40" i="16"/>
  <c r="L22" i="23"/>
  <c r="C151" i="32" s="1"/>
  <c r="L20" i="8"/>
  <c r="L23" i="23"/>
  <c r="C161" i="32" s="1"/>
  <c r="C159" i="32"/>
  <c r="O24" i="23"/>
  <c r="N24" i="23"/>
  <c r="O23" i="23" l="1"/>
  <c r="N23" i="23"/>
  <c r="O22" i="23"/>
  <c r="L40" i="8"/>
  <c r="L15" i="23"/>
  <c r="C101" i="32" s="1"/>
  <c r="N22" i="23"/>
  <c r="K15" i="23"/>
  <c r="C100" i="32" s="1"/>
  <c r="K40" i="8"/>
  <c r="C99" i="32"/>
  <c r="N15" i="23" l="1"/>
  <c r="O15" i="2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F2FBA7-F845-4038-885E-1A62B012C5CF}" keepAlive="1" name="Query - Table1" description="Connection to the 'Table1' query in the workbook." type="5" refreshedVersion="0" background="1">
    <dbPr connection="Provider=Microsoft.Mashup.OleDb.1;Data Source=$Workbook$;Location=Table1;Extended Properties=&quot;&quot;" command="SELECT * FROM [Table1]"/>
  </connection>
  <connection id="2" xr16:uid="{279EEA15-8C61-4DAA-9DB8-A942C6F086C1}" keepAlive="1" name="Query - Table1 (2)" description="Connection to the 'Table1 (2)' query in the workbook." type="5" refreshedVersion="0" background="1">
    <dbPr connection="Provider=Microsoft.Mashup.OleDb.1;Data Source=$Workbook$;Location=&quot;Table1 (2)&quot;;Extended Properties=&quot;&quot;" command="SELECT * FROM [Table1 (2)]"/>
  </connection>
  <connection id="3" xr16:uid="{84DC46CF-0C13-4538-B7E0-09F9C672A3AF}" keepAlive="1" name="Query - Table3" description="Connection to the 'Table3' query in the workbook." type="5" refreshedVersion="0" background="1">
    <dbPr connection="Provider=Microsoft.Mashup.OleDb.1;Data Source=$Workbook$;Location=Table3;Extended Properties=&quot;&quot;" command="SELECT * FROM [Table3]"/>
  </connection>
</connections>
</file>

<file path=xl/sharedStrings.xml><?xml version="1.0" encoding="utf-8"?>
<sst xmlns="http://schemas.openxmlformats.org/spreadsheetml/2006/main" count="2261" uniqueCount="672">
  <si>
    <t>Sales</t>
  </si>
  <si>
    <t>Employee Cost</t>
  </si>
  <si>
    <t>Other Expenses</t>
  </si>
  <si>
    <t>Depreciation</t>
  </si>
  <si>
    <t>Interest</t>
  </si>
  <si>
    <t>Balance Sheet</t>
  </si>
  <si>
    <t>Equity Capital</t>
  </si>
  <si>
    <t>Long term Borrowings</t>
  </si>
  <si>
    <t>Short term Borrowings</t>
  </si>
  <si>
    <t>Lease Liabilities</t>
  </si>
  <si>
    <t>Other Borrowings</t>
  </si>
  <si>
    <t>Trade Payables</t>
  </si>
  <si>
    <t>Advance from Customers</t>
  </si>
  <si>
    <t>Other liability items</t>
  </si>
  <si>
    <t>Intangible Assets</t>
  </si>
  <si>
    <t>Accumulated Depreciation</t>
  </si>
  <si>
    <t>Inventories</t>
  </si>
  <si>
    <t>Trade receivables</t>
  </si>
  <si>
    <t>Loans n Advances</t>
  </si>
  <si>
    <t>Other asset items</t>
  </si>
  <si>
    <t>Total Assets</t>
  </si>
  <si>
    <t>Cash Flows</t>
  </si>
  <si>
    <t>Cash from Operating Activity -</t>
  </si>
  <si>
    <t>Profit from operations</t>
  </si>
  <si>
    <t>Receivables</t>
  </si>
  <si>
    <t>Inventory</t>
  </si>
  <si>
    <t>Payables</t>
  </si>
  <si>
    <t>Loans Advances</t>
  </si>
  <si>
    <t>Working capital changes</t>
  </si>
  <si>
    <t>Direct taxes</t>
  </si>
  <si>
    <t>Cash from Investing Activity -</t>
  </si>
  <si>
    <t>Fixed assets purchased</t>
  </si>
  <si>
    <t>Fixed assets sold</t>
  </si>
  <si>
    <t>Investments purchased</t>
  </si>
  <si>
    <t>Investments sold</t>
  </si>
  <si>
    <t>Interest received</t>
  </si>
  <si>
    <t>Dividends received</t>
  </si>
  <si>
    <t>Investment in group cos</t>
  </si>
  <si>
    <t>Redemp n Canc of Shares</t>
  </si>
  <si>
    <t>Acquisition of companies</t>
  </si>
  <si>
    <t>Other investing items</t>
  </si>
  <si>
    <t>Cash from Financing Activity -</t>
  </si>
  <si>
    <t>Proceeds from shares</t>
  </si>
  <si>
    <t>Proceeds from borrowings</t>
  </si>
  <si>
    <t>Repayment of borrowings</t>
  </si>
  <si>
    <t>Interest paid fin</t>
  </si>
  <si>
    <t>Dividends paid</t>
  </si>
  <si>
    <t>Financial liabilities</t>
  </si>
  <si>
    <t>Other financing items</t>
  </si>
  <si>
    <t>Net Cash Flow</t>
  </si>
  <si>
    <t>Total Equity &amp; Liabilities</t>
  </si>
  <si>
    <t>Profit &amp; Loss</t>
  </si>
  <si>
    <t>Income Statement</t>
  </si>
  <si>
    <t>All figures in Rs. Crore</t>
  </si>
  <si>
    <t>Financial Year</t>
  </si>
  <si>
    <t>Total Revenue</t>
  </si>
  <si>
    <t>COGS</t>
  </si>
  <si>
    <t>Gross Profit</t>
  </si>
  <si>
    <t>EBITDA</t>
  </si>
  <si>
    <t>Depreciation &amp; Amortization</t>
  </si>
  <si>
    <t xml:space="preserve">EBIT </t>
  </si>
  <si>
    <t>EBT</t>
  </si>
  <si>
    <t>Taxes</t>
  </si>
  <si>
    <t>EAT/ Net Profit</t>
  </si>
  <si>
    <t>Divident Paid</t>
  </si>
  <si>
    <t>Transfer to Reserve</t>
  </si>
  <si>
    <t>Total Current Assets</t>
  </si>
  <si>
    <t>Property, Plant &amp; Equipments</t>
  </si>
  <si>
    <t>Capital Work in Progress</t>
  </si>
  <si>
    <t>Long Term Investment</t>
  </si>
  <si>
    <t>Other Fixed Assets</t>
  </si>
  <si>
    <t>Total Non-Current Assets</t>
  </si>
  <si>
    <t>Total Current Liabilities</t>
  </si>
  <si>
    <t>Total Non-Current Liabilities</t>
  </si>
  <si>
    <t>Total Liabilities</t>
  </si>
  <si>
    <t>Total Equity</t>
  </si>
  <si>
    <t>Balance Check</t>
  </si>
  <si>
    <t>Cash Flow Statement</t>
  </si>
  <si>
    <t>Cash Flow from Operating Activities</t>
  </si>
  <si>
    <t>Net cash inflow(outflow) from Operating Activities</t>
  </si>
  <si>
    <t>Cash Flow from Investing Activities</t>
  </si>
  <si>
    <t>Net cash inflow(outflow) from Investing Activities</t>
  </si>
  <si>
    <t>Cash Flow from Financing Activities</t>
  </si>
  <si>
    <t>Other Financing items</t>
  </si>
  <si>
    <t>Net cash inflow(outflow) from Financial Activities</t>
  </si>
  <si>
    <t>Net Cash Flow for the year</t>
  </si>
  <si>
    <t>Drivers</t>
  </si>
  <si>
    <t>All figures in Rs. Crore (unless specified)</t>
  </si>
  <si>
    <t>-</t>
  </si>
  <si>
    <t>Income Statement Drivers</t>
  </si>
  <si>
    <t>Revenue</t>
  </si>
  <si>
    <t>Revenue growth y-o-y</t>
  </si>
  <si>
    <t>Scenario 1</t>
  </si>
  <si>
    <t>Scenario 2</t>
  </si>
  <si>
    <t>Scenario 3</t>
  </si>
  <si>
    <t>Cost of Good Sold</t>
  </si>
  <si>
    <t>% of Revenue</t>
  </si>
  <si>
    <t>Employee Cost (Growth y-o-y)</t>
  </si>
  <si>
    <t>Tax Expenses</t>
  </si>
  <si>
    <t>% of PBT</t>
  </si>
  <si>
    <t>Scenario</t>
  </si>
  <si>
    <t>Beginning PPE</t>
  </si>
  <si>
    <t>Capex</t>
  </si>
  <si>
    <t>Ending PPE</t>
  </si>
  <si>
    <t>Amortization</t>
  </si>
  <si>
    <t>Total D&amp;A</t>
  </si>
  <si>
    <t>Depreciation (% of Beginning PPE)</t>
  </si>
  <si>
    <t>Capex (% of Beginning PPE)</t>
  </si>
  <si>
    <t>Amortization (% of Total D&amp;A)</t>
  </si>
  <si>
    <t>Opening Balance</t>
  </si>
  <si>
    <t>Addition</t>
  </si>
  <si>
    <t>Closing Balance</t>
  </si>
  <si>
    <t>Addition (% of Opening Balance)</t>
  </si>
  <si>
    <t>Interest Expenses</t>
  </si>
  <si>
    <t>Interest Rate</t>
  </si>
  <si>
    <t>Net Income</t>
  </si>
  <si>
    <t>Divident Payout Ratio (%)</t>
  </si>
  <si>
    <t>Balance Sheet Drivers</t>
  </si>
  <si>
    <t>Working Capital</t>
  </si>
  <si>
    <t>Inventories (% of COGS)</t>
  </si>
  <si>
    <t>Trade receivables (% of revenue)</t>
  </si>
  <si>
    <t>Loan n Advances (% of revenue)</t>
  </si>
  <si>
    <t>Trade Payables (% of COGS)</t>
  </si>
  <si>
    <t>Current Assets</t>
  </si>
  <si>
    <t>Current Liabilities</t>
  </si>
  <si>
    <t>Working Capital (CA-CL)</t>
  </si>
  <si>
    <t>Profit from operations (EBITDA)</t>
  </si>
  <si>
    <t>Minority Interest</t>
  </si>
  <si>
    <t>Adjustment</t>
  </si>
  <si>
    <t>Net Profit</t>
  </si>
  <si>
    <t>Change in Working Capital:</t>
  </si>
  <si>
    <t>Reserves &amp; Surplus</t>
  </si>
  <si>
    <t>Closing Balance of R&amp;S</t>
  </si>
  <si>
    <t>Opening Balance of R&amp;S</t>
  </si>
  <si>
    <t>Weighted Average Cost of Capital</t>
  </si>
  <si>
    <t>Weighted Average Cost of Capital (WACC)</t>
  </si>
  <si>
    <t>Equity (Cr)</t>
  </si>
  <si>
    <t>Debt (Cr)</t>
  </si>
  <si>
    <t>Cost of Debt</t>
  </si>
  <si>
    <t>Tax Rate</t>
  </si>
  <si>
    <t>D/(D+E)</t>
  </si>
  <si>
    <t>After tax Cost of Debt</t>
  </si>
  <si>
    <t>Risk free rate (10 yr of bond)</t>
  </si>
  <si>
    <t>Expected Market Return</t>
  </si>
  <si>
    <t>Market Risk Premium</t>
  </si>
  <si>
    <t>Beta</t>
  </si>
  <si>
    <t>E/(D+E)</t>
  </si>
  <si>
    <t>Cost of Equity</t>
  </si>
  <si>
    <t>WACC</t>
  </si>
  <si>
    <t>Discounted Cash Flow Model</t>
  </si>
  <si>
    <t>Unlevered Free Cash Flow</t>
  </si>
  <si>
    <t>Projection Year</t>
  </si>
  <si>
    <t>Present Value of Free Cash Flow</t>
  </si>
  <si>
    <t>Implied Share Price Calculation</t>
  </si>
  <si>
    <t>Sum of PV of FCF</t>
  </si>
  <si>
    <t>Growth Rate</t>
  </si>
  <si>
    <t>Terminal Value</t>
  </si>
  <si>
    <t>PV of Terminal value</t>
  </si>
  <si>
    <t>Enterprice Value</t>
  </si>
  <si>
    <t>(+) Cash</t>
  </si>
  <si>
    <t>(-) Debt</t>
  </si>
  <si>
    <t xml:space="preserve">(-) Minority Interest </t>
  </si>
  <si>
    <t>Equity Value</t>
  </si>
  <si>
    <t>Diluted Share Outstanding (Cr)</t>
  </si>
  <si>
    <t>Implied Share Price</t>
  </si>
  <si>
    <t>Sensitivity Table</t>
  </si>
  <si>
    <t>Diluted Share Outstanding (Cr) is equity share of the company</t>
  </si>
  <si>
    <t>Company Name</t>
  </si>
  <si>
    <t>Headquarter</t>
  </si>
  <si>
    <t>Founder</t>
  </si>
  <si>
    <t>Mumbai</t>
  </si>
  <si>
    <t>Blue</t>
  </si>
  <si>
    <t>Black</t>
  </si>
  <si>
    <t>Green</t>
  </si>
  <si>
    <t>Red</t>
  </si>
  <si>
    <t>External File Links</t>
  </si>
  <si>
    <t>Link to other worksheets</t>
  </si>
  <si>
    <t>Formulas</t>
  </si>
  <si>
    <t>Hard Coded Numbers</t>
  </si>
  <si>
    <t>Sheet No.</t>
  </si>
  <si>
    <t>Sheet Name</t>
  </si>
  <si>
    <t>Link to the Sheet</t>
  </si>
  <si>
    <t>Index (this sheet)</t>
  </si>
  <si>
    <t>Overview</t>
  </si>
  <si>
    <t>Comparative Company Analysis</t>
  </si>
  <si>
    <t>Ratios</t>
  </si>
  <si>
    <t>Drivers of the Model</t>
  </si>
  <si>
    <t>Income Statement (Source)</t>
  </si>
  <si>
    <t>Balance Sheet (Source)</t>
  </si>
  <si>
    <t>Cash Flow Statement (Source)</t>
  </si>
  <si>
    <t>Index</t>
  </si>
  <si>
    <t>Comparative</t>
  </si>
  <si>
    <t>P&amp;L</t>
  </si>
  <si>
    <t>Cash Flow</t>
  </si>
  <si>
    <t>PPE</t>
  </si>
  <si>
    <t>WC</t>
  </si>
  <si>
    <t>DCF</t>
  </si>
  <si>
    <t>(IS)</t>
  </si>
  <si>
    <t>(CFS)</t>
  </si>
  <si>
    <t>Sales Growth (%)</t>
  </si>
  <si>
    <t>EBITDA Growth (%)</t>
  </si>
  <si>
    <t>EBIT Growth (%)</t>
  </si>
  <si>
    <t>PAT Growth (%)</t>
  </si>
  <si>
    <t>Gross Margin (%)</t>
  </si>
  <si>
    <t>EBITDA Margin (%)</t>
  </si>
  <si>
    <t>EBIT Margin (%)</t>
  </si>
  <si>
    <t>EBT Margin (%)</t>
  </si>
  <si>
    <t>Net Profit Margin (%)</t>
  </si>
  <si>
    <t>ROA (%)</t>
  </si>
  <si>
    <t>ROE (%)</t>
  </si>
  <si>
    <t>ROCE (%)</t>
  </si>
  <si>
    <t>Debt Equity Ratio (x)</t>
  </si>
  <si>
    <t>Interest Coverage Ratio (x)</t>
  </si>
  <si>
    <t>Current Ratio (x)</t>
  </si>
  <si>
    <t>Quick Ratio (x)</t>
  </si>
  <si>
    <t>Cash Ratio (x)</t>
  </si>
  <si>
    <t>Debtor Turnover Ratio (x)</t>
  </si>
  <si>
    <t>Creditor Turnover Ratio (x)</t>
  </si>
  <si>
    <t>Inventory Turnover (x)</t>
  </si>
  <si>
    <t>Fixed Asset Turnover (x)</t>
  </si>
  <si>
    <t>Capital Turnover Ratio (x)</t>
  </si>
  <si>
    <t>Debtor Days</t>
  </si>
  <si>
    <t>Payable Days</t>
  </si>
  <si>
    <t>Inventory Days</t>
  </si>
  <si>
    <t>Cash Conversion Cycle (in days)</t>
  </si>
  <si>
    <t>Trend</t>
  </si>
  <si>
    <t>Mean</t>
  </si>
  <si>
    <t>Median</t>
  </si>
  <si>
    <t>Comparable Companies Analysis</t>
  </si>
  <si>
    <t>All figures in Rs. Crore (Unless Specified)</t>
  </si>
  <si>
    <t>Company</t>
  </si>
  <si>
    <t>Share Price (Rs./Share)</t>
  </si>
  <si>
    <t>Equity Value (Market Cap)</t>
  </si>
  <si>
    <t>No of Share Outstanding</t>
  </si>
  <si>
    <t>Debt</t>
  </si>
  <si>
    <t>Cash Equi</t>
  </si>
  <si>
    <t>Net Debt</t>
  </si>
  <si>
    <t>Enterprise Value</t>
  </si>
  <si>
    <t>Market Data</t>
  </si>
  <si>
    <t>Financials</t>
  </si>
  <si>
    <t>EV/Revenue</t>
  </si>
  <si>
    <t>EV/EBITDA</t>
  </si>
  <si>
    <t>P/E</t>
  </si>
  <si>
    <t>Valuation</t>
  </si>
  <si>
    <t>S.No.</t>
  </si>
  <si>
    <t>Name</t>
  </si>
  <si>
    <r>
      <t>CMP </t>
    </r>
    <r>
      <rPr>
        <sz val="11"/>
        <color rgb="FF737373"/>
        <rFont val="Arial"/>
        <family val="2"/>
      </rPr>
      <t>Rs.</t>
    </r>
  </si>
  <si>
    <r>
      <t>Debt </t>
    </r>
    <r>
      <rPr>
        <sz val="11"/>
        <color rgb="FF737373"/>
        <rFont val="Arial"/>
        <family val="2"/>
      </rPr>
      <t>Rs.Cr.</t>
    </r>
  </si>
  <si>
    <r>
      <t>Cash End </t>
    </r>
    <r>
      <rPr>
        <sz val="11"/>
        <color rgb="FF737373"/>
        <rFont val="Arial"/>
        <family val="2"/>
      </rPr>
      <t>Rs.Cr.</t>
    </r>
  </si>
  <si>
    <r>
      <t>Sales Ann </t>
    </r>
    <r>
      <rPr>
        <sz val="11"/>
        <color rgb="FF737373"/>
        <rFont val="Arial"/>
        <family val="2"/>
      </rPr>
      <t>Rs.Cr.</t>
    </r>
  </si>
  <si>
    <r>
      <t>EBIDT Ann </t>
    </r>
    <r>
      <rPr>
        <sz val="11"/>
        <color rgb="FF737373"/>
        <rFont val="Arial"/>
        <family val="2"/>
      </rPr>
      <t>Rs.Cr.</t>
    </r>
  </si>
  <si>
    <r>
      <t>Mar Cap </t>
    </r>
    <r>
      <rPr>
        <sz val="11"/>
        <color rgb="FF737373"/>
        <rFont val="Arial"/>
        <family val="2"/>
      </rPr>
      <t>Rs.Cr.</t>
    </r>
  </si>
  <si>
    <r>
      <t>NP Ann </t>
    </r>
    <r>
      <rPr>
        <sz val="11"/>
        <color rgb="FF737373"/>
        <rFont val="Arial"/>
        <family val="2"/>
      </rPr>
      <t>Rs.Cr.</t>
    </r>
  </si>
  <si>
    <t>UltraTech Cem.</t>
  </si>
  <si>
    <t>Grasim Inds</t>
  </si>
  <si>
    <t>Ambuja Cements</t>
  </si>
  <si>
    <t>Shree Cement</t>
  </si>
  <si>
    <t>J K Cements</t>
  </si>
  <si>
    <t>Dalmia BharatLtd</t>
  </si>
  <si>
    <t>ACC</t>
  </si>
  <si>
    <t>High</t>
  </si>
  <si>
    <t>75th Percentile</t>
  </si>
  <si>
    <t>Average</t>
  </si>
  <si>
    <t>25th Percentile</t>
  </si>
  <si>
    <t>Low</t>
  </si>
  <si>
    <t xml:space="preserve">Enjoy Lemon Valuation </t>
  </si>
  <si>
    <t>Implied Enterprise Value</t>
  </si>
  <si>
    <t>Implied Market Value</t>
  </si>
  <si>
    <t>Shares Outstanding</t>
  </si>
  <si>
    <t>Implied Value Per Share</t>
  </si>
  <si>
    <t>(BS)</t>
  </si>
  <si>
    <t>Company Data</t>
  </si>
  <si>
    <t>Market Cap (Rs. Cr)</t>
  </si>
  <si>
    <t>Outstanding Shares (Cr)</t>
  </si>
  <si>
    <t>Current Market Price</t>
  </si>
  <si>
    <t>52 Week High - Low (Rs)</t>
  </si>
  <si>
    <t>Enterprise Value (Rs. Cr)</t>
  </si>
  <si>
    <t>Book Valua (Rs. Cr)</t>
  </si>
  <si>
    <t>Face Value (Rs)</t>
  </si>
  <si>
    <t>Financial Snapshot (Rs. Cr)</t>
  </si>
  <si>
    <t>PAT</t>
  </si>
  <si>
    <t>EPS</t>
  </si>
  <si>
    <t>Product Segments</t>
  </si>
  <si>
    <t>Segment</t>
  </si>
  <si>
    <t>Share</t>
  </si>
  <si>
    <t>EBITDAM (%)</t>
  </si>
  <si>
    <t>NPM (%)</t>
  </si>
  <si>
    <t>Debt:Equity (x)</t>
  </si>
  <si>
    <t>RoE (%)</t>
  </si>
  <si>
    <t>RoCE (%)</t>
  </si>
  <si>
    <t>P/E (x)</t>
  </si>
  <si>
    <t>P/BV (x)</t>
  </si>
  <si>
    <t>EV/EBITDA (x)</t>
  </si>
  <si>
    <t>Flls</t>
  </si>
  <si>
    <t>Dlls</t>
  </si>
  <si>
    <t>Public</t>
  </si>
  <si>
    <t>Shareholders Pattern</t>
  </si>
  <si>
    <t>Share Price Movement (Nifty Vs UltaTech</t>
  </si>
  <si>
    <t>FY 2022</t>
  </si>
  <si>
    <t>FY 2023</t>
  </si>
  <si>
    <t>FY 2024</t>
  </si>
  <si>
    <t>FY 2025</t>
  </si>
  <si>
    <t>FY 2026</t>
  </si>
  <si>
    <t>TTM</t>
  </si>
  <si>
    <t>INCOME</t>
  </si>
  <si>
    <t>EXPENSES</t>
  </si>
  <si>
    <t>Cost Of Materials Consumed</t>
  </si>
  <si>
    <t>Purchase Of Stock-In Trade</t>
  </si>
  <si>
    <t>Operating And Direct Expenses</t>
  </si>
  <si>
    <t>Changes In Inventories Of FG,WIP And Stock-In Trade</t>
  </si>
  <si>
    <t>Employee Benefit Expenses</t>
  </si>
  <si>
    <t>Finance Costs</t>
  </si>
  <si>
    <t>Depreciation And Amortisation Expenses</t>
  </si>
  <si>
    <t>Total Expenses</t>
  </si>
  <si>
    <t>Profit/Loss Before Exceptional, ExtraOrdinary Items And Tax</t>
  </si>
  <si>
    <t>Exceptional Items</t>
  </si>
  <si>
    <t>Profit/Loss Before Tax</t>
  </si>
  <si>
    <t>Tax Expenses-Continued Operations</t>
  </si>
  <si>
    <t>Current Tax</t>
  </si>
  <si>
    <t>Deferred Tax</t>
  </si>
  <si>
    <t>Total Tax Expenses</t>
  </si>
  <si>
    <t>Profit/Loss After Tax And Before ExtraOrdinary Items</t>
  </si>
  <si>
    <t>Profit/Loss From Continuing Operations</t>
  </si>
  <si>
    <t>Profit/Loss For The Period</t>
  </si>
  <si>
    <t>Share Of Profit/Loss Of Associates</t>
  </si>
  <si>
    <t>Consolidated Profit/Loss After MI And Associates</t>
  </si>
  <si>
    <t>OTHER ADDITIONAL INFORMATION</t>
  </si>
  <si>
    <t>EARNINGS PER SHARE</t>
  </si>
  <si>
    <t>Basic EPS (Rs.)</t>
  </si>
  <si>
    <t>Diluted EPS (Rs.)</t>
  </si>
  <si>
    <t>DIVIDEND AND DIVIDEND PERCENTAGE</t>
  </si>
  <si>
    <t>Equity Share Dividend</t>
  </si>
  <si>
    <t>EQUITIES AND LIABILITIES</t>
  </si>
  <si>
    <t>SHAREHOLDER'S FUNDS</t>
  </si>
  <si>
    <t>Equity Share Capital</t>
  </si>
  <si>
    <t>Reserves and Surplus</t>
  </si>
  <si>
    <t>Employees Stock Options</t>
  </si>
  <si>
    <t>Total Shareholders Funds</t>
  </si>
  <si>
    <t>NON-CURRENT LIABILITIES</t>
  </si>
  <si>
    <t>Long Term Borrowings</t>
  </si>
  <si>
    <t>Other Long Term Liabilities</t>
  </si>
  <si>
    <t>Long Term Provisions</t>
  </si>
  <si>
    <t>CURRENT LIABILITIES</t>
  </si>
  <si>
    <t>Short Term Borrowings</t>
  </si>
  <si>
    <t>Other Current Liabilities</t>
  </si>
  <si>
    <t>Short Term Provisions</t>
  </si>
  <si>
    <t>Total Capital And Liabilities</t>
  </si>
  <si>
    <t>ASSETS</t>
  </si>
  <si>
    <t>NON-CURRENT ASSETS</t>
  </si>
  <si>
    <t>Tangible Assets</t>
  </si>
  <si>
    <t>Capital Work-In-Progress</t>
  </si>
  <si>
    <t>Intangible Assets Under Development</t>
  </si>
  <si>
    <t>Other Assets</t>
  </si>
  <si>
    <t>Fixed Assets</t>
  </si>
  <si>
    <t>Non-Current Investments</t>
  </si>
  <si>
    <t>Deferred Tax Assets [Net]</t>
  </si>
  <si>
    <t>Long Term Loans And Advances</t>
  </si>
  <si>
    <t>Other Non-Current Assets</t>
  </si>
  <si>
    <t>CURRENT ASSETS</t>
  </si>
  <si>
    <t>Current Investments</t>
  </si>
  <si>
    <t>Trade Receivables</t>
  </si>
  <si>
    <t>Cash And Cash Equivalents</t>
  </si>
  <si>
    <t>Short Term Loans And Advances</t>
  </si>
  <si>
    <t>OtherCurrentAssets</t>
  </si>
  <si>
    <t>Weightage</t>
  </si>
  <si>
    <t>Year</t>
  </si>
  <si>
    <t>Growth</t>
  </si>
  <si>
    <t>Regression</t>
  </si>
  <si>
    <t>Other Expenses (% of Revenue)</t>
  </si>
  <si>
    <t xml:space="preserve"> </t>
  </si>
  <si>
    <t>Current Investments (% of revenue)</t>
  </si>
  <si>
    <t>Short Term Provisions (% of revenue)</t>
  </si>
  <si>
    <t>CMP Rs.</t>
  </si>
  <si>
    <t>Debt Rs.Cr.</t>
  </si>
  <si>
    <t>Cash End Rs.Cr.</t>
  </si>
  <si>
    <t>Sales Ann Rs.Cr.</t>
  </si>
  <si>
    <t>EBIDT Ann Rs.Cr.</t>
  </si>
  <si>
    <t>Mar Cap Rs.Cr.</t>
  </si>
  <si>
    <t>NP Ann Rs.Cr.</t>
  </si>
  <si>
    <t>Larsen &amp; Toubro</t>
  </si>
  <si>
    <t>Rail Vikas</t>
  </si>
  <si>
    <t>IRB Infra.Devl.</t>
  </si>
  <si>
    <t>NBCC</t>
  </si>
  <si>
    <t>Kalpataru Proj.</t>
  </si>
  <si>
    <t>Central Mine Pla</t>
  </si>
  <si>
    <t>Cemindia Project</t>
  </si>
  <si>
    <t>4440/3288</t>
  </si>
  <si>
    <t>Infrastructure Projects</t>
  </si>
  <si>
    <t>Energy Projects</t>
  </si>
  <si>
    <t>IT &amp; Technology Services</t>
  </si>
  <si>
    <t>Financial Services</t>
  </si>
  <si>
    <t>Hi-Tech Manufacturing</t>
  </si>
  <si>
    <t>Others</t>
  </si>
  <si>
    <t>Date</t>
  </si>
  <si>
    <t>Adj Close </t>
  </si>
  <si>
    <t>May 27, 2026</t>
  </si>
  <si>
    <t>May 26, 2026</t>
  </si>
  <si>
    <t>May 25, 2026</t>
  </si>
  <si>
    <t>May 22, 2026</t>
  </si>
  <si>
    <t>May 21, 2026</t>
  </si>
  <si>
    <t>May 20, 2026</t>
  </si>
  <si>
    <t>May 19, 2026</t>
  </si>
  <si>
    <t>May 18, 2026</t>
  </si>
  <si>
    <t>May 15, 2026</t>
  </si>
  <si>
    <t>May 14, 2026</t>
  </si>
  <si>
    <t>May 13, 2026</t>
  </si>
  <si>
    <t>May 12, 2026</t>
  </si>
  <si>
    <t>May 11, 2026</t>
  </si>
  <si>
    <t>May 8, 2026</t>
  </si>
  <si>
    <t>May 7, 2026</t>
  </si>
  <si>
    <t>May 6, 2026</t>
  </si>
  <si>
    <t>May 5, 2026</t>
  </si>
  <si>
    <t>May 4, 2026</t>
  </si>
  <si>
    <t>May 1, 2026</t>
  </si>
  <si>
    <t>Apr 30, 2026</t>
  </si>
  <si>
    <t>Apr 29, 2026</t>
  </si>
  <si>
    <t>Apr 28, 2026</t>
  </si>
  <si>
    <t>Apr 27, 2026</t>
  </si>
  <si>
    <t>Apr 24, 2026</t>
  </si>
  <si>
    <t>Apr 23, 2026</t>
  </si>
  <si>
    <t>Apr 22, 2026</t>
  </si>
  <si>
    <t>Apr 21, 2026</t>
  </si>
  <si>
    <t>Apr 20, 2026</t>
  </si>
  <si>
    <t>Apr 17, 2026</t>
  </si>
  <si>
    <t>Apr 16, 2026</t>
  </si>
  <si>
    <t>Apr 15, 2026</t>
  </si>
  <si>
    <t>Apr 13, 2026</t>
  </si>
  <si>
    <t>Apr 10, 2026</t>
  </si>
  <si>
    <t>Apr 9, 2026</t>
  </si>
  <si>
    <t>Apr 8, 2026</t>
  </si>
  <si>
    <t>Apr 7, 2026</t>
  </si>
  <si>
    <t>Apr 6, 2026</t>
  </si>
  <si>
    <t>Apr 2, 2026</t>
  </si>
  <si>
    <t>Apr 1, 2026</t>
  </si>
  <si>
    <t>Mar 30, 2026</t>
  </si>
  <si>
    <t>Mar 27, 2026</t>
  </si>
  <si>
    <t>Mar 25, 2026</t>
  </si>
  <si>
    <t>Mar 24, 2026</t>
  </si>
  <si>
    <t>Mar 23, 2026</t>
  </si>
  <si>
    <t>Mar 20, 2026</t>
  </si>
  <si>
    <t>Mar 19, 2026</t>
  </si>
  <si>
    <t>Mar 18, 2026</t>
  </si>
  <si>
    <t>Mar 17, 2026</t>
  </si>
  <si>
    <t>Mar 16, 2026</t>
  </si>
  <si>
    <t>Mar 13, 2026</t>
  </si>
  <si>
    <t>Mar 12, 2026</t>
  </si>
  <si>
    <t>Mar 11, 2026</t>
  </si>
  <si>
    <t>Mar 10, 2026</t>
  </si>
  <si>
    <t>Mar 9, 2026</t>
  </si>
  <si>
    <t>Mar 6, 2026</t>
  </si>
  <si>
    <t>Mar 5, 2026</t>
  </si>
  <si>
    <t>Mar 4, 2026</t>
  </si>
  <si>
    <t>Mar 2, 2026</t>
  </si>
  <si>
    <t>Feb 27, 2026</t>
  </si>
  <si>
    <t>Feb 26, 2026</t>
  </si>
  <si>
    <t>Feb 25, 2026</t>
  </si>
  <si>
    <t>Feb 24, 2026</t>
  </si>
  <si>
    <t>Feb 23, 2026</t>
  </si>
  <si>
    <t>Feb 20, 2026</t>
  </si>
  <si>
    <t>Feb 19, 2026</t>
  </si>
  <si>
    <t>Feb 18, 2026</t>
  </si>
  <si>
    <t>Feb 17, 2026</t>
  </si>
  <si>
    <t>Feb 16, 2026</t>
  </si>
  <si>
    <t>Feb 13, 2026</t>
  </si>
  <si>
    <t>Feb 12, 2026</t>
  </si>
  <si>
    <t>Feb 11, 2026</t>
  </si>
  <si>
    <t>Feb 10, 2026</t>
  </si>
  <si>
    <t>Feb 9, 2026</t>
  </si>
  <si>
    <t>Feb 6, 2026</t>
  </si>
  <si>
    <t>Feb 5, 2026</t>
  </si>
  <si>
    <t>Feb 4, 2026</t>
  </si>
  <si>
    <t>Feb 3, 2026</t>
  </si>
  <si>
    <t>Feb 2, 2026</t>
  </si>
  <si>
    <t>Jan 30, 2026</t>
  </si>
  <si>
    <t>Jan 29, 2026</t>
  </si>
  <si>
    <t>Jan 28, 2026</t>
  </si>
  <si>
    <t>Jan 27, 2026</t>
  </si>
  <si>
    <t>Jan 23, 2026</t>
  </si>
  <si>
    <t>Jan 22, 2026</t>
  </si>
  <si>
    <t>Jan 21, 2026</t>
  </si>
  <si>
    <t>Jan 20, 2026</t>
  </si>
  <si>
    <t>Jan 19, 2026</t>
  </si>
  <si>
    <t>Jan 16, 2026</t>
  </si>
  <si>
    <t>Jan 15, 2026</t>
  </si>
  <si>
    <t>Jan 14, 2026</t>
  </si>
  <si>
    <t>Jan 13, 2026</t>
  </si>
  <si>
    <t>Jan 12, 2026</t>
  </si>
  <si>
    <t>Jan 9, 2026</t>
  </si>
  <si>
    <t>Jan 8, 2026</t>
  </si>
  <si>
    <t>Jan 7, 2026</t>
  </si>
  <si>
    <t>Jan 6, 2026</t>
  </si>
  <si>
    <t>Jan 5, 2026</t>
  </si>
  <si>
    <t>Jan 2, 2026</t>
  </si>
  <si>
    <t>Jan 1, 2026</t>
  </si>
  <si>
    <t>Dec 31, 2025</t>
  </si>
  <si>
    <t>Dec 30, 2025</t>
  </si>
  <si>
    <t>Dec 29, 2025</t>
  </si>
  <si>
    <t>Dec 26, 2025</t>
  </si>
  <si>
    <t>Dec 24, 2025</t>
  </si>
  <si>
    <t>Dec 23, 2025</t>
  </si>
  <si>
    <t>Dec 22, 2025</t>
  </si>
  <si>
    <t>Dec 19, 2025</t>
  </si>
  <si>
    <t>Dec 18, 2025</t>
  </si>
  <si>
    <t>Dec 17, 2025</t>
  </si>
  <si>
    <t>Dec 16, 2025</t>
  </si>
  <si>
    <t>Dec 15, 2025</t>
  </si>
  <si>
    <t>Dec 12, 2025</t>
  </si>
  <si>
    <t>Dec 11, 2025</t>
  </si>
  <si>
    <t>Dec 10, 2025</t>
  </si>
  <si>
    <t>Dec 9, 2025</t>
  </si>
  <si>
    <t>Dec 8, 2025</t>
  </si>
  <si>
    <t>Dec 5, 2025</t>
  </si>
  <si>
    <t>Dec 4, 2025</t>
  </si>
  <si>
    <t>Dec 3, 2025</t>
  </si>
  <si>
    <t>Dec 2, 2025</t>
  </si>
  <si>
    <t>Dec 1, 2025</t>
  </si>
  <si>
    <t>Nov 28, 2025</t>
  </si>
  <si>
    <t>Nov 27, 2025</t>
  </si>
  <si>
    <t>Nov 26, 2025</t>
  </si>
  <si>
    <t>Nov 25, 2025</t>
  </si>
  <si>
    <t>Nov 24, 2025</t>
  </si>
  <si>
    <t>Nov 21, 2025</t>
  </si>
  <si>
    <t>Nov 20, 2025</t>
  </si>
  <si>
    <t>Nov 19, 2025</t>
  </si>
  <si>
    <t>Nov 18, 2025</t>
  </si>
  <si>
    <t>Nov 17, 2025</t>
  </si>
  <si>
    <t>Nov 14, 2025</t>
  </si>
  <si>
    <t>Nov 13, 2025</t>
  </si>
  <si>
    <t>Nov 12, 2025</t>
  </si>
  <si>
    <t>Nov 11, 2025</t>
  </si>
  <si>
    <t>Nov 10, 2025</t>
  </si>
  <si>
    <t>Nov 7, 2025</t>
  </si>
  <si>
    <t>Nov 6, 2025</t>
  </si>
  <si>
    <t>Nov 4, 2025</t>
  </si>
  <si>
    <t>Nov 3, 2025</t>
  </si>
  <si>
    <t>Oct 31, 2025</t>
  </si>
  <si>
    <t>Oct 30, 2025</t>
  </si>
  <si>
    <t>Oct 29, 2025</t>
  </si>
  <si>
    <t>Oct 28, 2025</t>
  </si>
  <si>
    <t>Oct 27, 2025</t>
  </si>
  <si>
    <t>Oct 24, 2025</t>
  </si>
  <si>
    <t>Oct 23, 2025</t>
  </si>
  <si>
    <t>Oct 21, 2025</t>
  </si>
  <si>
    <t>Oct 20, 2025</t>
  </si>
  <si>
    <t>Oct 17, 2025</t>
  </si>
  <si>
    <t>Oct 16, 2025</t>
  </si>
  <si>
    <t>Oct 15, 2025</t>
  </si>
  <si>
    <t>Oct 14, 2025</t>
  </si>
  <si>
    <t>Oct 13, 2025</t>
  </si>
  <si>
    <t>Oct 10, 2025</t>
  </si>
  <si>
    <t>Oct 9, 2025</t>
  </si>
  <si>
    <t>Oct 8, 2025</t>
  </si>
  <si>
    <t>Oct 7, 2025</t>
  </si>
  <si>
    <t>Oct 6, 2025</t>
  </si>
  <si>
    <t>Oct 3, 2025</t>
  </si>
  <si>
    <t>Oct 1, 2025</t>
  </si>
  <si>
    <t>Sep 30, 2025</t>
  </si>
  <si>
    <t>Sep 29, 2025</t>
  </si>
  <si>
    <t>Sep 26, 2025</t>
  </si>
  <si>
    <t>Sep 25, 2025</t>
  </si>
  <si>
    <t>Sep 24, 2025</t>
  </si>
  <si>
    <t>Sep 23, 2025</t>
  </si>
  <si>
    <t>Sep 22, 2025</t>
  </si>
  <si>
    <t>Sep 19, 2025</t>
  </si>
  <si>
    <t>Sep 18, 2025</t>
  </si>
  <si>
    <t>Sep 17, 2025</t>
  </si>
  <si>
    <t>Sep 16, 2025</t>
  </si>
  <si>
    <t>Sep 15, 2025</t>
  </si>
  <si>
    <t>Sep 12, 2025</t>
  </si>
  <si>
    <t>Sep 11, 2025</t>
  </si>
  <si>
    <t>Sep 10, 2025</t>
  </si>
  <si>
    <t>Sep 9, 2025</t>
  </si>
  <si>
    <t>Sep 8, 2025</t>
  </si>
  <si>
    <t>Sep 5, 2025</t>
  </si>
  <si>
    <t>Sep 4, 2025</t>
  </si>
  <si>
    <t>Sep 3, 2025</t>
  </si>
  <si>
    <t>Sep 2, 2025</t>
  </si>
  <si>
    <t>Sep 1, 2025</t>
  </si>
  <si>
    <t>Aug 29, 2025</t>
  </si>
  <si>
    <t>Aug 28, 2025</t>
  </si>
  <si>
    <t>Aug 26, 2025</t>
  </si>
  <si>
    <t>Aug 25, 2025</t>
  </si>
  <si>
    <t>Aug 22, 2025</t>
  </si>
  <si>
    <t>Aug 21, 2025</t>
  </si>
  <si>
    <t>Aug 20, 2025</t>
  </si>
  <si>
    <t>Aug 19, 2025</t>
  </si>
  <si>
    <t>Aug 18, 2025</t>
  </si>
  <si>
    <t>Aug 14, 2025</t>
  </si>
  <si>
    <t>Aug 13, 2025</t>
  </si>
  <si>
    <t>Aug 12, 2025</t>
  </si>
  <si>
    <t>Aug 11, 2025</t>
  </si>
  <si>
    <t>Aug 8, 2025</t>
  </si>
  <si>
    <t>Aug 7, 2025</t>
  </si>
  <si>
    <t>Aug 6, 2025</t>
  </si>
  <si>
    <t>Aug 5, 2025</t>
  </si>
  <si>
    <t>Aug 4, 2025</t>
  </si>
  <si>
    <t>Aug 1, 2025</t>
  </si>
  <si>
    <t>Jul 31, 2025</t>
  </si>
  <si>
    <t>Jul 30, 2025</t>
  </si>
  <si>
    <t>Jul 29, 2025</t>
  </si>
  <si>
    <t>Jul 28, 2025</t>
  </si>
  <si>
    <t>Jul 25, 2025</t>
  </si>
  <si>
    <t>Jul 24, 2025</t>
  </si>
  <si>
    <t>Jul 23, 2025</t>
  </si>
  <si>
    <t>Jul 22, 2025</t>
  </si>
  <si>
    <t>Jul 21, 2025</t>
  </si>
  <si>
    <t>Jul 18, 2025</t>
  </si>
  <si>
    <t>Jul 17, 2025</t>
  </si>
  <si>
    <t>Jul 16, 2025</t>
  </si>
  <si>
    <t>Jul 15, 2025</t>
  </si>
  <si>
    <t>Jul 14, 2025</t>
  </si>
  <si>
    <t>Jul 11, 2025</t>
  </si>
  <si>
    <t>Jul 10, 2025</t>
  </si>
  <si>
    <t>Jul 9, 2025</t>
  </si>
  <si>
    <t>Jul 8, 2025</t>
  </si>
  <si>
    <t>Jul 7, 2025</t>
  </si>
  <si>
    <t>Jul 4, 2025</t>
  </si>
  <si>
    <t>Jul 3, 2025</t>
  </si>
  <si>
    <t>Jul 2, 2025</t>
  </si>
  <si>
    <t>Jul 1, 2025</t>
  </si>
  <si>
    <t>Jun 30, 2025</t>
  </si>
  <si>
    <t>Jun 27, 2025</t>
  </si>
  <si>
    <t>Jun 26, 2025</t>
  </si>
  <si>
    <t>Jun 25, 2025</t>
  </si>
  <si>
    <t>Jun 24, 2025</t>
  </si>
  <si>
    <t>Jun 23, 2025</t>
  </si>
  <si>
    <t>Jun 20, 2025</t>
  </si>
  <si>
    <t>Jun 19, 2025</t>
  </si>
  <si>
    <t>Jun 18, 2025</t>
  </si>
  <si>
    <t>Jun 17, 2025</t>
  </si>
  <si>
    <t>Jun 16, 2025</t>
  </si>
  <si>
    <t>Jun 13, 2025</t>
  </si>
  <si>
    <t>Jun 12, 2025</t>
  </si>
  <si>
    <t>Jun 11, 2025</t>
  </si>
  <si>
    <t>Jun 10, 2025</t>
  </si>
  <si>
    <t>Jun 9, 2025</t>
  </si>
  <si>
    <t>Jun 6, 2025</t>
  </si>
  <si>
    <t>Jun 5, 2025</t>
  </si>
  <si>
    <t>Jun 4, 2025</t>
  </si>
  <si>
    <t>Jun 3, 2025</t>
  </si>
  <si>
    <t>Jun 2, 2025</t>
  </si>
  <si>
    <t>May 30, 2025</t>
  </si>
  <si>
    <t>May 29, 2025</t>
  </si>
  <si>
    <t>NIFTY</t>
  </si>
  <si>
    <t>Note:</t>
  </si>
  <si>
    <t>Valuation Model of Larsen &amp; Toubro (L&amp;T).</t>
  </si>
  <si>
    <t>Henning Holck-Larsen &amp; Søren Kristian Toubro</t>
  </si>
  <si>
    <t>Industry</t>
  </si>
  <si>
    <t>Engineering, Construction, Manufacturing, IT Services, Defence, Financial Services</t>
  </si>
  <si>
    <t>2022</t>
  </si>
  <si>
    <t>2023</t>
  </si>
  <si>
    <t>2024</t>
  </si>
  <si>
    <t>2025</t>
  </si>
  <si>
    <t>2026</t>
  </si>
  <si>
    <t>2027</t>
  </si>
  <si>
    <t>2028</t>
  </si>
  <si>
    <t>2029</t>
  </si>
  <si>
    <t>2030</t>
  </si>
  <si>
    <t>2031</t>
  </si>
  <si>
    <t>Particular</t>
  </si>
  <si>
    <t>Years</t>
  </si>
  <si>
    <t>Amount</t>
  </si>
  <si>
    <t>Column Labels</t>
  </si>
  <si>
    <t>Grand Total</t>
  </si>
  <si>
    <t>Row Labels</t>
  </si>
  <si>
    <t>Sum of Amount</t>
  </si>
  <si>
    <t>Ratio</t>
  </si>
  <si>
    <t>Average of Ratio</t>
  </si>
  <si>
    <t xml:space="preserve">5 Yr Average </t>
  </si>
  <si>
    <t>Financial Activities</t>
  </si>
  <si>
    <t>Investing Activities</t>
  </si>
  <si>
    <t>Operating Activities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</si>
</sst>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 #,##0.00_ ;_ * \-#,##0.00_ ;_ * &quot;-&quot;??_ ;_ @_ "/>
    <numFmt numFmtId="164" formatCode="0.0%"/>
    <numFmt numFmtId="165" formatCode="#,##0;\(#,##0\)"/>
    <numFmt numFmtId="166" formatCode="_ * #,##0.0_ ;_ * \-#,##0.0_ ;_ * &quot;-&quot;??_ ;_ @_ "/>
    <numFmt numFmtId="167" formatCode="#,##0.00;\(#,##0.00\)"/>
    <numFmt numFmtId="168" formatCode="0.0&quot;x&quot;"/>
    <numFmt numFmtId="169" formatCode="0.00&quot;x&quot;"/>
    <numFmt numFmtId="170" formatCode="0.0"/>
    <numFmt numFmtId="171" formatCode="#,##0.0"/>
    <numFmt numFmtId="172" formatCode="0.0,"/>
    <numFmt numFmtId="173" formatCode="#,##0.000000000"/>
    <numFmt numFmtId="174" formatCode="#,##0.00000000000"/>
    <numFmt numFmtId="175" formatCode="&quot;₹&quot;\ #,##0"/>
  </numFmts>
  <fonts count="49" x14ac:knownFonts="1">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8"/>
      <name val="Arial"/>
      <family val="2"/>
    </font>
    <font>
      <sz val="11"/>
      <name val="Calibri"/>
      <family val="2"/>
      <scheme val="minor"/>
    </font>
    <font>
      <sz val="11"/>
      <name val="Arial"/>
      <family val="2"/>
    </font>
    <font>
      <b/>
      <sz val="11"/>
      <name val="Arial"/>
      <family val="2"/>
    </font>
    <font>
      <sz val="18"/>
      <color theme="1"/>
      <name val="Calibri"/>
      <family val="2"/>
      <scheme val="minor"/>
    </font>
    <font>
      <b/>
      <sz val="20"/>
      <color theme="1"/>
      <name val="Calibri"/>
      <family val="2"/>
      <scheme val="minor"/>
    </font>
    <font>
      <i/>
      <sz val="11"/>
      <color theme="1"/>
      <name val="Calibri"/>
      <family val="2"/>
      <scheme val="minor"/>
    </font>
    <font>
      <b/>
      <sz val="11"/>
      <color theme="0"/>
      <name val="Calibri"/>
      <family val="2"/>
      <scheme val="minor"/>
    </font>
    <font>
      <sz val="8"/>
      <name val="Calibri"/>
      <family val="2"/>
      <scheme val="minor"/>
    </font>
    <font>
      <b/>
      <sz val="11"/>
      <name val="Calibri"/>
      <family val="2"/>
      <scheme val="minor"/>
    </font>
    <font>
      <b/>
      <sz val="11"/>
      <color rgb="FF339933"/>
      <name val="Calibri"/>
      <family val="2"/>
      <scheme val="minor"/>
    </font>
    <font>
      <sz val="11"/>
      <color rgb="FF006AB9"/>
      <name val="Calibri"/>
      <family val="2"/>
      <scheme val="minor"/>
    </font>
    <font>
      <sz val="11"/>
      <color rgb="FF227800"/>
      <name val="Calibri"/>
      <family val="2"/>
      <scheme val="minor"/>
    </font>
    <font>
      <b/>
      <sz val="11"/>
      <color rgb="FF227800"/>
      <name val="Calibri"/>
      <family val="2"/>
      <scheme val="minor"/>
    </font>
    <font>
      <sz val="11"/>
      <color rgb="FF004077"/>
      <name val="Calibri"/>
      <family val="2"/>
      <scheme val="minor"/>
    </font>
    <font>
      <b/>
      <sz val="20"/>
      <color rgb="FF000000"/>
      <name val="Calibri"/>
      <family val="2"/>
      <scheme val="minor"/>
    </font>
    <font>
      <sz val="11"/>
      <color rgb="FF000000"/>
      <name val="Calibri"/>
      <family val="2"/>
      <scheme val="minor"/>
    </font>
    <font>
      <i/>
      <sz val="11"/>
      <color rgb="FF000000"/>
      <name val="Calibri"/>
      <family val="2"/>
      <scheme val="minor"/>
    </font>
    <font>
      <b/>
      <sz val="11"/>
      <color rgb="FFFFFFFF"/>
      <name val="Calibri"/>
      <family val="2"/>
      <scheme val="minor"/>
    </font>
    <font>
      <b/>
      <sz val="11"/>
      <color rgb="FF000000"/>
      <name val="Calibri"/>
      <family val="2"/>
      <scheme val="minor"/>
    </font>
    <font>
      <b/>
      <sz val="14"/>
      <color theme="1"/>
      <name val="Calibri"/>
      <family val="2"/>
      <scheme val="minor"/>
    </font>
    <font>
      <sz val="11"/>
      <color rgb="FF008000"/>
      <name val="Calibri"/>
      <family val="2"/>
      <scheme val="minor"/>
    </font>
    <font>
      <sz val="11"/>
      <color theme="8"/>
      <name val="Calibri"/>
      <family val="2"/>
      <scheme val="minor"/>
    </font>
    <font>
      <sz val="11"/>
      <color theme="0"/>
      <name val="Calibri"/>
      <family val="2"/>
      <scheme val="minor"/>
    </font>
    <font>
      <sz val="11"/>
      <color rgb="FF006BA8"/>
      <name val="Calibri"/>
      <family val="2"/>
      <scheme val="minor"/>
    </font>
    <font>
      <i/>
      <sz val="11"/>
      <name val="Calibri"/>
      <family val="2"/>
      <scheme val="minor"/>
    </font>
    <font>
      <sz val="11"/>
      <color rgb="FFFFFFFF"/>
      <name val="Calibri"/>
      <family val="2"/>
      <scheme val="minor"/>
    </font>
    <font>
      <b/>
      <sz val="22"/>
      <color theme="1"/>
      <name val="Calibri"/>
      <family val="2"/>
      <scheme val="minor"/>
    </font>
    <font>
      <b/>
      <sz val="11"/>
      <color rgb="FF004F88"/>
      <name val="Calibri"/>
      <family val="2"/>
      <scheme val="minor"/>
    </font>
    <font>
      <b/>
      <sz val="11"/>
      <color rgb="FF008000"/>
      <name val="Calibri"/>
      <family val="2"/>
      <scheme val="minor"/>
    </font>
    <font>
      <b/>
      <sz val="11"/>
      <color rgb="FFED0000"/>
      <name val="Calibri"/>
      <family val="2"/>
      <scheme val="minor"/>
    </font>
    <font>
      <b/>
      <sz val="11"/>
      <color theme="0"/>
      <name val="Calibri"/>
    </font>
    <font>
      <b/>
      <sz val="20"/>
      <color rgb="FF000066"/>
      <name val="Calibri"/>
      <family val="2"/>
      <scheme val="minor"/>
    </font>
    <font>
      <sz val="11"/>
      <color rgb="FF606F7B"/>
      <name val="Arial"/>
      <family val="2"/>
    </font>
    <font>
      <sz val="11"/>
      <color rgb="FF737373"/>
      <name val="Arial"/>
      <family val="2"/>
    </font>
    <font>
      <sz val="11"/>
      <color rgb="FF22222F"/>
      <name val="Arial"/>
      <family val="2"/>
    </font>
    <font>
      <sz val="11"/>
      <color rgb="FF22222F"/>
      <name val="Arial"/>
      <family val="2"/>
    </font>
    <font>
      <sz val="11"/>
      <color rgb="FF007BB8"/>
      <name val="Calibri"/>
      <family val="2"/>
      <scheme val="minor"/>
    </font>
    <font>
      <b/>
      <sz val="8"/>
      <color rgb="FF535B62"/>
      <name val="Arial"/>
      <family val="2"/>
    </font>
    <font>
      <sz val="8"/>
      <color rgb="FF535B62"/>
      <name val="Arial"/>
      <family val="2"/>
    </font>
    <font>
      <b/>
      <sz val="11"/>
      <color rgb="FF535B62"/>
      <name val="Calibri"/>
      <family val="2"/>
      <scheme val="minor"/>
    </font>
    <font>
      <sz val="11"/>
      <color rgb="FF535B62"/>
      <name val="Calibri"/>
      <family val="2"/>
      <scheme val="minor"/>
    </font>
    <font>
      <b/>
      <i/>
      <sz val="10"/>
      <color theme="1"/>
      <name val="Calibri"/>
      <family val="2"/>
      <scheme val="minor"/>
    </font>
    <font>
      <sz val="11"/>
      <color rgb="FF004C00"/>
      <name val="Calibri"/>
      <family val="2"/>
      <scheme val="minor"/>
    </font>
    <font>
      <sz val="10"/>
      <color rgb="FF000000"/>
      <name val="Calibri"/>
      <family val="2"/>
    </font>
  </fonts>
  <fills count="29">
    <fill>
      <patternFill patternType="none"/>
    </fill>
    <fill>
      <patternFill patternType="gray125"/>
    </fill>
    <fill>
      <patternFill patternType="solid">
        <fgColor rgb="FFFFFFFF"/>
        <bgColor indexed="64"/>
      </patternFill>
    </fill>
    <fill>
      <patternFill patternType="solid">
        <fgColor rgb="FF000066"/>
        <bgColor indexed="64"/>
      </patternFill>
    </fill>
    <fill>
      <patternFill patternType="solid">
        <fgColor rgb="FF33993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0066"/>
        <bgColor rgb="FF000000"/>
      </patternFill>
    </fill>
    <fill>
      <patternFill patternType="solid">
        <fgColor rgb="FF339933"/>
        <bgColor rgb="FF000000"/>
      </patternFill>
    </fill>
    <fill>
      <patternFill patternType="solid">
        <fgColor rgb="FFDDEBF7"/>
        <bgColor rgb="FF000000"/>
      </patternFill>
    </fill>
    <fill>
      <patternFill patternType="solid">
        <fgColor rgb="FFE2EFDA"/>
        <bgColor rgb="FF000000"/>
      </patternFill>
    </fill>
    <fill>
      <patternFill patternType="solid">
        <fgColor theme="9" tint="0.79998168889431442"/>
        <bgColor rgb="FF000000"/>
      </patternFill>
    </fill>
    <fill>
      <patternFill patternType="solid">
        <fgColor theme="7" tint="0.39997558519241921"/>
        <bgColor indexed="64"/>
      </patternFill>
    </fill>
    <fill>
      <patternFill patternType="solid">
        <fgColor theme="0" tint="-4.9989318521683403E-2"/>
        <bgColor indexed="64"/>
      </patternFill>
    </fill>
    <fill>
      <patternFill patternType="solid">
        <fgColor rgb="FF002060"/>
        <bgColor rgb="FF002060"/>
      </patternFill>
    </fill>
    <fill>
      <patternFill patternType="solid">
        <fgColor theme="0"/>
        <bgColor indexed="64"/>
      </patternFill>
    </fill>
    <fill>
      <patternFill patternType="solid">
        <fgColor rgb="FF002465"/>
        <bgColor indexed="64"/>
      </patternFill>
    </fill>
    <fill>
      <patternFill patternType="solid">
        <fgColor rgb="FFF8F8FC"/>
        <bgColor indexed="64"/>
      </patternFill>
    </fill>
    <fill>
      <patternFill patternType="solid">
        <fgColor theme="3" tint="0.79998168889431442"/>
        <bgColor indexed="64"/>
      </patternFill>
    </fill>
    <fill>
      <patternFill patternType="solid">
        <fgColor rgb="FF003366"/>
        <bgColor indexed="64"/>
      </patternFill>
    </fill>
    <fill>
      <patternFill patternType="solid">
        <fgColor rgb="FFF9FAFC"/>
        <bgColor indexed="64"/>
      </patternFill>
    </fill>
    <fill>
      <patternFill patternType="solid">
        <fgColor rgb="FFF9FFFD"/>
        <bgColor indexed="64"/>
      </patternFill>
    </fill>
    <fill>
      <patternFill patternType="solid">
        <fgColor rgb="FFF3F4F4"/>
        <bgColor indexed="64"/>
      </patternFill>
    </fill>
    <fill>
      <patternFill patternType="solid">
        <fgColor rgb="FF008000"/>
        <bgColor indexed="64"/>
      </patternFill>
    </fill>
    <fill>
      <patternFill patternType="solid">
        <fgColor theme="2"/>
        <bgColor indexed="64"/>
      </patternFill>
    </fill>
    <fill>
      <patternFill patternType="solid">
        <fgColor theme="8" tint="0.79998168889431442"/>
        <bgColor indexed="64"/>
      </patternFill>
    </fill>
    <fill>
      <patternFill patternType="solid">
        <fgColor theme="4" tint="0.79998168889431442"/>
        <bgColor theme="4" tint="0.79998168889431442"/>
      </patternFill>
    </fill>
    <fill>
      <patternFill patternType="solid">
        <fgColor theme="9"/>
        <bgColor theme="9"/>
      </patternFill>
    </fill>
    <fill>
      <patternFill patternType="solid">
        <fgColor theme="9" tint="0.79998168889431442"/>
        <bgColor theme="9" tint="0.79998168889431442"/>
      </patternFill>
    </fill>
  </fills>
  <borders count="46">
    <border>
      <left/>
      <right/>
      <top/>
      <bottom/>
      <diagonal/>
    </border>
    <border>
      <left/>
      <right/>
      <top/>
      <bottom style="thin">
        <color indexed="64"/>
      </bottom>
      <diagonal/>
    </border>
    <border>
      <left/>
      <right/>
      <top style="thin">
        <color indexed="64"/>
      </top>
      <bottom style="medium">
        <color indexed="64"/>
      </bottom>
      <diagonal/>
    </border>
    <border>
      <left/>
      <right/>
      <top style="thin">
        <color indexed="64"/>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style="thin">
        <color indexed="64"/>
      </left>
      <right/>
      <top style="thin">
        <color indexed="64"/>
      </top>
      <bottom style="thin">
        <color indexed="64"/>
      </bottom>
      <diagonal/>
    </border>
    <border>
      <left/>
      <right/>
      <top/>
      <bottom style="thin">
        <color theme="0"/>
      </bottom>
      <diagonal/>
    </border>
    <border>
      <left/>
      <right/>
      <top/>
      <bottom style="medium">
        <color rgb="FFDBE4F0"/>
      </bottom>
      <diagonal/>
    </border>
    <border>
      <left/>
      <right/>
      <top style="medium">
        <color rgb="FF645DF9"/>
      </top>
      <bottom style="medium">
        <color rgb="FF645DF9"/>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medium">
        <color rgb="FF000000"/>
      </bottom>
      <diagonal/>
    </border>
    <border>
      <left style="thin">
        <color theme="4" tint="0.39997558519241921"/>
      </left>
      <right/>
      <top style="thin">
        <color indexed="64"/>
      </top>
      <bottom style="thin">
        <color indexed="64"/>
      </bottom>
      <diagonal/>
    </border>
    <border>
      <left/>
      <right style="thin">
        <color theme="4" tint="0.39997558519241921"/>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style="thin">
        <color theme="4" tint="0.39997558519241921"/>
      </left>
      <right/>
      <top style="thin">
        <color indexed="64"/>
      </top>
      <bottom/>
      <diagonal/>
    </border>
    <border>
      <left style="thin">
        <color indexed="64"/>
      </left>
      <right/>
      <top style="thin">
        <color indexed="64"/>
      </top>
      <bottom/>
      <diagonal/>
    </border>
    <border>
      <left/>
      <right style="thin">
        <color theme="4" tint="0.39997558519241921"/>
      </right>
      <top style="thin">
        <color indexed="64"/>
      </top>
      <bottom/>
      <diagonal/>
    </border>
    <border>
      <left style="thin">
        <color theme="4" tint="0.39997558519241921"/>
      </left>
      <right/>
      <top style="medium">
        <color indexed="64"/>
      </top>
      <bottom/>
      <diagonal/>
    </border>
    <border>
      <left style="thin">
        <color indexed="64"/>
      </left>
      <right/>
      <top style="medium">
        <color indexed="64"/>
      </top>
      <bottom/>
      <diagonal/>
    </border>
    <border>
      <left/>
      <right style="thin">
        <color theme="4" tint="0.39997558519241921"/>
      </right>
      <top style="medium">
        <color indexed="64"/>
      </top>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right/>
      <top/>
      <bottom style="thin">
        <color theme="4" tint="0.39997558519241921"/>
      </bottom>
      <diagonal/>
    </border>
    <border>
      <left style="thin">
        <color theme="4" tint="0.39997558519241921"/>
      </left>
      <right/>
      <top style="thin">
        <color theme="4" tint="0.39997558519241921"/>
      </top>
      <bottom style="thin">
        <color indexed="64"/>
      </bottom>
      <diagonal/>
    </border>
    <border>
      <left/>
      <right/>
      <top style="thin">
        <color theme="4" tint="0.39997558519241921"/>
      </top>
      <bottom style="thin">
        <color indexed="64"/>
      </bottom>
      <diagonal/>
    </border>
    <border>
      <left style="thin">
        <color indexed="64"/>
      </left>
      <right/>
      <top style="thin">
        <color theme="4" tint="0.39997558519241921"/>
      </top>
      <bottom style="thin">
        <color indexed="64"/>
      </bottom>
      <diagonal/>
    </border>
    <border>
      <left/>
      <right style="thin">
        <color theme="4" tint="0.39997558519241921"/>
      </right>
      <top style="thin">
        <color theme="4" tint="0.39997558519241921"/>
      </top>
      <bottom style="thin">
        <color indexed="64"/>
      </bottom>
      <diagonal/>
    </border>
    <border>
      <left style="thin">
        <color theme="4" tint="0.39997558519241921"/>
      </left>
      <right/>
      <top style="thin">
        <color rgb="FF000000"/>
      </top>
      <bottom/>
      <diagonal/>
    </border>
    <border>
      <left style="thin">
        <color theme="4" tint="0.39997558519241921"/>
      </left>
      <right/>
      <top style="thin">
        <color indexed="64"/>
      </top>
      <bottom style="medium">
        <color indexed="64"/>
      </bottom>
      <diagonal/>
    </border>
    <border>
      <left/>
      <right style="thin">
        <color theme="4" tint="0.39997558519241921"/>
      </right>
      <top style="thin">
        <color indexed="64"/>
      </top>
      <bottom style="medium">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cellStyleXfs>
  <cellXfs count="434">
    <xf numFmtId="0" fontId="0" fillId="0" borderId="0" xfId="0"/>
    <xf numFmtId="43" fontId="0" fillId="0" borderId="0" xfId="1" applyFont="1" applyBorder="1"/>
    <xf numFmtId="43" fontId="1" fillId="0" borderId="0" xfId="1" applyFont="1" applyBorder="1"/>
    <xf numFmtId="0" fontId="4" fillId="0" borderId="0" xfId="0" applyFont="1" applyAlignment="1">
      <alignment vertical="center" wrapText="1"/>
    </xf>
    <xf numFmtId="0" fontId="5" fillId="0" borderId="0" xfId="0" applyFont="1"/>
    <xf numFmtId="0" fontId="3" fillId="0" borderId="0" xfId="3" applyFill="1" applyBorder="1" applyAlignment="1">
      <alignment horizontal="right" vertical="top"/>
    </xf>
    <xf numFmtId="0" fontId="6" fillId="0" borderId="0" xfId="0" applyFont="1" applyAlignment="1">
      <alignment horizontal="left" vertical="center"/>
    </xf>
    <xf numFmtId="0" fontId="7" fillId="0" borderId="0" xfId="0" applyFont="1" applyAlignment="1">
      <alignment horizontal="left" vertical="center"/>
    </xf>
    <xf numFmtId="3" fontId="7" fillId="0" borderId="0" xfId="0" applyNumberFormat="1" applyFont="1" applyAlignment="1">
      <alignment horizontal="right" vertical="center" wrapText="1"/>
    </xf>
    <xf numFmtId="0" fontId="6" fillId="0" borderId="0" xfId="0" applyFont="1" applyAlignment="1">
      <alignment horizontal="right" vertical="center" wrapText="1"/>
    </xf>
    <xf numFmtId="3" fontId="6" fillId="0" borderId="0" xfId="0" applyNumberFormat="1" applyFont="1" applyAlignment="1">
      <alignment horizontal="right" vertical="center" wrapText="1"/>
    </xf>
    <xf numFmtId="3" fontId="6" fillId="0" borderId="1" xfId="0" applyNumberFormat="1" applyFont="1" applyBorder="1" applyAlignment="1">
      <alignment horizontal="right" vertical="center" wrapText="1"/>
    </xf>
    <xf numFmtId="0" fontId="7" fillId="0" borderId="0" xfId="0" applyFont="1" applyAlignment="1">
      <alignment horizontal="right" vertical="center" wrapText="1"/>
    </xf>
    <xf numFmtId="4" fontId="5" fillId="0" borderId="0" xfId="0" applyNumberFormat="1" applyFont="1"/>
    <xf numFmtId="0" fontId="4" fillId="0" borderId="0" xfId="0" applyFont="1" applyAlignment="1">
      <alignment vertical="center"/>
    </xf>
    <xf numFmtId="17" fontId="7" fillId="0" borderId="0" xfId="0" applyNumberFormat="1" applyFont="1" applyAlignment="1">
      <alignment horizontal="right" vertical="center" wrapText="1"/>
    </xf>
    <xf numFmtId="3" fontId="5" fillId="0" borderId="0" xfId="0" applyNumberFormat="1" applyFont="1"/>
    <xf numFmtId="3" fontId="6" fillId="2" borderId="0" xfId="0" applyNumberFormat="1" applyFont="1" applyFill="1" applyAlignment="1">
      <alignment horizontal="right" vertical="center" wrapText="1"/>
    </xf>
    <xf numFmtId="0" fontId="6" fillId="2" borderId="0" xfId="0" applyFont="1" applyFill="1" applyAlignment="1">
      <alignment horizontal="right" vertical="center" wrapText="1"/>
    </xf>
    <xf numFmtId="0" fontId="8" fillId="0" borderId="0" xfId="0" applyFont="1" applyAlignment="1">
      <alignment vertical="center"/>
    </xf>
    <xf numFmtId="17" fontId="2" fillId="0" borderId="0" xfId="0" applyNumberFormat="1" applyFont="1" applyAlignment="1">
      <alignment horizontal="right" vertical="center" wrapText="1"/>
    </xf>
    <xf numFmtId="10" fontId="0" fillId="0" borderId="0" xfId="2" applyNumberFormat="1" applyFont="1"/>
    <xf numFmtId="1" fontId="0" fillId="0" borderId="0" xfId="0" applyNumberFormat="1"/>
    <xf numFmtId="9" fontId="0" fillId="0" borderId="0" xfId="0" applyNumberFormat="1"/>
    <xf numFmtId="164" fontId="0" fillId="0" borderId="0" xfId="2" applyNumberFormat="1" applyFont="1"/>
    <xf numFmtId="2" fontId="0" fillId="0" borderId="0" xfId="0" applyNumberFormat="1"/>
    <xf numFmtId="0" fontId="9" fillId="0" borderId="0" xfId="0" applyFont="1"/>
    <xf numFmtId="0" fontId="10" fillId="0" borderId="0" xfId="0" applyFont="1"/>
    <xf numFmtId="0" fontId="11" fillId="3" borderId="0" xfId="0" applyFont="1" applyFill="1"/>
    <xf numFmtId="0" fontId="11" fillId="3" borderId="0" xfId="0" applyFont="1" applyFill="1" applyAlignment="1">
      <alignment horizontal="right"/>
    </xf>
    <xf numFmtId="0" fontId="11" fillId="4" borderId="0" xfId="0" applyFont="1" applyFill="1" applyAlignment="1">
      <alignment horizontal="right"/>
    </xf>
    <xf numFmtId="0" fontId="2" fillId="0" borderId="2" xfId="0" applyFont="1" applyBorder="1"/>
    <xf numFmtId="0" fontId="2" fillId="0" borderId="3" xfId="0" applyFont="1" applyBorder="1"/>
    <xf numFmtId="0" fontId="11" fillId="3" borderId="4" xfId="0" applyFont="1" applyFill="1" applyBorder="1" applyAlignment="1">
      <alignment horizontal="right"/>
    </xf>
    <xf numFmtId="0" fontId="0" fillId="5" borderId="0" xfId="0" applyFill="1"/>
    <xf numFmtId="0" fontId="0" fillId="5" borderId="4" xfId="0" applyFill="1" applyBorder="1"/>
    <xf numFmtId="0" fontId="2" fillId="5" borderId="2" xfId="0" applyFont="1" applyFill="1" applyBorder="1"/>
    <xf numFmtId="0" fontId="2" fillId="5" borderId="3" xfId="0" applyFont="1" applyFill="1" applyBorder="1"/>
    <xf numFmtId="0" fontId="0" fillId="6" borderId="0" xfId="0" applyFill="1"/>
    <xf numFmtId="0" fontId="2" fillId="0" borderId="0" xfId="0" applyFont="1"/>
    <xf numFmtId="0" fontId="2" fillId="5" borderId="0" xfId="0" applyFont="1" applyFill="1"/>
    <xf numFmtId="0" fontId="2" fillId="6" borderId="0" xfId="0" applyFont="1" applyFill="1"/>
    <xf numFmtId="3" fontId="0" fillId="5" borderId="0" xfId="0" applyNumberFormat="1" applyFill="1"/>
    <xf numFmtId="43" fontId="2" fillId="0" borderId="3" xfId="1" applyFont="1" applyBorder="1"/>
    <xf numFmtId="3" fontId="2" fillId="5" borderId="3" xfId="0" applyNumberFormat="1" applyFont="1" applyFill="1" applyBorder="1"/>
    <xf numFmtId="0" fontId="5" fillId="2" borderId="0" xfId="0" applyFont="1" applyFill="1" applyAlignment="1">
      <alignment horizontal="left" vertical="center"/>
    </xf>
    <xf numFmtId="0" fontId="13" fillId="2" borderId="3" xfId="0" applyFont="1" applyFill="1" applyBorder="1" applyAlignment="1">
      <alignment horizontal="left" vertical="center"/>
    </xf>
    <xf numFmtId="3" fontId="2" fillId="5" borderId="2" xfId="0" applyNumberFormat="1" applyFont="1" applyFill="1" applyBorder="1"/>
    <xf numFmtId="0" fontId="5" fillId="0" borderId="0" xfId="0" applyFont="1" applyAlignment="1">
      <alignment horizontal="left" vertical="center"/>
    </xf>
    <xf numFmtId="0" fontId="13" fillId="0" borderId="3" xfId="0" applyFont="1" applyBorder="1" applyAlignment="1">
      <alignment horizontal="left" vertical="center"/>
    </xf>
    <xf numFmtId="0" fontId="0" fillId="0" borderId="0" xfId="0" applyAlignment="1">
      <alignment horizontal="center"/>
    </xf>
    <xf numFmtId="0" fontId="13" fillId="0" borderId="0" xfId="0" applyFont="1" applyAlignment="1">
      <alignment horizontal="left" vertical="center"/>
    </xf>
    <xf numFmtId="165" fontId="0" fillId="5" borderId="0" xfId="0" applyNumberFormat="1" applyFill="1"/>
    <xf numFmtId="165" fontId="0" fillId="6" borderId="0" xfId="0" applyNumberFormat="1" applyFill="1"/>
    <xf numFmtId="165" fontId="2" fillId="6" borderId="0" xfId="0" applyNumberFormat="1" applyFont="1" applyFill="1"/>
    <xf numFmtId="165" fontId="2" fillId="5" borderId="3" xfId="0" applyNumberFormat="1" applyFont="1" applyFill="1" applyBorder="1"/>
    <xf numFmtId="165" fontId="2" fillId="5" borderId="0" xfId="0" applyNumberFormat="1" applyFont="1" applyFill="1"/>
    <xf numFmtId="165" fontId="2" fillId="5" borderId="2" xfId="0" applyNumberFormat="1" applyFont="1" applyFill="1" applyBorder="1"/>
    <xf numFmtId="0" fontId="0" fillId="0" borderId="0" xfId="0" applyAlignment="1">
      <alignment horizontal="left"/>
    </xf>
    <xf numFmtId="0" fontId="2" fillId="5" borderId="1" xfId="0" applyFont="1" applyFill="1" applyBorder="1"/>
    <xf numFmtId="0" fontId="2" fillId="6" borderId="1" xfId="0" applyFont="1" applyFill="1" applyBorder="1"/>
    <xf numFmtId="0" fontId="14" fillId="5" borderId="0" xfId="0" applyFont="1" applyFill="1"/>
    <xf numFmtId="43" fontId="10" fillId="0" borderId="0" xfId="1" applyFont="1" applyBorder="1"/>
    <xf numFmtId="0" fontId="10" fillId="5" borderId="0" xfId="0" applyFont="1" applyFill="1"/>
    <xf numFmtId="164" fontId="10" fillId="5" borderId="0" xfId="2" applyNumberFormat="1" applyFont="1" applyFill="1" applyBorder="1"/>
    <xf numFmtId="164" fontId="0" fillId="6" borderId="0" xfId="2" applyNumberFormat="1" applyFont="1" applyFill="1" applyBorder="1"/>
    <xf numFmtId="164" fontId="0" fillId="6" borderId="0" xfId="0" applyNumberFormat="1" applyFill="1"/>
    <xf numFmtId="43" fontId="10" fillId="0" borderId="0" xfId="1" applyFont="1" applyFill="1" applyBorder="1"/>
    <xf numFmtId="164" fontId="10" fillId="5" borderId="0" xfId="2" applyNumberFormat="1" applyFont="1" applyFill="1"/>
    <xf numFmtId="164" fontId="1" fillId="5" borderId="0" xfId="2" applyNumberFormat="1" applyFont="1" applyFill="1"/>
    <xf numFmtId="10" fontId="1" fillId="5" borderId="0" xfId="2" applyNumberFormat="1" applyFont="1" applyFill="1"/>
    <xf numFmtId="9" fontId="15" fillId="6" borderId="0" xfId="0" applyNumberFormat="1" applyFont="1" applyFill="1"/>
    <xf numFmtId="9" fontId="0" fillId="6" borderId="0" xfId="0" applyNumberFormat="1" applyFill="1"/>
    <xf numFmtId="10" fontId="0" fillId="0" borderId="0" xfId="0" applyNumberFormat="1"/>
    <xf numFmtId="164" fontId="10" fillId="6" borderId="0" xfId="2" applyNumberFormat="1" applyFont="1" applyFill="1"/>
    <xf numFmtId="0" fontId="9" fillId="0" borderId="0" xfId="0" applyFont="1" applyAlignment="1">
      <alignment horizontal="center"/>
    </xf>
    <xf numFmtId="2" fontId="2" fillId="6" borderId="0" xfId="0" applyNumberFormat="1" applyFont="1" applyFill="1"/>
    <xf numFmtId="2" fontId="0" fillId="6" borderId="0" xfId="0" applyNumberFormat="1" applyFill="1"/>
    <xf numFmtId="0" fontId="2" fillId="5" borderId="4" xfId="0" applyFont="1" applyFill="1" applyBorder="1"/>
    <xf numFmtId="2" fontId="2" fillId="6" borderId="6" xfId="0" applyNumberFormat="1" applyFont="1" applyFill="1" applyBorder="1"/>
    <xf numFmtId="43" fontId="2" fillId="6" borderId="6" xfId="0" applyNumberFormat="1" applyFont="1" applyFill="1" applyBorder="1"/>
    <xf numFmtId="166" fontId="2" fillId="0" borderId="6" xfId="1" applyNumberFormat="1" applyFont="1" applyBorder="1"/>
    <xf numFmtId="166" fontId="17" fillId="5" borderId="6" xfId="0" applyNumberFormat="1" applyFont="1" applyFill="1" applyBorder="1"/>
    <xf numFmtId="0" fontId="0" fillId="5" borderId="0" xfId="0" applyFill="1" applyAlignment="1">
      <alignment horizontal="center"/>
    </xf>
    <xf numFmtId="166" fontId="0" fillId="5" borderId="0" xfId="0" applyNumberFormat="1" applyFill="1"/>
    <xf numFmtId="0" fontId="2" fillId="0" borderId="6" xfId="0" applyFont="1" applyBorder="1"/>
    <xf numFmtId="43" fontId="0" fillId="5" borderId="0" xfId="0" applyNumberFormat="1" applyFill="1"/>
    <xf numFmtId="0" fontId="18" fillId="5" borderId="0" xfId="0" applyFont="1" applyFill="1"/>
    <xf numFmtId="10" fontId="2" fillId="6" borderId="0" xfId="0" applyNumberFormat="1" applyFont="1" applyFill="1"/>
    <xf numFmtId="0" fontId="19" fillId="0" borderId="0" xfId="0" applyFont="1"/>
    <xf numFmtId="0" fontId="20" fillId="0" borderId="0" xfId="0" applyFont="1"/>
    <xf numFmtId="0" fontId="21" fillId="0" borderId="0" xfId="0" applyFont="1"/>
    <xf numFmtId="0" fontId="22" fillId="7" borderId="0" xfId="0" applyFont="1" applyFill="1"/>
    <xf numFmtId="0" fontId="22" fillId="7" borderId="0" xfId="0" applyFont="1" applyFill="1" applyAlignment="1">
      <alignment horizontal="right"/>
    </xf>
    <xf numFmtId="0" fontId="22" fillId="7" borderId="4" xfId="0" applyFont="1" applyFill="1" applyBorder="1" applyAlignment="1">
      <alignment horizontal="right"/>
    </xf>
    <xf numFmtId="0" fontId="22" fillId="8" borderId="0" xfId="0" applyFont="1" applyFill="1" applyAlignment="1">
      <alignment horizontal="right"/>
    </xf>
    <xf numFmtId="0" fontId="20" fillId="9" borderId="0" xfId="0" applyFont="1" applyFill="1" applyAlignment="1">
      <alignment horizontal="center"/>
    </xf>
    <xf numFmtId="4" fontId="0" fillId="0" borderId="0" xfId="0" applyNumberFormat="1"/>
    <xf numFmtId="166" fontId="20" fillId="9" borderId="0" xfId="0" applyNumberFormat="1" applyFont="1" applyFill="1"/>
    <xf numFmtId="43" fontId="20" fillId="9" borderId="0" xfId="0" applyNumberFormat="1" applyFont="1" applyFill="1"/>
    <xf numFmtId="0" fontId="20" fillId="9" borderId="0" xfId="0" applyFont="1" applyFill="1"/>
    <xf numFmtId="166" fontId="23" fillId="0" borderId="6" xfId="0" applyNumberFormat="1" applyFont="1" applyBorder="1"/>
    <xf numFmtId="166" fontId="17" fillId="9" borderId="6" xfId="0" applyNumberFormat="1" applyFont="1" applyFill="1" applyBorder="1"/>
    <xf numFmtId="43" fontId="23" fillId="10" borderId="6" xfId="0" applyNumberFormat="1" applyFont="1" applyFill="1" applyBorder="1"/>
    <xf numFmtId="166" fontId="20" fillId="11" borderId="0" xfId="0" applyNumberFormat="1" applyFont="1" applyFill="1"/>
    <xf numFmtId="2" fontId="20" fillId="11" borderId="0" xfId="0" applyNumberFormat="1" applyFont="1" applyFill="1"/>
    <xf numFmtId="166" fontId="0" fillId="6" borderId="0" xfId="0" applyNumberFormat="1" applyFill="1"/>
    <xf numFmtId="166" fontId="0" fillId="5" borderId="4" xfId="0" applyNumberFormat="1" applyFill="1" applyBorder="1"/>
    <xf numFmtId="43" fontId="0" fillId="5" borderId="4" xfId="0" applyNumberFormat="1" applyFill="1" applyBorder="1"/>
    <xf numFmtId="0" fontId="18" fillId="5" borderId="4" xfId="0" applyFont="1" applyFill="1" applyBorder="1"/>
    <xf numFmtId="166" fontId="20" fillId="9" borderId="4" xfId="0" applyNumberFormat="1" applyFont="1" applyFill="1" applyBorder="1"/>
    <xf numFmtId="43" fontId="20" fillId="9" borderId="4" xfId="0" applyNumberFormat="1" applyFont="1" applyFill="1" applyBorder="1"/>
    <xf numFmtId="2" fontId="20" fillId="9" borderId="4" xfId="0" applyNumberFormat="1" applyFont="1" applyFill="1" applyBorder="1"/>
    <xf numFmtId="0" fontId="10" fillId="5" borderId="0" xfId="0" applyFont="1" applyFill="1" applyAlignment="1">
      <alignment horizontal="center"/>
    </xf>
    <xf numFmtId="164" fontId="10" fillId="5" borderId="4" xfId="2" applyNumberFormat="1" applyFont="1" applyFill="1" applyBorder="1"/>
    <xf numFmtId="164" fontId="10" fillId="6" borderId="0" xfId="2" applyNumberFormat="1" applyFont="1" applyFill="1" applyBorder="1"/>
    <xf numFmtId="10" fontId="10" fillId="6" borderId="0" xfId="0" applyNumberFormat="1" applyFont="1" applyFill="1"/>
    <xf numFmtId="0" fontId="10" fillId="5" borderId="4" xfId="0" applyFont="1" applyFill="1" applyBorder="1"/>
    <xf numFmtId="10" fontId="10" fillId="6" borderId="0" xfId="2" applyNumberFormat="1" applyFont="1" applyFill="1" applyBorder="1"/>
    <xf numFmtId="164" fontId="0" fillId="5" borderId="0" xfId="2" applyNumberFormat="1" applyFont="1" applyFill="1"/>
    <xf numFmtId="4" fontId="0" fillId="6" borderId="0" xfId="0" applyNumberFormat="1" applyFill="1"/>
    <xf numFmtId="4" fontId="16" fillId="5" borderId="0" xfId="0" applyNumberFormat="1" applyFont="1" applyFill="1"/>
    <xf numFmtId="2" fontId="2" fillId="6" borderId="3" xfId="0" applyNumberFormat="1" applyFont="1" applyFill="1" applyBorder="1"/>
    <xf numFmtId="0" fontId="24" fillId="0" borderId="1" xfId="0" applyFont="1" applyBorder="1"/>
    <xf numFmtId="0" fontId="0" fillId="5" borderId="1" xfId="0" applyFill="1" applyBorder="1"/>
    <xf numFmtId="0" fontId="0" fillId="6" borderId="1" xfId="0" applyFill="1" applyBorder="1"/>
    <xf numFmtId="2" fontId="25" fillId="5" borderId="0" xfId="0" applyNumberFormat="1" applyFont="1" applyFill="1"/>
    <xf numFmtId="2" fontId="25" fillId="6" borderId="0" xfId="0" applyNumberFormat="1" applyFont="1" applyFill="1"/>
    <xf numFmtId="3" fontId="25" fillId="5" borderId="0" xfId="0" applyNumberFormat="1" applyFont="1" applyFill="1" applyAlignment="1">
      <alignment horizontal="right"/>
    </xf>
    <xf numFmtId="3" fontId="2" fillId="5" borderId="3" xfId="0" applyNumberFormat="1" applyFont="1" applyFill="1" applyBorder="1" applyAlignment="1">
      <alignment horizontal="right"/>
    </xf>
    <xf numFmtId="4" fontId="0" fillId="6" borderId="0" xfId="0" applyNumberFormat="1" applyFill="1" applyAlignment="1">
      <alignment horizontal="right"/>
    </xf>
    <xf numFmtId="2" fontId="0" fillId="6" borderId="0" xfId="0" applyNumberFormat="1" applyFill="1" applyAlignment="1">
      <alignment horizontal="right"/>
    </xf>
    <xf numFmtId="43" fontId="0" fillId="6" borderId="0" xfId="0" applyNumberFormat="1" applyFill="1"/>
    <xf numFmtId="2" fontId="1" fillId="6" borderId="0" xfId="2" applyNumberFormat="1" applyFont="1" applyFill="1" applyBorder="1"/>
    <xf numFmtId="167" fontId="0" fillId="6" borderId="0" xfId="0" applyNumberFormat="1" applyFill="1"/>
    <xf numFmtId="167" fontId="2" fillId="6" borderId="3" xfId="0" applyNumberFormat="1" applyFont="1" applyFill="1" applyBorder="1"/>
    <xf numFmtId="167" fontId="2" fillId="6" borderId="2" xfId="0" applyNumberFormat="1" applyFont="1" applyFill="1" applyBorder="1"/>
    <xf numFmtId="167" fontId="2" fillId="6" borderId="0" xfId="0" applyNumberFormat="1" applyFont="1" applyFill="1"/>
    <xf numFmtId="0" fontId="0" fillId="0" borderId="0" xfId="0" applyAlignment="1">
      <alignment horizontal="left" indent="1"/>
    </xf>
    <xf numFmtId="0" fontId="5" fillId="2" borderId="0" xfId="0" applyFont="1" applyFill="1" applyAlignment="1">
      <alignment horizontal="left" indent="1"/>
    </xf>
    <xf numFmtId="0" fontId="5" fillId="0" borderId="0" xfId="0" applyFont="1" applyAlignment="1">
      <alignment horizontal="left" indent="1"/>
    </xf>
    <xf numFmtId="0" fontId="20" fillId="0" borderId="0" xfId="0" applyFont="1" applyAlignment="1">
      <alignment horizontal="left" indent="1"/>
    </xf>
    <xf numFmtId="0" fontId="5" fillId="2" borderId="0" xfId="0" applyFont="1" applyFill="1" applyAlignment="1">
      <alignment horizontal="left" vertical="center" indent="1"/>
    </xf>
    <xf numFmtId="0" fontId="5" fillId="0" borderId="0" xfId="0" applyFont="1" applyAlignment="1">
      <alignment horizontal="left" vertical="center" indent="1"/>
    </xf>
    <xf numFmtId="0" fontId="2" fillId="0" borderId="0" xfId="0" applyFont="1" applyAlignment="1">
      <alignment horizontal="left"/>
    </xf>
    <xf numFmtId="0" fontId="5" fillId="2" borderId="0" xfId="0" applyFont="1" applyFill="1" applyAlignment="1">
      <alignment horizontal="left"/>
    </xf>
    <xf numFmtId="0" fontId="5" fillId="0" borderId="0" xfId="0" applyFont="1" applyAlignment="1">
      <alignment horizontal="left"/>
    </xf>
    <xf numFmtId="0" fontId="13" fillId="2" borderId="3" xfId="0" applyFont="1" applyFill="1" applyBorder="1" applyAlignment="1">
      <alignment horizontal="left"/>
    </xf>
    <xf numFmtId="0" fontId="2" fillId="0" borderId="3" xfId="0" applyFont="1" applyBorder="1" applyAlignment="1">
      <alignment horizontal="left"/>
    </xf>
    <xf numFmtId="0" fontId="13" fillId="2" borderId="7" xfId="0" applyFont="1" applyFill="1" applyBorder="1" applyAlignment="1">
      <alignment horizontal="left" vertical="center"/>
    </xf>
    <xf numFmtId="10" fontId="2" fillId="0" borderId="3" xfId="0" applyNumberFormat="1" applyFont="1" applyBorder="1"/>
    <xf numFmtId="10" fontId="26" fillId="0" borderId="0" xfId="0" applyNumberFormat="1" applyFont="1"/>
    <xf numFmtId="164" fontId="0" fillId="0" borderId="0" xfId="0" applyNumberFormat="1"/>
    <xf numFmtId="164" fontId="2" fillId="0" borderId="3" xfId="0" applyNumberFormat="1" applyFont="1" applyBorder="1"/>
    <xf numFmtId="10" fontId="2" fillId="0" borderId="7" xfId="0" applyNumberFormat="1" applyFont="1" applyBorder="1"/>
    <xf numFmtId="165" fontId="0" fillId="5" borderId="4" xfId="0" applyNumberFormat="1" applyFill="1" applyBorder="1"/>
    <xf numFmtId="0" fontId="20" fillId="0" borderId="0" xfId="0" applyFont="1" applyAlignment="1">
      <alignment horizontal="left"/>
    </xf>
    <xf numFmtId="0" fontId="5" fillId="2" borderId="3" xfId="0" applyFont="1" applyFill="1" applyBorder="1" applyAlignment="1">
      <alignment horizontal="left" vertical="center"/>
    </xf>
    <xf numFmtId="0" fontId="13" fillId="12" borderId="2" xfId="0" applyFont="1" applyFill="1" applyBorder="1" applyAlignment="1">
      <alignment horizontal="left" vertical="center"/>
    </xf>
    <xf numFmtId="165" fontId="2" fillId="5" borderId="5" xfId="0" applyNumberFormat="1" applyFont="1" applyFill="1" applyBorder="1"/>
    <xf numFmtId="165" fontId="2" fillId="6" borderId="3" xfId="0" applyNumberFormat="1" applyFont="1" applyFill="1" applyBorder="1"/>
    <xf numFmtId="1" fontId="0" fillId="5" borderId="0" xfId="0" applyNumberFormat="1" applyFill="1"/>
    <xf numFmtId="165" fontId="28" fillId="5" borderId="4" xfId="0" applyNumberFormat="1" applyFont="1" applyFill="1" applyBorder="1"/>
    <xf numFmtId="10" fontId="28" fillId="0" borderId="0" xfId="0" applyNumberFormat="1" applyFont="1"/>
    <xf numFmtId="165" fontId="0" fillId="0" borderId="0" xfId="0" applyNumberFormat="1"/>
    <xf numFmtId="3" fontId="0" fillId="0" borderId="0" xfId="0" applyNumberFormat="1"/>
    <xf numFmtId="1" fontId="0" fillId="0" borderId="3" xfId="0" applyNumberFormat="1" applyBorder="1"/>
    <xf numFmtId="0" fontId="29" fillId="13" borderId="0" xfId="0" applyFont="1" applyFill="1" applyAlignment="1">
      <alignment horizontal="left" vertical="center"/>
    </xf>
    <xf numFmtId="0" fontId="0" fillId="13" borderId="0" xfId="0" applyFill="1"/>
    <xf numFmtId="10" fontId="0" fillId="5" borderId="0" xfId="0" applyNumberFormat="1" applyFill="1"/>
    <xf numFmtId="2" fontId="0" fillId="5" borderId="0" xfId="0" applyNumberFormat="1" applyFill="1"/>
    <xf numFmtId="2" fontId="27" fillId="3" borderId="0" xfId="0" applyNumberFormat="1" applyFont="1" applyFill="1"/>
    <xf numFmtId="2" fontId="30" fillId="0" borderId="0" xfId="0" applyNumberFormat="1" applyFont="1"/>
    <xf numFmtId="0" fontId="2" fillId="0" borderId="0" xfId="0" applyFont="1" applyAlignment="1">
      <alignment horizontal="right"/>
    </xf>
    <xf numFmtId="0" fontId="32" fillId="0" borderId="0" xfId="0" applyFont="1"/>
    <xf numFmtId="0" fontId="33" fillId="0" borderId="0" xfId="0" applyFont="1"/>
    <xf numFmtId="0" fontId="34" fillId="0" borderId="0" xfId="0" applyFont="1"/>
    <xf numFmtId="17" fontId="35" fillId="14" borderId="0" xfId="0" applyNumberFormat="1" applyFont="1" applyFill="1" applyAlignment="1">
      <alignment horizontal="center"/>
    </xf>
    <xf numFmtId="1" fontId="0" fillId="6" borderId="0" xfId="0" applyNumberFormat="1" applyFill="1"/>
    <xf numFmtId="10" fontId="0" fillId="0" borderId="0" xfId="2" applyNumberFormat="1" applyFont="1" applyAlignment="1">
      <alignment horizontal="center"/>
    </xf>
    <xf numFmtId="168" fontId="0" fillId="15" borderId="0" xfId="0" applyNumberFormat="1" applyFill="1" applyAlignment="1">
      <alignment horizontal="center"/>
    </xf>
    <xf numFmtId="1" fontId="0" fillId="0" borderId="0" xfId="2" applyNumberFormat="1" applyFont="1" applyAlignment="1">
      <alignment horizontal="center"/>
    </xf>
    <xf numFmtId="0" fontId="36" fillId="0" borderId="0" xfId="0" applyFont="1"/>
    <xf numFmtId="0" fontId="11" fillId="16" borderId="0" xfId="0" applyFont="1" applyFill="1"/>
    <xf numFmtId="0" fontId="11" fillId="16" borderId="0" xfId="0" applyFont="1" applyFill="1" applyAlignment="1">
      <alignment wrapText="1"/>
    </xf>
    <xf numFmtId="0" fontId="11" fillId="16" borderId="0" xfId="0" applyFont="1" applyFill="1" applyAlignment="1">
      <alignment horizontal="center" vertical="center" wrapText="1"/>
    </xf>
    <xf numFmtId="0" fontId="37" fillId="2" borderId="10" xfId="0" applyFont="1" applyFill="1" applyBorder="1" applyAlignment="1">
      <alignment horizontal="left" vertical="center" indent="2"/>
    </xf>
    <xf numFmtId="0" fontId="37" fillId="2" borderId="10" xfId="0" applyFont="1" applyFill="1" applyBorder="1" applyAlignment="1">
      <alignment horizontal="left" vertical="center"/>
    </xf>
    <xf numFmtId="0" fontId="37" fillId="2" borderId="10" xfId="0" applyFont="1" applyFill="1" applyBorder="1" applyAlignment="1">
      <alignment horizontal="right" vertical="center" wrapText="1"/>
    </xf>
    <xf numFmtId="0" fontId="39" fillId="17" borderId="0" xfId="0" applyFont="1" applyFill="1" applyAlignment="1">
      <alignment horizontal="left" vertical="center" indent="2"/>
    </xf>
    <xf numFmtId="0" fontId="3" fillId="17" borderId="0" xfId="3" applyFill="1" applyAlignment="1">
      <alignment horizontal="left" vertical="center"/>
    </xf>
    <xf numFmtId="0" fontId="39" fillId="17" borderId="0" xfId="0" applyFont="1" applyFill="1" applyAlignment="1">
      <alignment horizontal="right" vertical="center" wrapText="1"/>
    </xf>
    <xf numFmtId="0" fontId="40" fillId="2" borderId="0" xfId="0" applyFont="1" applyFill="1" applyAlignment="1">
      <alignment horizontal="left" vertical="center" indent="2"/>
    </xf>
    <xf numFmtId="0" fontId="3" fillId="2" borderId="0" xfId="3" applyFill="1" applyAlignment="1">
      <alignment horizontal="left" vertical="center"/>
    </xf>
    <xf numFmtId="0" fontId="40" fillId="2" borderId="0" xfId="0" applyFont="1" applyFill="1" applyAlignment="1">
      <alignment horizontal="right" vertical="center" wrapText="1"/>
    </xf>
    <xf numFmtId="0" fontId="40" fillId="17" borderId="0" xfId="0" applyFont="1" applyFill="1" applyAlignment="1">
      <alignment horizontal="left" vertical="center" indent="2"/>
    </xf>
    <xf numFmtId="0" fontId="40" fillId="17" borderId="0" xfId="0" applyFont="1" applyFill="1" applyAlignment="1">
      <alignment horizontal="right" vertical="center" wrapText="1"/>
    </xf>
    <xf numFmtId="0" fontId="40" fillId="17" borderId="11" xfId="0" applyFont="1" applyFill="1" applyBorder="1" applyAlignment="1">
      <alignment horizontal="left" vertical="center" indent="2"/>
    </xf>
    <xf numFmtId="0" fontId="3" fillId="17" borderId="11" xfId="3" applyFill="1" applyBorder="1" applyAlignment="1">
      <alignment horizontal="left" vertical="center"/>
    </xf>
    <xf numFmtId="0" fontId="40" fillId="17" borderId="11" xfId="0" applyFont="1" applyFill="1" applyBorder="1" applyAlignment="1">
      <alignment horizontal="right" vertical="center" wrapText="1"/>
    </xf>
    <xf numFmtId="170" fontId="0" fillId="0" borderId="0" xfId="0" applyNumberFormat="1"/>
    <xf numFmtId="0" fontId="0" fillId="18" borderId="0" xfId="0" applyFill="1"/>
    <xf numFmtId="168" fontId="0" fillId="0" borderId="0" xfId="0" applyNumberFormat="1"/>
    <xf numFmtId="168" fontId="0" fillId="18" borderId="0" xfId="0" applyNumberFormat="1" applyFill="1"/>
    <xf numFmtId="0" fontId="2" fillId="18" borderId="0" xfId="0" applyFont="1" applyFill="1"/>
    <xf numFmtId="168" fontId="2" fillId="18" borderId="0" xfId="0" applyNumberFormat="1" applyFont="1" applyFill="1"/>
    <xf numFmtId="0" fontId="11" fillId="16" borderId="0" xfId="0" applyFont="1" applyFill="1" applyAlignment="1">
      <alignment horizontal="center" wrapText="1"/>
    </xf>
    <xf numFmtId="0" fontId="0" fillId="19" borderId="0" xfId="0" applyFill="1"/>
    <xf numFmtId="0" fontId="2" fillId="18" borderId="3" xfId="0" applyFont="1" applyFill="1" applyBorder="1"/>
    <xf numFmtId="1" fontId="2" fillId="18" borderId="3" xfId="0" applyNumberFormat="1" applyFont="1" applyFill="1" applyBorder="1"/>
    <xf numFmtId="0" fontId="3" fillId="0" borderId="0" xfId="3"/>
    <xf numFmtId="0" fontId="31" fillId="0" borderId="0" xfId="0" applyFont="1"/>
    <xf numFmtId="0" fontId="0" fillId="0" borderId="0" xfId="0" applyAlignment="1">
      <alignment horizontal="right"/>
    </xf>
    <xf numFmtId="0" fontId="11" fillId="19" borderId="0" xfId="0" applyFont="1" applyFill="1"/>
    <xf numFmtId="0" fontId="2" fillId="0" borderId="1" xfId="0" applyFont="1" applyBorder="1"/>
    <xf numFmtId="0" fontId="2" fillId="0" borderId="1" xfId="0" applyFont="1" applyBorder="1" applyAlignment="1">
      <alignment horizontal="right"/>
    </xf>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2" borderId="0" xfId="0" applyFill="1"/>
    <xf numFmtId="0" fontId="42" fillId="2" borderId="20" xfId="0" applyFont="1" applyFill="1" applyBorder="1" applyAlignment="1">
      <alignment horizontal="right" vertical="center" wrapText="1" indent="1"/>
    </xf>
    <xf numFmtId="0" fontId="43" fillId="20" borderId="0" xfId="0" applyFont="1" applyFill="1" applyAlignment="1">
      <alignment vertical="center" wrapText="1"/>
    </xf>
    <xf numFmtId="0" fontId="44" fillId="2" borderId="0" xfId="0" applyFont="1" applyFill="1" applyAlignment="1">
      <alignment horizontal="right" vertical="center" wrapText="1" indent="1"/>
    </xf>
    <xf numFmtId="0" fontId="45" fillId="20" borderId="0" xfId="0" applyFont="1" applyFill="1" applyAlignment="1">
      <alignment vertical="center" wrapText="1"/>
    </xf>
    <xf numFmtId="4" fontId="45" fillId="2" borderId="0" xfId="0" applyNumberFormat="1" applyFont="1" applyFill="1" applyAlignment="1">
      <alignment horizontal="right" vertical="center" wrapText="1" indent="1"/>
    </xf>
    <xf numFmtId="4" fontId="45" fillId="21" borderId="0" xfId="0" applyNumberFormat="1" applyFont="1" applyFill="1" applyAlignment="1">
      <alignment horizontal="right" vertical="center" wrapText="1" indent="1"/>
    </xf>
    <xf numFmtId="0" fontId="45" fillId="2" borderId="0" xfId="0" applyFont="1" applyFill="1" applyAlignment="1">
      <alignment horizontal="right" vertical="center" wrapText="1" indent="1"/>
    </xf>
    <xf numFmtId="4" fontId="45" fillId="22" borderId="0" xfId="0" applyNumberFormat="1" applyFont="1" applyFill="1" applyAlignment="1">
      <alignment horizontal="right" vertical="center" wrapText="1" indent="1"/>
    </xf>
    <xf numFmtId="0" fontId="45" fillId="20" borderId="0" xfId="0" applyFont="1" applyFill="1" applyAlignment="1">
      <alignment horizontal="right" vertical="center" wrapText="1" indent="1"/>
    </xf>
    <xf numFmtId="17" fontId="1" fillId="0" borderId="0" xfId="0" applyNumberFormat="1" applyFont="1" applyAlignment="1">
      <alignment horizontal="right" vertical="center"/>
    </xf>
    <xf numFmtId="17" fontId="0" fillId="0" borderId="0" xfId="0" applyNumberFormat="1" applyAlignment="1">
      <alignment horizontal="right"/>
    </xf>
    <xf numFmtId="3" fontId="5" fillId="0" borderId="0" xfId="0" applyNumberFormat="1" applyFont="1" applyAlignment="1">
      <alignment horizontal="right" vertical="center" wrapText="1"/>
    </xf>
    <xf numFmtId="17" fontId="5" fillId="0" borderId="0" xfId="0" applyNumberFormat="1" applyFont="1"/>
    <xf numFmtId="17" fontId="5" fillId="0" borderId="0" xfId="0" applyNumberFormat="1" applyFont="1" applyAlignment="1">
      <alignment horizontal="left" vertical="center"/>
    </xf>
    <xf numFmtId="17" fontId="13" fillId="0" borderId="0" xfId="0" applyNumberFormat="1" applyFont="1" applyAlignment="1">
      <alignment horizontal="right" vertical="center" wrapText="1"/>
    </xf>
    <xf numFmtId="3" fontId="13" fillId="0" borderId="0" xfId="0" applyNumberFormat="1" applyFont="1" applyAlignment="1">
      <alignment horizontal="right" vertical="center" wrapText="1"/>
    </xf>
    <xf numFmtId="0" fontId="5" fillId="0" borderId="0" xfId="0" applyFont="1" applyAlignment="1">
      <alignment horizontal="right" vertical="center" wrapText="1"/>
    </xf>
    <xf numFmtId="17" fontId="0" fillId="20" borderId="0" xfId="0" applyNumberFormat="1" applyFill="1" applyAlignment="1">
      <alignment horizontal="right" vertical="center" wrapText="1"/>
    </xf>
    <xf numFmtId="17" fontId="2" fillId="2" borderId="0" xfId="0" applyNumberFormat="1" applyFont="1" applyFill="1" applyAlignment="1">
      <alignment horizontal="right" vertical="center" wrapText="1" indent="1"/>
    </xf>
    <xf numFmtId="0" fontId="0" fillId="2" borderId="0" xfId="0" applyFill="1" applyAlignment="1">
      <alignment vertical="center" wrapText="1"/>
    </xf>
    <xf numFmtId="4" fontId="0" fillId="2" borderId="0" xfId="0" applyNumberFormat="1" applyFill="1" applyAlignment="1">
      <alignment horizontal="right" vertical="center" wrapText="1" indent="1"/>
    </xf>
    <xf numFmtId="0" fontId="0" fillId="21" borderId="0" xfId="0" applyFill="1" applyAlignment="1">
      <alignment vertical="center" wrapText="1"/>
    </xf>
    <xf numFmtId="4" fontId="0" fillId="21" borderId="0" xfId="0" applyNumberFormat="1" applyFill="1" applyAlignment="1">
      <alignment horizontal="right" vertical="center" wrapText="1" indent="1"/>
    </xf>
    <xf numFmtId="0" fontId="0" fillId="2" borderId="0" xfId="0" applyFill="1" applyAlignment="1">
      <alignment horizontal="right" vertical="center" wrapText="1" indent="1"/>
    </xf>
    <xf numFmtId="0" fontId="0" fillId="2" borderId="0" xfId="0" applyFill="1" applyAlignment="1">
      <alignment vertical="center"/>
    </xf>
    <xf numFmtId="0" fontId="0" fillId="21" borderId="0" xfId="0" applyFill="1" applyAlignment="1">
      <alignment vertical="center"/>
    </xf>
    <xf numFmtId="4" fontId="0" fillId="22" borderId="0" xfId="0" applyNumberFormat="1" applyFill="1" applyAlignment="1">
      <alignment horizontal="right" vertical="center" wrapText="1" indent="1"/>
    </xf>
    <xf numFmtId="0" fontId="0" fillId="20" borderId="0" xfId="0" applyFill="1" applyAlignment="1">
      <alignment vertical="center"/>
    </xf>
    <xf numFmtId="0" fontId="0" fillId="20" borderId="0" xfId="0" applyFill="1" applyAlignment="1">
      <alignment horizontal="right" vertical="center" wrapText="1" indent="1"/>
    </xf>
    <xf numFmtId="4" fontId="0" fillId="20" borderId="0" xfId="0" applyNumberFormat="1" applyFill="1" applyAlignment="1">
      <alignment horizontal="right" vertical="center" wrapText="1" indent="1"/>
    </xf>
    <xf numFmtId="0" fontId="0" fillId="0" borderId="0" xfId="0" applyAlignment="1">
      <alignment vertical="center"/>
    </xf>
    <xf numFmtId="3" fontId="0" fillId="0" borderId="0" xfId="0" applyNumberFormat="1" applyAlignment="1">
      <alignment horizontal="right" vertical="center" wrapText="1"/>
    </xf>
    <xf numFmtId="3" fontId="0" fillId="2" borderId="0" xfId="0" applyNumberFormat="1" applyFill="1" applyAlignment="1">
      <alignment horizontal="right" vertical="center" wrapText="1"/>
    </xf>
    <xf numFmtId="0" fontId="0" fillId="2" borderId="0" xfId="0" applyFill="1" applyAlignment="1">
      <alignment horizontal="right" vertical="center" wrapText="1"/>
    </xf>
    <xf numFmtId="4" fontId="0" fillId="5" borderId="0" xfId="0" applyNumberFormat="1" applyFill="1"/>
    <xf numFmtId="2" fontId="0" fillId="0" borderId="0" xfId="2" applyNumberFormat="1" applyFont="1"/>
    <xf numFmtId="0" fontId="2" fillId="2" borderId="0" xfId="0" applyFont="1" applyFill="1" applyAlignment="1">
      <alignment vertical="center" wrapText="1"/>
    </xf>
    <xf numFmtId="4" fontId="2" fillId="2" borderId="0" xfId="0" applyNumberFormat="1" applyFont="1" applyFill="1" applyAlignment="1">
      <alignment horizontal="right" vertical="center" wrapText="1" indent="1"/>
    </xf>
    <xf numFmtId="0" fontId="2" fillId="21" borderId="0" xfId="0" applyFont="1" applyFill="1" applyAlignment="1">
      <alignment vertical="center"/>
    </xf>
    <xf numFmtId="0" fontId="2" fillId="2" borderId="0" xfId="0" applyFont="1" applyFill="1" applyAlignment="1">
      <alignment vertical="center"/>
    </xf>
    <xf numFmtId="4" fontId="2" fillId="22" borderId="0" xfId="0" applyNumberFormat="1" applyFont="1" applyFill="1" applyAlignment="1">
      <alignment horizontal="right" vertical="center" wrapText="1" indent="1"/>
    </xf>
    <xf numFmtId="4" fontId="2" fillId="2" borderId="0" xfId="0" applyNumberFormat="1" applyFont="1" applyFill="1" applyAlignment="1">
      <alignment horizontal="right" vertical="center" wrapText="1"/>
    </xf>
    <xf numFmtId="3" fontId="2" fillId="2" borderId="0" xfId="0" applyNumberFormat="1" applyFont="1" applyFill="1" applyAlignment="1">
      <alignment horizontal="right" vertical="center" wrapText="1"/>
    </xf>
    <xf numFmtId="4" fontId="2" fillId="0" borderId="0" xfId="0" applyNumberFormat="1" applyFont="1"/>
    <xf numFmtId="43" fontId="2" fillId="0" borderId="0" xfId="1" applyFont="1" applyBorder="1"/>
    <xf numFmtId="0" fontId="2" fillId="5" borderId="0" xfId="0" applyFont="1" applyFill="1" applyAlignment="1">
      <alignment horizontal="right"/>
    </xf>
    <xf numFmtId="0" fontId="0" fillId="24" borderId="0" xfId="0" applyFill="1" applyAlignment="1">
      <alignment horizontal="left"/>
    </xf>
    <xf numFmtId="2" fontId="16" fillId="5" borderId="0" xfId="0" applyNumberFormat="1" applyFont="1" applyFill="1"/>
    <xf numFmtId="4" fontId="17" fillId="5" borderId="6" xfId="0" applyNumberFormat="1" applyFont="1" applyFill="1" applyBorder="1"/>
    <xf numFmtId="3" fontId="0" fillId="6" borderId="0" xfId="0" applyNumberFormat="1" applyFill="1"/>
    <xf numFmtId="167" fontId="0" fillId="0" borderId="0" xfId="0" applyNumberFormat="1"/>
    <xf numFmtId="171" fontId="0" fillId="0" borderId="0" xfId="0" applyNumberFormat="1"/>
    <xf numFmtId="1" fontId="0" fillId="5" borderId="4" xfId="0" applyNumberFormat="1" applyFill="1" applyBorder="1"/>
    <xf numFmtId="0" fontId="41" fillId="0" borderId="0" xfId="0" applyFont="1"/>
    <xf numFmtId="0" fontId="0" fillId="25" borderId="0" xfId="0" applyFill="1"/>
    <xf numFmtId="0" fontId="41" fillId="25" borderId="0" xfId="0" applyFont="1" applyFill="1"/>
    <xf numFmtId="170" fontId="0" fillId="25" borderId="0" xfId="0" applyNumberFormat="1" applyFill="1"/>
    <xf numFmtId="3" fontId="0" fillId="25" borderId="0" xfId="0" applyNumberFormat="1" applyFill="1"/>
    <xf numFmtId="168" fontId="0" fillId="25" borderId="0" xfId="0" applyNumberFormat="1" applyFill="1"/>
    <xf numFmtId="0" fontId="30" fillId="0" borderId="0" xfId="0" applyFont="1"/>
    <xf numFmtId="10" fontId="30" fillId="0" borderId="0" xfId="0" applyNumberFormat="1" applyFont="1"/>
    <xf numFmtId="0" fontId="46" fillId="0" borderId="0" xfId="0" applyFont="1"/>
    <xf numFmtId="0" fontId="0" fillId="0" borderId="0" xfId="0" applyAlignment="1">
      <alignment horizontal="left" wrapText="1"/>
    </xf>
    <xf numFmtId="0" fontId="2" fillId="0" borderId="0" xfId="0" applyFont="1" applyAlignment="1">
      <alignment horizontal="center" vertical="center"/>
    </xf>
    <xf numFmtId="0" fontId="11" fillId="3" borderId="25" xfId="0" applyFont="1" applyFill="1" applyBorder="1"/>
    <xf numFmtId="0" fontId="11" fillId="3" borderId="26" xfId="0" applyFont="1" applyFill="1" applyBorder="1" applyAlignment="1">
      <alignment horizontal="right"/>
    </xf>
    <xf numFmtId="0" fontId="11" fillId="23" borderId="26" xfId="0" applyFont="1" applyFill="1" applyBorder="1" applyAlignment="1">
      <alignment horizontal="right"/>
    </xf>
    <xf numFmtId="0" fontId="11" fillId="23" borderId="27" xfId="0" applyFont="1" applyFill="1" applyBorder="1" applyAlignment="1">
      <alignment horizontal="right"/>
    </xf>
    <xf numFmtId="0" fontId="0" fillId="26" borderId="25" xfId="0" applyFill="1" applyBorder="1"/>
    <xf numFmtId="0" fontId="0" fillId="0" borderId="25" xfId="0" applyBorder="1"/>
    <xf numFmtId="0" fontId="2" fillId="26" borderId="29" xfId="0" applyFont="1" applyFill="1" applyBorder="1"/>
    <xf numFmtId="43" fontId="0" fillId="0" borderId="32" xfId="1" applyFont="1" applyBorder="1"/>
    <xf numFmtId="43" fontId="0" fillId="26" borderId="25" xfId="1" applyFont="1" applyFill="1" applyBorder="1"/>
    <xf numFmtId="0" fontId="2" fillId="0" borderId="29" xfId="0" applyFont="1" applyBorder="1"/>
    <xf numFmtId="0" fontId="0" fillId="26" borderId="32" xfId="0" applyFill="1" applyBorder="1"/>
    <xf numFmtId="0" fontId="2" fillId="0" borderId="25" xfId="0" applyFont="1" applyBorder="1"/>
    <xf numFmtId="0" fontId="2" fillId="0" borderId="21" xfId="0" applyFont="1" applyBorder="1"/>
    <xf numFmtId="0" fontId="11" fillId="27" borderId="35" xfId="0" applyFont="1" applyFill="1" applyBorder="1"/>
    <xf numFmtId="0" fontId="11" fillId="27" borderId="36" xfId="0" applyFont="1" applyFill="1" applyBorder="1"/>
    <xf numFmtId="0" fontId="11" fillId="27" borderId="37" xfId="0" applyFont="1" applyFill="1" applyBorder="1"/>
    <xf numFmtId="0" fontId="0" fillId="28" borderId="35" xfId="0" applyFill="1" applyBorder="1"/>
    <xf numFmtId="0" fontId="0" fillId="28" borderId="36" xfId="0" applyFill="1" applyBorder="1"/>
    <xf numFmtId="0" fontId="0" fillId="0" borderId="35" xfId="0" applyBorder="1"/>
    <xf numFmtId="0" fontId="0" fillId="0" borderId="36" xfId="0" applyBorder="1"/>
    <xf numFmtId="0" fontId="0" fillId="0" borderId="23" xfId="0" applyBorder="1"/>
    <xf numFmtId="0" fontId="0" fillId="0" borderId="24" xfId="0" applyBorder="1"/>
    <xf numFmtId="0" fontId="0" fillId="0" borderId="0" xfId="0" pivotButton="1"/>
    <xf numFmtId="0" fontId="2" fillId="26" borderId="38" xfId="0" applyFont="1" applyFill="1" applyBorder="1"/>
    <xf numFmtId="172" fontId="0" fillId="0" borderId="0" xfId="0" applyNumberFormat="1"/>
    <xf numFmtId="0" fontId="11" fillId="4" borderId="26" xfId="0" applyFont="1" applyFill="1" applyBorder="1" applyAlignment="1">
      <alignment horizontal="right"/>
    </xf>
    <xf numFmtId="0" fontId="11" fillId="4" borderId="27" xfId="0" applyFont="1" applyFill="1" applyBorder="1" applyAlignment="1">
      <alignment horizontal="right"/>
    </xf>
    <xf numFmtId="0" fontId="48" fillId="26" borderId="43" xfId="0" applyFont="1" applyFill="1" applyBorder="1" applyAlignment="1">
      <alignment horizontal="left"/>
    </xf>
    <xf numFmtId="0" fontId="0" fillId="5" borderId="26" xfId="0" applyFill="1" applyBorder="1" applyAlignment="1">
      <alignment horizontal="center"/>
    </xf>
    <xf numFmtId="10" fontId="0" fillId="5" borderId="26" xfId="2" applyNumberFormat="1" applyFont="1" applyFill="1" applyBorder="1"/>
    <xf numFmtId="10" fontId="0" fillId="6" borderId="28" xfId="2" applyNumberFormat="1" applyFont="1" applyFill="1" applyBorder="1"/>
    <xf numFmtId="10" fontId="0" fillId="6" borderId="26" xfId="2" applyNumberFormat="1" applyFont="1" applyFill="1" applyBorder="1"/>
    <xf numFmtId="10" fontId="0" fillId="6" borderId="27" xfId="2" applyNumberFormat="1" applyFont="1" applyFill="1" applyBorder="1"/>
    <xf numFmtId="0" fontId="48" fillId="0" borderId="25" xfId="0" applyFont="1" applyBorder="1" applyAlignment="1">
      <alignment horizontal="left"/>
    </xf>
    <xf numFmtId="0" fontId="48" fillId="26" borderId="25" xfId="0" applyFont="1" applyFill="1" applyBorder="1" applyAlignment="1">
      <alignment horizontal="left"/>
    </xf>
    <xf numFmtId="0" fontId="48" fillId="26" borderId="29" xfId="0" applyFont="1" applyFill="1" applyBorder="1" applyAlignment="1">
      <alignment horizontal="left"/>
    </xf>
    <xf numFmtId="0" fontId="0" fillId="5" borderId="6" xfId="0" applyFill="1" applyBorder="1"/>
    <xf numFmtId="0" fontId="0" fillId="6" borderId="30" xfId="0" applyFill="1" applyBorder="1"/>
    <xf numFmtId="0" fontId="0" fillId="6" borderId="6" xfId="0" applyFill="1" applyBorder="1"/>
    <xf numFmtId="0" fontId="0" fillId="6" borderId="31" xfId="0" applyFill="1" applyBorder="1"/>
    <xf numFmtId="0" fontId="48" fillId="0" borderId="29" xfId="0" applyFont="1" applyBorder="1" applyAlignment="1">
      <alignment horizontal="left"/>
    </xf>
    <xf numFmtId="10" fontId="0" fillId="5" borderId="6" xfId="2" applyNumberFormat="1" applyFont="1" applyFill="1" applyBorder="1"/>
    <xf numFmtId="10" fontId="0" fillId="6" borderId="30" xfId="2" applyNumberFormat="1" applyFont="1" applyFill="1" applyBorder="1"/>
    <xf numFmtId="10" fontId="0" fillId="6" borderId="6" xfId="2" applyNumberFormat="1" applyFont="1" applyFill="1" applyBorder="1"/>
    <xf numFmtId="10" fontId="0" fillId="6" borderId="31" xfId="2" applyNumberFormat="1" applyFont="1" applyFill="1" applyBorder="1"/>
    <xf numFmtId="168" fontId="0" fillId="5" borderId="6" xfId="0" applyNumberFormat="1" applyFill="1" applyBorder="1"/>
    <xf numFmtId="168" fontId="0" fillId="6" borderId="30" xfId="0" applyNumberFormat="1" applyFill="1" applyBorder="1"/>
    <xf numFmtId="168" fontId="0" fillId="6" borderId="6" xfId="0" applyNumberFormat="1" applyFill="1" applyBorder="1"/>
    <xf numFmtId="168" fontId="0" fillId="6" borderId="31" xfId="0" applyNumberFormat="1" applyFill="1" applyBorder="1"/>
    <xf numFmtId="168" fontId="0" fillId="5" borderId="26" xfId="0" applyNumberFormat="1" applyFill="1" applyBorder="1"/>
    <xf numFmtId="168" fontId="0" fillId="6" borderId="28" xfId="0" applyNumberFormat="1" applyFill="1" applyBorder="1"/>
    <xf numFmtId="168" fontId="0" fillId="6" borderId="26" xfId="0" applyNumberFormat="1" applyFill="1" applyBorder="1"/>
    <xf numFmtId="168" fontId="0" fillId="6" borderId="27" xfId="0" applyNumberFormat="1" applyFill="1" applyBorder="1"/>
    <xf numFmtId="169" fontId="0" fillId="5" borderId="26" xfId="0" applyNumberFormat="1" applyFill="1" applyBorder="1"/>
    <xf numFmtId="169" fontId="0" fillId="6" borderId="28" xfId="0" applyNumberFormat="1" applyFill="1" applyBorder="1"/>
    <xf numFmtId="169" fontId="0" fillId="6" borderId="26" xfId="0" applyNumberFormat="1" applyFill="1" applyBorder="1"/>
    <xf numFmtId="169" fontId="0" fillId="6" borderId="27" xfId="0" applyNumberFormat="1" applyFill="1" applyBorder="1"/>
    <xf numFmtId="0" fontId="0" fillId="5" borderId="6" xfId="0" applyFill="1" applyBorder="1" applyAlignment="1">
      <alignment horizontal="center"/>
    </xf>
    <xf numFmtId="1" fontId="0" fillId="5" borderId="6" xfId="0" applyNumberFormat="1" applyFill="1" applyBorder="1"/>
    <xf numFmtId="1" fontId="0" fillId="6" borderId="30" xfId="0" applyNumberFormat="1" applyFill="1" applyBorder="1"/>
    <xf numFmtId="1" fontId="0" fillId="6" borderId="6" xfId="0" applyNumberFormat="1" applyFill="1" applyBorder="1"/>
    <xf numFmtId="1" fontId="0" fillId="6" borderId="31" xfId="0" applyNumberFormat="1" applyFill="1" applyBorder="1"/>
    <xf numFmtId="0" fontId="0" fillId="5" borderId="26" xfId="0" applyFill="1" applyBorder="1"/>
    <xf numFmtId="1" fontId="0" fillId="5" borderId="26" xfId="0" applyNumberFormat="1" applyFill="1" applyBorder="1"/>
    <xf numFmtId="1" fontId="0" fillId="6" borderId="28" xfId="0" applyNumberFormat="1" applyFill="1" applyBorder="1"/>
    <xf numFmtId="1" fontId="0" fillId="6" borderId="26" xfId="0" applyNumberFormat="1" applyFill="1" applyBorder="1"/>
    <xf numFmtId="1" fontId="0" fillId="6" borderId="27" xfId="0" applyNumberFormat="1" applyFill="1" applyBorder="1"/>
    <xf numFmtId="0" fontId="48" fillId="0" borderId="39" xfId="0" applyFont="1" applyBorder="1" applyAlignment="1">
      <alignment horizontal="left"/>
    </xf>
    <xf numFmtId="0" fontId="0" fillId="5" borderId="40" xfId="0" applyFill="1" applyBorder="1"/>
    <xf numFmtId="1" fontId="0" fillId="5" borderId="40" xfId="0" applyNumberFormat="1" applyFill="1" applyBorder="1"/>
    <xf numFmtId="1" fontId="0" fillId="6" borderId="41" xfId="0" applyNumberFormat="1" applyFill="1" applyBorder="1"/>
    <xf numFmtId="1" fontId="0" fillId="6" borderId="40" xfId="0" applyNumberFormat="1" applyFill="1" applyBorder="1"/>
    <xf numFmtId="1" fontId="0" fillId="6" borderId="42" xfId="0" applyNumberFormat="1" applyFill="1" applyBorder="1"/>
    <xf numFmtId="0" fontId="0" fillId="0" borderId="6" xfId="0" applyBorder="1"/>
    <xf numFmtId="0" fontId="30" fillId="0" borderId="4" xfId="0" applyFont="1" applyBorder="1" applyAlignment="1">
      <alignment horizontal="left"/>
    </xf>
    <xf numFmtId="2" fontId="30" fillId="0" borderId="30" xfId="0" applyNumberFormat="1" applyFont="1" applyBorder="1"/>
    <xf numFmtId="0" fontId="22" fillId="0" borderId="0" xfId="0" applyFont="1" applyAlignment="1">
      <alignment horizontal="center"/>
    </xf>
    <xf numFmtId="165" fontId="2" fillId="5" borderId="6" xfId="0" applyNumberFormat="1" applyFont="1" applyFill="1" applyBorder="1"/>
    <xf numFmtId="0" fontId="2" fillId="26" borderId="25" xfId="0" applyFont="1" applyFill="1" applyBorder="1"/>
    <xf numFmtId="0" fontId="0" fillId="6" borderId="26" xfId="0" applyFill="1" applyBorder="1"/>
    <xf numFmtId="0" fontId="0" fillId="6" borderId="27" xfId="0" applyFill="1" applyBorder="1"/>
    <xf numFmtId="0" fontId="5" fillId="0" borderId="25" xfId="0" applyFont="1" applyBorder="1" applyAlignment="1">
      <alignment horizontal="left" vertical="center"/>
    </xf>
    <xf numFmtId="165" fontId="0" fillId="5" borderId="26" xfId="0" applyNumberFormat="1" applyFill="1" applyBorder="1"/>
    <xf numFmtId="165" fontId="0" fillId="6" borderId="26" xfId="0" applyNumberFormat="1" applyFill="1" applyBorder="1"/>
    <xf numFmtId="165" fontId="0" fillId="6" borderId="27" xfId="0" applyNumberFormat="1" applyFill="1" applyBorder="1"/>
    <xf numFmtId="0" fontId="5" fillId="26" borderId="25" xfId="0" applyFont="1" applyFill="1" applyBorder="1" applyAlignment="1">
      <alignment horizontal="left" vertical="center"/>
    </xf>
    <xf numFmtId="0" fontId="13" fillId="26" borderId="29" xfId="0" applyFont="1" applyFill="1" applyBorder="1" applyAlignment="1">
      <alignment horizontal="left" vertical="center"/>
    </xf>
    <xf numFmtId="165" fontId="2" fillId="6" borderId="6" xfId="0" applyNumberFormat="1" applyFont="1" applyFill="1" applyBorder="1"/>
    <xf numFmtId="165" fontId="2" fillId="6" borderId="31" xfId="0" applyNumberFormat="1" applyFont="1" applyFill="1" applyBorder="1"/>
    <xf numFmtId="0" fontId="13" fillId="26" borderId="25" xfId="0" applyFont="1" applyFill="1" applyBorder="1" applyAlignment="1">
      <alignment horizontal="left" vertical="center"/>
    </xf>
    <xf numFmtId="0" fontId="0" fillId="0" borderId="29" xfId="0" applyBorder="1"/>
    <xf numFmtId="165" fontId="2" fillId="5" borderId="26" xfId="0" applyNumberFormat="1" applyFont="1" applyFill="1" applyBorder="1"/>
    <xf numFmtId="165" fontId="2" fillId="6" borderId="26" xfId="0" applyNumberFormat="1" applyFont="1" applyFill="1" applyBorder="1"/>
    <xf numFmtId="165" fontId="2" fillId="6" borderId="27" xfId="0" applyNumberFormat="1" applyFont="1" applyFill="1" applyBorder="1"/>
    <xf numFmtId="0" fontId="13" fillId="0" borderId="29" xfId="0" applyFont="1" applyBorder="1" applyAlignment="1">
      <alignment horizontal="left" vertical="center"/>
    </xf>
    <xf numFmtId="0" fontId="0" fillId="26" borderId="29" xfId="0" applyFill="1" applyBorder="1"/>
    <xf numFmtId="165" fontId="0" fillId="5" borderId="6" xfId="0" applyNumberFormat="1" applyFill="1" applyBorder="1"/>
    <xf numFmtId="0" fontId="2" fillId="0" borderId="44" xfId="0" applyFont="1" applyBorder="1"/>
    <xf numFmtId="3" fontId="0" fillId="5" borderId="26" xfId="0" applyNumberFormat="1" applyFill="1" applyBorder="1"/>
    <xf numFmtId="3" fontId="47" fillId="6" borderId="28" xfId="0" applyNumberFormat="1" applyFont="1" applyFill="1" applyBorder="1"/>
    <xf numFmtId="3" fontId="47" fillId="6" borderId="26" xfId="0" applyNumberFormat="1" applyFont="1" applyFill="1" applyBorder="1"/>
    <xf numFmtId="3" fontId="47" fillId="6" borderId="27" xfId="0" applyNumberFormat="1" applyFont="1" applyFill="1" applyBorder="1"/>
    <xf numFmtId="3" fontId="2" fillId="5" borderId="6" xfId="0" applyNumberFormat="1" applyFont="1" applyFill="1" applyBorder="1"/>
    <xf numFmtId="3" fontId="2" fillId="6" borderId="30" xfId="0" applyNumberFormat="1" applyFont="1" applyFill="1" applyBorder="1"/>
    <xf numFmtId="3" fontId="2" fillId="6" borderId="6" xfId="0" applyNumberFormat="1" applyFont="1" applyFill="1" applyBorder="1"/>
    <xf numFmtId="3" fontId="2" fillId="6" borderId="31" xfId="0" applyNumberFormat="1" applyFont="1" applyFill="1" applyBorder="1"/>
    <xf numFmtId="3" fontId="0" fillId="5" borderId="12" xfId="0" applyNumberFormat="1" applyFill="1" applyBorder="1"/>
    <xf numFmtId="3" fontId="0" fillId="6" borderId="33" xfId="0" applyNumberFormat="1" applyFill="1" applyBorder="1"/>
    <xf numFmtId="3" fontId="0" fillId="6" borderId="12" xfId="0" applyNumberFormat="1" applyFill="1" applyBorder="1"/>
    <xf numFmtId="3" fontId="0" fillId="6" borderId="34" xfId="0" applyNumberFormat="1" applyFill="1" applyBorder="1"/>
    <xf numFmtId="3" fontId="0" fillId="6" borderId="28" xfId="0" applyNumberFormat="1" applyFill="1" applyBorder="1"/>
    <xf numFmtId="3" fontId="0" fillId="6" borderId="26" xfId="0" applyNumberFormat="1" applyFill="1" applyBorder="1"/>
    <xf numFmtId="3" fontId="0" fillId="6" borderId="27" xfId="0" applyNumberFormat="1" applyFill="1" applyBorder="1"/>
    <xf numFmtId="3" fontId="47" fillId="6" borderId="33" xfId="0" applyNumberFormat="1" applyFont="1" applyFill="1" applyBorder="1"/>
    <xf numFmtId="3" fontId="47" fillId="6" borderId="12" xfId="0" applyNumberFormat="1" applyFont="1" applyFill="1" applyBorder="1"/>
    <xf numFmtId="3" fontId="47" fillId="6" borderId="34" xfId="0" applyNumberFormat="1" applyFont="1" applyFill="1" applyBorder="1"/>
    <xf numFmtId="3" fontId="2" fillId="5" borderId="26" xfId="0" applyNumberFormat="1" applyFont="1" applyFill="1" applyBorder="1"/>
    <xf numFmtId="3" fontId="2" fillId="6" borderId="28" xfId="0" applyNumberFormat="1" applyFont="1" applyFill="1" applyBorder="1"/>
    <xf numFmtId="3" fontId="2" fillId="6" borderId="26" xfId="0" applyNumberFormat="1" applyFont="1" applyFill="1" applyBorder="1"/>
    <xf numFmtId="3" fontId="2" fillId="6" borderId="27" xfId="0" applyNumberFormat="1" applyFont="1" applyFill="1" applyBorder="1"/>
    <xf numFmtId="3" fontId="2" fillId="6" borderId="8" xfId="0" applyNumberFormat="1" applyFont="1" applyFill="1" applyBorder="1"/>
    <xf numFmtId="3" fontId="2" fillId="6" borderId="3" xfId="0" applyNumberFormat="1" applyFont="1" applyFill="1" applyBorder="1"/>
    <xf numFmtId="3" fontId="2" fillId="6" borderId="22" xfId="0" applyNumberFormat="1" applyFont="1" applyFill="1" applyBorder="1"/>
    <xf numFmtId="3" fontId="2" fillId="12" borderId="2" xfId="0" applyNumberFormat="1" applyFont="1" applyFill="1" applyBorder="1"/>
    <xf numFmtId="9" fontId="0" fillId="0" borderId="0" xfId="2" applyFont="1"/>
    <xf numFmtId="0" fontId="2" fillId="0" borderId="0" xfId="0" applyFont="1" applyAlignment="1">
      <alignment horizontal="center"/>
    </xf>
    <xf numFmtId="3" fontId="2" fillId="6" borderId="0" xfId="0" applyNumberFormat="1" applyFont="1" applyFill="1"/>
    <xf numFmtId="3" fontId="47" fillId="6" borderId="0" xfId="0" applyNumberFormat="1" applyFont="1" applyFill="1"/>
    <xf numFmtId="3" fontId="2" fillId="6" borderId="2" xfId="0" applyNumberFormat="1" applyFont="1" applyFill="1" applyBorder="1"/>
    <xf numFmtId="165" fontId="0" fillId="6" borderId="6" xfId="0" applyNumberFormat="1" applyFill="1" applyBorder="1"/>
    <xf numFmtId="165" fontId="0" fillId="6" borderId="31" xfId="0" applyNumberFormat="1" applyFill="1" applyBorder="1"/>
    <xf numFmtId="165" fontId="2" fillId="6" borderId="2" xfId="0" applyNumberFormat="1" applyFont="1" applyFill="1" applyBorder="1"/>
    <xf numFmtId="165" fontId="2" fillId="6" borderId="45" xfId="0" applyNumberFormat="1" applyFont="1" applyFill="1" applyBorder="1"/>
    <xf numFmtId="173" fontId="0" fillId="0" borderId="0" xfId="0" applyNumberFormat="1"/>
    <xf numFmtId="174" fontId="0" fillId="0" borderId="0" xfId="0" applyNumberFormat="1"/>
    <xf numFmtId="175" fontId="2" fillId="6" borderId="2" xfId="0" applyNumberFormat="1" applyFont="1" applyFill="1" applyBorder="1"/>
    <xf numFmtId="0" fontId="31" fillId="0" borderId="0" xfId="0" applyFont="1" applyAlignment="1">
      <alignment horizontal="left" vertical="center" wrapText="1"/>
    </xf>
    <xf numFmtId="0" fontId="0" fillId="0" borderId="0" xfId="0" applyAlignment="1">
      <alignment horizontal="center"/>
    </xf>
    <xf numFmtId="0" fontId="11" fillId="16" borderId="9" xfId="0" applyFont="1" applyFill="1" applyBorder="1" applyAlignment="1">
      <alignment horizontal="center"/>
    </xf>
    <xf numFmtId="0" fontId="11" fillId="3" borderId="0" xfId="0" applyFont="1" applyFill="1" applyAlignment="1">
      <alignment horizontal="center"/>
    </xf>
    <xf numFmtId="0" fontId="11" fillId="3" borderId="0" xfId="0" applyFont="1" applyFill="1" applyAlignment="1">
      <alignment horizontal="center" vertical="center" textRotation="90"/>
    </xf>
    <xf numFmtId="0" fontId="30" fillId="2" borderId="0" xfId="0" applyFont="1" applyFill="1" applyAlignment="1">
      <alignment horizontal="left" vertical="center"/>
    </xf>
    <xf numFmtId="43" fontId="30" fillId="0" borderId="0" xfId="0" applyNumberFormat="1" applyFont="1"/>
    <xf numFmtId="0" fontId="30" fillId="0" borderId="0" xfId="0" applyFont="1" applyAlignment="1">
      <alignment vertical="center"/>
    </xf>
    <xf numFmtId="4" fontId="30" fillId="0" borderId="0" xfId="0" applyNumberFormat="1" applyFont="1"/>
  </cellXfs>
  <cellStyles count="6">
    <cellStyle name="Comma" xfId="1" builtinId="3"/>
    <cellStyle name="Comma 2" xfId="4" xr:uid="{5C8799ED-4D26-4A40-A2EB-85B333EAFF7C}"/>
    <cellStyle name="Comma 3" xfId="5" xr:uid="{D43C4075-1B19-408E-A1C6-FC22391A8944}"/>
    <cellStyle name="Hyperlink" xfId="3" builtinId="8"/>
    <cellStyle name="Normal" xfId="0" builtinId="0"/>
    <cellStyle name="Percent" xfId="2" builtinId="5"/>
  </cellStyles>
  <dxfs count="8">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numFmt numFmtId="172" formatCode="0.0,"/>
    </dxf>
    <dxf>
      <numFmt numFmtId="2" formatCode="0.00"/>
    </dxf>
    <dxf>
      <numFmt numFmtId="172" formatCode="0.0,"/>
    </dxf>
  </dxfs>
  <tableStyles count="0" defaultTableStyle="TableStyleMedium2" defaultPivotStyle="PivotStyleLight16"/>
  <colors>
    <mruColors>
      <color rgb="FFFFFFFF"/>
      <color rgb="FFFFFF00"/>
      <color rgb="FF009900"/>
      <color rgb="FF003366"/>
      <color rgb="FF339933"/>
      <color rgb="FF99CCFF"/>
      <color rgb="FF00CC00"/>
      <color rgb="FF000066"/>
      <color rgb="FF008000"/>
      <color rgb="FF1509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US">
                <a:solidFill>
                  <a:schemeClr val="bg1"/>
                </a:solidFill>
              </a:rPr>
              <a:t>Revenue-Net</a:t>
            </a:r>
            <a:r>
              <a:rPr lang="en-US" baseline="0">
                <a:solidFill>
                  <a:schemeClr val="bg1"/>
                </a:solidFill>
              </a:rPr>
              <a:t> Profit</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lotArea>
      <c:layout/>
      <c:doughnutChart>
        <c:varyColors val="1"/>
        <c:ser>
          <c:idx val="0"/>
          <c:order val="0"/>
          <c:tx>
            <c:strRef>
              <c:f>'P&amp;L_Pivot'!$J$19</c:f>
              <c:strCache>
                <c:ptCount val="1"/>
                <c:pt idx="0">
                  <c:v>2027</c:v>
                </c:pt>
              </c:strCache>
            </c:strRef>
          </c:tx>
          <c:spPr>
            <a:solidFill>
              <a:srgbClr val="FFC000"/>
            </a:solidFill>
          </c:spPr>
          <c:dPt>
            <c:idx val="0"/>
            <c:bubble3D val="0"/>
            <c:spPr>
              <a:solidFill>
                <a:srgbClr val="FFFF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2BE-496E-8931-F00AB0B61E56}"/>
              </c:ext>
            </c:extLst>
          </c:dPt>
          <c:dPt>
            <c:idx val="1"/>
            <c:bubble3D val="0"/>
            <c:spPr>
              <a:solidFill>
                <a:srgbClr val="FFC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2BE-496E-8931-F00AB0B61E56}"/>
              </c:ext>
            </c:extLst>
          </c:dPt>
          <c:dLbls>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9.4318933524001308E-2"/>
                      <c:h val="0.1094740265887339"/>
                    </c:manualLayout>
                  </c15:layout>
                </c:ext>
                <c:ext xmlns:c16="http://schemas.microsoft.com/office/drawing/2014/chart" uri="{C3380CC4-5D6E-409C-BE32-E72D297353CC}">
                  <c16:uniqueId val="{00000001-C2BE-496E-8931-F00AB0B61E56}"/>
                </c:ext>
              </c:extLst>
            </c:dLbl>
            <c:dLbl>
              <c:idx val="1"/>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9.3238921501160768E-2"/>
                      <c:h val="0.11481522162639506"/>
                    </c:manualLayout>
                  </c15:layout>
                </c:ext>
                <c:ext xmlns:c16="http://schemas.microsoft.com/office/drawing/2014/chart" uri="{C3380CC4-5D6E-409C-BE32-E72D297353CC}">
                  <c16:uniqueId val="{00000003-C2BE-496E-8931-F00AB0B61E56}"/>
                </c:ext>
              </c:extLst>
            </c:dLbl>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'P&amp;L_Pivot'!$K$18:$L$18</c:f>
              <c:strCache>
                <c:ptCount val="2"/>
                <c:pt idx="0">
                  <c:v>Revenue</c:v>
                </c:pt>
                <c:pt idx="1">
                  <c:v>Net Profit</c:v>
                </c:pt>
              </c:strCache>
            </c:strRef>
          </c:cat>
          <c:val>
            <c:numRef>
              <c:f>'P&amp;L_Pivot'!$K$19:$L$19</c:f>
              <c:numCache>
                <c:formatCode>0</c:formatCode>
                <c:ptCount val="2"/>
                <c:pt idx="0">
                  <c:v>335917.19709413638</c:v>
                </c:pt>
                <c:pt idx="1">
                  <c:v>19917.492096557529</c:v>
                </c:pt>
              </c:numCache>
            </c:numRef>
          </c:val>
          <c:extLst>
            <c:ext xmlns:c16="http://schemas.microsoft.com/office/drawing/2014/chart" uri="{C3380CC4-5D6E-409C-BE32-E72D297353CC}">
              <c16:uniqueId val="{00000004-C2BE-496E-8931-F00AB0B61E56}"/>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bg1"/>
                </a:solidFill>
              </a:rPr>
              <a:t>Net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'P&amp;L_Pivot'!$E$34</c:f>
              <c:strCache>
                <c:ptCount val="1"/>
                <c:pt idx="0">
                  <c:v>Net Profit</c:v>
                </c:pt>
              </c:strCache>
            </c:strRef>
          </c:tx>
          <c:spPr>
            <a:solidFill>
              <a:schemeClr val="accent1"/>
            </a:solidFill>
            <a:ln>
              <a:noFill/>
            </a:ln>
            <a:effectLst/>
          </c:spPr>
          <c:invertIfNegative val="0"/>
          <c:dPt>
            <c:idx val="0"/>
            <c:invertIfNegative val="0"/>
            <c:bubble3D val="0"/>
            <c:spPr>
              <a:solidFill>
                <a:schemeClr val="bg1"/>
              </a:solidFill>
              <a:ln>
                <a:noFill/>
              </a:ln>
              <a:effectLst/>
            </c:spPr>
            <c:extLst>
              <c:ext xmlns:c16="http://schemas.microsoft.com/office/drawing/2014/chart" uri="{C3380CC4-5D6E-409C-BE32-E72D297353CC}">
                <c16:uniqueId val="{00000001-D121-4F83-8E37-D5EA59F92F79}"/>
              </c:ext>
            </c:extLst>
          </c:dPt>
          <c:dPt>
            <c:idx val="1"/>
            <c:invertIfNegative val="0"/>
            <c:bubble3D val="0"/>
            <c:spPr>
              <a:solidFill>
                <a:schemeClr val="bg1"/>
              </a:solidFill>
              <a:ln>
                <a:noFill/>
              </a:ln>
              <a:effectLst/>
            </c:spPr>
            <c:extLst>
              <c:ext xmlns:c16="http://schemas.microsoft.com/office/drawing/2014/chart" uri="{C3380CC4-5D6E-409C-BE32-E72D297353CC}">
                <c16:uniqueId val="{00000003-D121-4F83-8E37-D5EA59F92F79}"/>
              </c:ext>
            </c:extLst>
          </c:dPt>
          <c:dPt>
            <c:idx val="2"/>
            <c:invertIfNegative val="0"/>
            <c:bubble3D val="0"/>
            <c:spPr>
              <a:solidFill>
                <a:schemeClr val="bg1"/>
              </a:solidFill>
              <a:ln>
                <a:noFill/>
              </a:ln>
              <a:effectLst/>
            </c:spPr>
            <c:extLst>
              <c:ext xmlns:c16="http://schemas.microsoft.com/office/drawing/2014/chart" uri="{C3380CC4-5D6E-409C-BE32-E72D297353CC}">
                <c16:uniqueId val="{00000005-D121-4F83-8E37-D5EA59F92F79}"/>
              </c:ext>
            </c:extLst>
          </c:dPt>
          <c:dPt>
            <c:idx val="3"/>
            <c:invertIfNegative val="0"/>
            <c:bubble3D val="0"/>
            <c:spPr>
              <a:solidFill>
                <a:schemeClr val="bg1"/>
              </a:solidFill>
              <a:ln>
                <a:noFill/>
              </a:ln>
              <a:effectLst/>
            </c:spPr>
            <c:extLst>
              <c:ext xmlns:c16="http://schemas.microsoft.com/office/drawing/2014/chart" uri="{C3380CC4-5D6E-409C-BE32-E72D297353CC}">
                <c16:uniqueId val="{00000007-D121-4F83-8E37-D5EA59F92F79}"/>
              </c:ext>
            </c:extLst>
          </c:dPt>
          <c:dPt>
            <c:idx val="4"/>
            <c:invertIfNegative val="0"/>
            <c:bubble3D val="0"/>
            <c:spPr>
              <a:solidFill>
                <a:schemeClr val="bg1"/>
              </a:solidFill>
              <a:ln>
                <a:noFill/>
              </a:ln>
              <a:effectLst/>
            </c:spPr>
            <c:extLst>
              <c:ext xmlns:c16="http://schemas.microsoft.com/office/drawing/2014/chart" uri="{C3380CC4-5D6E-409C-BE32-E72D297353CC}">
                <c16:uniqueId val="{00000009-D121-4F83-8E37-D5EA59F92F79}"/>
              </c:ext>
            </c:extLst>
          </c:dPt>
          <c:dPt>
            <c:idx val="5"/>
            <c:invertIfNegative val="0"/>
            <c:bubble3D val="0"/>
            <c:spPr>
              <a:solidFill>
                <a:srgbClr val="FFFF00"/>
              </a:solidFill>
              <a:ln>
                <a:noFill/>
              </a:ln>
              <a:effectLst/>
            </c:spPr>
            <c:extLst>
              <c:ext xmlns:c16="http://schemas.microsoft.com/office/drawing/2014/chart" uri="{C3380CC4-5D6E-409C-BE32-E72D297353CC}">
                <c16:uniqueId val="{0000000B-D121-4F83-8E37-D5EA59F92F79}"/>
              </c:ext>
            </c:extLst>
          </c:dPt>
          <c:dPt>
            <c:idx val="6"/>
            <c:invertIfNegative val="0"/>
            <c:bubble3D val="0"/>
            <c:spPr>
              <a:solidFill>
                <a:srgbClr val="FFFF00"/>
              </a:solidFill>
              <a:ln>
                <a:noFill/>
              </a:ln>
              <a:effectLst/>
            </c:spPr>
            <c:extLst>
              <c:ext xmlns:c16="http://schemas.microsoft.com/office/drawing/2014/chart" uri="{C3380CC4-5D6E-409C-BE32-E72D297353CC}">
                <c16:uniqueId val="{0000000D-D121-4F83-8E37-D5EA59F92F79}"/>
              </c:ext>
            </c:extLst>
          </c:dPt>
          <c:dPt>
            <c:idx val="7"/>
            <c:invertIfNegative val="0"/>
            <c:bubble3D val="0"/>
            <c:spPr>
              <a:solidFill>
                <a:srgbClr val="FFFF00"/>
              </a:solidFill>
              <a:ln>
                <a:noFill/>
              </a:ln>
              <a:effectLst/>
            </c:spPr>
            <c:extLst>
              <c:ext xmlns:c16="http://schemas.microsoft.com/office/drawing/2014/chart" uri="{C3380CC4-5D6E-409C-BE32-E72D297353CC}">
                <c16:uniqueId val="{0000000F-D121-4F83-8E37-D5EA59F92F79}"/>
              </c:ext>
            </c:extLst>
          </c:dPt>
          <c:dPt>
            <c:idx val="8"/>
            <c:invertIfNegative val="0"/>
            <c:bubble3D val="0"/>
            <c:spPr>
              <a:solidFill>
                <a:srgbClr val="FFFF00"/>
              </a:solidFill>
              <a:ln>
                <a:noFill/>
              </a:ln>
              <a:effectLst/>
            </c:spPr>
            <c:extLst>
              <c:ext xmlns:c16="http://schemas.microsoft.com/office/drawing/2014/chart" uri="{C3380CC4-5D6E-409C-BE32-E72D297353CC}">
                <c16:uniqueId val="{00000011-D121-4F83-8E37-D5EA59F92F79}"/>
              </c:ext>
            </c:extLst>
          </c:dPt>
          <c:dPt>
            <c:idx val="9"/>
            <c:invertIfNegative val="0"/>
            <c:bubble3D val="0"/>
            <c:spPr>
              <a:solidFill>
                <a:srgbClr val="FFFF00"/>
              </a:solidFill>
              <a:ln>
                <a:noFill/>
              </a:ln>
              <a:effectLst/>
            </c:spPr>
            <c:extLst>
              <c:ext xmlns:c16="http://schemas.microsoft.com/office/drawing/2014/chart" uri="{C3380CC4-5D6E-409C-BE32-E72D297353CC}">
                <c16:uniqueId val="{00000013-D121-4F83-8E37-D5EA59F92F7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'P&amp;L_Pivot'!$F$33:$O$33</c:f>
              <c:strCache>
                <c:ptCount val="10"/>
                <c:pt idx="0">
                  <c:v>2022</c:v>
                </c:pt>
                <c:pt idx="1">
                  <c:v>2023</c:v>
                </c:pt>
                <c:pt idx="2">
                  <c:v>2024</c:v>
                </c:pt>
                <c:pt idx="3">
                  <c:v>2025</c:v>
                </c:pt>
                <c:pt idx="4">
                  <c:v>2026</c:v>
                </c:pt>
                <c:pt idx="5">
                  <c:v>2027</c:v>
                </c:pt>
                <c:pt idx="6">
                  <c:v>2028</c:v>
                </c:pt>
                <c:pt idx="7">
                  <c:v>2029</c:v>
                </c:pt>
                <c:pt idx="8">
                  <c:v>2030</c:v>
                </c:pt>
                <c:pt idx="9">
                  <c:v>2031</c:v>
                </c:pt>
              </c:strCache>
            </c:strRef>
          </c:cat>
          <c:val>
            <c:numRef>
              <c:f>'P&amp;L_Pivot'!$F$34:$O$34</c:f>
              <c:numCache>
                <c:formatCode>0.0,</c:formatCode>
                <c:ptCount val="10"/>
                <c:pt idx="0">
                  <c:v>10291.050000000003</c:v>
                </c:pt>
                <c:pt idx="1">
                  <c:v>12624.869999999988</c:v>
                </c:pt>
                <c:pt idx="2">
                  <c:v>15569.720000000001</c:v>
                </c:pt>
                <c:pt idx="3">
                  <c:v>17687.39</c:v>
                </c:pt>
                <c:pt idx="4">
                  <c:v>19159.399999999976</c:v>
                </c:pt>
                <c:pt idx="5">
                  <c:v>19917.492096557529</c:v>
                </c:pt>
                <c:pt idx="6">
                  <c:v>24892.288092143281</c:v>
                </c:pt>
                <c:pt idx="7">
                  <c:v>30000.294183930535</c:v>
                </c:pt>
                <c:pt idx="8">
                  <c:v>34819.267542901354</c:v>
                </c:pt>
                <c:pt idx="9">
                  <c:v>39442.881596186897</c:v>
                </c:pt>
              </c:numCache>
            </c:numRef>
          </c:val>
          <c:extLst>
            <c:ext xmlns:c16="http://schemas.microsoft.com/office/drawing/2014/chart" uri="{C3380CC4-5D6E-409C-BE32-E72D297353CC}">
              <c16:uniqueId val="{00000014-D121-4F83-8E37-D5EA59F92F79}"/>
            </c:ext>
          </c:extLst>
        </c:ser>
        <c:dLbls>
          <c:showLegendKey val="0"/>
          <c:showVal val="0"/>
          <c:showCatName val="0"/>
          <c:showSerName val="0"/>
          <c:showPercent val="0"/>
          <c:showBubbleSize val="0"/>
        </c:dLbls>
        <c:gapWidth val="219"/>
        <c:overlap val="-27"/>
        <c:axId val="775173807"/>
        <c:axId val="775186287"/>
      </c:barChart>
      <c:catAx>
        <c:axId val="775173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75186287"/>
        <c:crosses val="autoZero"/>
        <c:auto val="1"/>
        <c:lblAlgn val="ctr"/>
        <c:lblOffset val="100"/>
        <c:noMultiLvlLbl val="0"/>
      </c:catAx>
      <c:valAx>
        <c:axId val="7751862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7517380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solidFill>
                  <a:schemeClr val="bg1"/>
                </a:solidFill>
              </a:rPr>
              <a:t>Cash</a:t>
            </a:r>
            <a:r>
              <a:rPr lang="en-IN" baseline="0">
                <a:solidFill>
                  <a:schemeClr val="bg1"/>
                </a:solidFill>
              </a:rPr>
              <a:t> Flow</a:t>
            </a:r>
            <a:endParaRPr lang="en-IN">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IN"/>
        </a:p>
      </c:txPr>
    </c:title>
    <c:autoTitleDeleted val="0"/>
    <c:plotArea>
      <c:layout>
        <c:manualLayout>
          <c:layoutTarget val="inner"/>
          <c:xMode val="edge"/>
          <c:yMode val="edge"/>
          <c:x val="9.8219816272965887E-2"/>
          <c:y val="0.30076443569553807"/>
          <c:w val="0.87122462817147861"/>
          <c:h val="0.6714577865266842"/>
        </c:manualLayout>
      </c:layout>
      <c:barChart>
        <c:barDir val="col"/>
        <c:grouping val="stacked"/>
        <c:varyColors val="0"/>
        <c:ser>
          <c:idx val="0"/>
          <c:order val="0"/>
          <c:tx>
            <c:strRef>
              <c:f>CF_Pivot!$E$9</c:f>
              <c:strCache>
                <c:ptCount val="1"/>
                <c:pt idx="0">
                  <c:v>Financial Activities</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3366"/>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CF_Pivot!$F$8:$K$8</c:f>
              <c:strCache>
                <c:ptCount val="6"/>
                <c:pt idx="0">
                  <c:v>2026</c:v>
                </c:pt>
                <c:pt idx="1">
                  <c:v>2027</c:v>
                </c:pt>
                <c:pt idx="2">
                  <c:v>2028</c:v>
                </c:pt>
                <c:pt idx="3">
                  <c:v>2029</c:v>
                </c:pt>
                <c:pt idx="4">
                  <c:v>2030</c:v>
                </c:pt>
                <c:pt idx="5">
                  <c:v>2031</c:v>
                </c:pt>
              </c:strCache>
            </c:strRef>
          </c:cat>
          <c:val>
            <c:numRef>
              <c:f>CF_Pivot!$F$9:$K$9</c:f>
              <c:numCache>
                <c:formatCode>0.0,</c:formatCode>
                <c:ptCount val="6"/>
                <c:pt idx="0">
                  <c:v>6557</c:v>
                </c:pt>
                <c:pt idx="1">
                  <c:v>-2485.6311793310001</c:v>
                </c:pt>
                <c:pt idx="2">
                  <c:v>-14171.167010459616</c:v>
                </c:pt>
                <c:pt idx="3">
                  <c:v>-17058.430030563708</c:v>
                </c:pt>
                <c:pt idx="4">
                  <c:v>-20660.381605651128</c:v>
                </c:pt>
                <c:pt idx="5">
                  <c:v>-24151.957954658297</c:v>
                </c:pt>
              </c:numCache>
            </c:numRef>
          </c:val>
          <c:extLst>
            <c:ext xmlns:c16="http://schemas.microsoft.com/office/drawing/2014/chart" uri="{C3380CC4-5D6E-409C-BE32-E72D297353CC}">
              <c16:uniqueId val="{00000000-136A-480B-BB13-5144FCB1B8D3}"/>
            </c:ext>
          </c:extLst>
        </c:ser>
        <c:ser>
          <c:idx val="1"/>
          <c:order val="1"/>
          <c:tx>
            <c:strRef>
              <c:f>CF_Pivot!$E$10</c:f>
              <c:strCache>
                <c:ptCount val="1"/>
                <c:pt idx="0">
                  <c:v>Investing Activities</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CF_Pivot!$F$8:$K$8</c:f>
              <c:strCache>
                <c:ptCount val="6"/>
                <c:pt idx="0">
                  <c:v>2026</c:v>
                </c:pt>
                <c:pt idx="1">
                  <c:v>2027</c:v>
                </c:pt>
                <c:pt idx="2">
                  <c:v>2028</c:v>
                </c:pt>
                <c:pt idx="3">
                  <c:v>2029</c:v>
                </c:pt>
                <c:pt idx="4">
                  <c:v>2030</c:v>
                </c:pt>
                <c:pt idx="5">
                  <c:v>2031</c:v>
                </c:pt>
              </c:strCache>
            </c:strRef>
          </c:cat>
          <c:val>
            <c:numRef>
              <c:f>CF_Pivot!$F$10:$K$10</c:f>
              <c:numCache>
                <c:formatCode>0.0,</c:formatCode>
                <c:ptCount val="6"/>
                <c:pt idx="0">
                  <c:v>-15480</c:v>
                </c:pt>
                <c:pt idx="1">
                  <c:v>-11525.25910602867</c:v>
                </c:pt>
                <c:pt idx="2">
                  <c:v>-12215.735668377087</c:v>
                </c:pt>
                <c:pt idx="3">
                  <c:v>-14624.738358339573</c:v>
                </c:pt>
                <c:pt idx="4">
                  <c:v>-20030.354491561615</c:v>
                </c:pt>
                <c:pt idx="5">
                  <c:v>-29311.811148936773</c:v>
                </c:pt>
              </c:numCache>
            </c:numRef>
          </c:val>
          <c:extLst>
            <c:ext xmlns:c16="http://schemas.microsoft.com/office/drawing/2014/chart" uri="{C3380CC4-5D6E-409C-BE32-E72D297353CC}">
              <c16:uniqueId val="{00000001-136A-480B-BB13-5144FCB1B8D3}"/>
            </c:ext>
          </c:extLst>
        </c:ser>
        <c:ser>
          <c:idx val="2"/>
          <c:order val="2"/>
          <c:tx>
            <c:strRef>
              <c:f>CF_Pivot!$E$11</c:f>
              <c:strCache>
                <c:ptCount val="1"/>
                <c:pt idx="0">
                  <c:v>Operating Activities</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CF_Pivot!$F$8:$K$8</c:f>
              <c:strCache>
                <c:ptCount val="6"/>
                <c:pt idx="0">
                  <c:v>2026</c:v>
                </c:pt>
                <c:pt idx="1">
                  <c:v>2027</c:v>
                </c:pt>
                <c:pt idx="2">
                  <c:v>2028</c:v>
                </c:pt>
                <c:pt idx="3">
                  <c:v>2029</c:v>
                </c:pt>
                <c:pt idx="4">
                  <c:v>2030</c:v>
                </c:pt>
                <c:pt idx="5">
                  <c:v>2031</c:v>
                </c:pt>
              </c:strCache>
            </c:strRef>
          </c:cat>
          <c:val>
            <c:numRef>
              <c:f>CF_Pivot!$F$11:$K$11</c:f>
              <c:numCache>
                <c:formatCode>0.0,</c:formatCode>
                <c:ptCount val="6"/>
                <c:pt idx="0">
                  <c:v>9151</c:v>
                </c:pt>
                <c:pt idx="1">
                  <c:v>20583.105388644475</c:v>
                </c:pt>
                <c:pt idx="2">
                  <c:v>37722.122330726044</c:v>
                </c:pt>
                <c:pt idx="3">
                  <c:v>46295.262649662902</c:v>
                </c:pt>
                <c:pt idx="4">
                  <c:v>53951.65207663535</c:v>
                </c:pt>
                <c:pt idx="5">
                  <c:v>60846.628496912941</c:v>
                </c:pt>
              </c:numCache>
            </c:numRef>
          </c:val>
          <c:extLst>
            <c:ext xmlns:c16="http://schemas.microsoft.com/office/drawing/2014/chart" uri="{C3380CC4-5D6E-409C-BE32-E72D297353CC}">
              <c16:uniqueId val="{00000002-136A-480B-BB13-5144FCB1B8D3}"/>
            </c:ext>
          </c:extLst>
        </c:ser>
        <c:dLbls>
          <c:dLblPos val="ctr"/>
          <c:showLegendKey val="0"/>
          <c:showVal val="1"/>
          <c:showCatName val="0"/>
          <c:showSerName val="0"/>
          <c:showPercent val="0"/>
          <c:showBubbleSize val="0"/>
        </c:dLbls>
        <c:gapWidth val="150"/>
        <c:overlap val="100"/>
        <c:axId val="1263493728"/>
        <c:axId val="1263494688"/>
      </c:barChart>
      <c:catAx>
        <c:axId val="1263493728"/>
        <c:scaling>
          <c:orientation val="minMax"/>
        </c:scaling>
        <c:delete val="1"/>
        <c:axPos val="b"/>
        <c:numFmt formatCode="General" sourceLinked="1"/>
        <c:majorTickMark val="none"/>
        <c:minorTickMark val="none"/>
        <c:tickLblPos val="nextTo"/>
        <c:crossAx val="1263494688"/>
        <c:crosses val="autoZero"/>
        <c:auto val="1"/>
        <c:lblAlgn val="ctr"/>
        <c:lblOffset val="100"/>
        <c:noMultiLvlLbl val="0"/>
      </c:catAx>
      <c:valAx>
        <c:axId val="1263494688"/>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634937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solidFill>
                  <a:schemeClr val="bg1"/>
                </a:solidFill>
              </a:rPr>
              <a:t>5-Yr</a:t>
            </a:r>
            <a:r>
              <a:rPr lang="en-IN" baseline="0">
                <a:solidFill>
                  <a:schemeClr val="bg1"/>
                </a:solidFill>
              </a:rPr>
              <a:t> Average Trend</a:t>
            </a:r>
            <a:endParaRPr lang="en-IN">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IN"/>
        </a:p>
      </c:txPr>
    </c:title>
    <c:autoTitleDeleted val="0"/>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Ratio_Pivot!$K$13:$K$19</c:f>
              <c:strCache>
                <c:ptCount val="7"/>
                <c:pt idx="0">
                  <c:v>Debt Equity Ratio (x)</c:v>
                </c:pt>
                <c:pt idx="1">
                  <c:v>Gross Margin (%)</c:v>
                </c:pt>
                <c:pt idx="2">
                  <c:v>Net Profit Margin (%)</c:v>
                </c:pt>
                <c:pt idx="3">
                  <c:v>PAT Growth (%)</c:v>
                </c:pt>
                <c:pt idx="4">
                  <c:v>ROA (%)</c:v>
                </c:pt>
                <c:pt idx="5">
                  <c:v>ROE (%)</c:v>
                </c:pt>
                <c:pt idx="6">
                  <c:v>Sales Growth (%)</c:v>
                </c:pt>
              </c:strCache>
            </c:strRef>
          </c:cat>
          <c:val>
            <c:numRef>
              <c:f>Ratio_Pivot!$L$13:$L$19</c:f>
              <c:numCache>
                <c:formatCode>General</c:formatCode>
                <c:ptCount val="7"/>
              </c:numCache>
            </c:numRef>
          </c:val>
          <c:extLst>
            <c:ext xmlns:c16="http://schemas.microsoft.com/office/drawing/2014/chart" uri="{C3380CC4-5D6E-409C-BE32-E72D297353CC}">
              <c16:uniqueId val="{00000000-E64B-40C6-806D-D8FC8C8F619E}"/>
            </c:ext>
          </c:extLst>
        </c:ser>
        <c:ser>
          <c:idx val="1"/>
          <c:order val="1"/>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Ratio_Pivot!$K$13:$K$19</c:f>
              <c:strCache>
                <c:ptCount val="7"/>
                <c:pt idx="0">
                  <c:v>Debt Equity Ratio (x)</c:v>
                </c:pt>
                <c:pt idx="1">
                  <c:v>Gross Margin (%)</c:v>
                </c:pt>
                <c:pt idx="2">
                  <c:v>Net Profit Margin (%)</c:v>
                </c:pt>
                <c:pt idx="3">
                  <c:v>PAT Growth (%)</c:v>
                </c:pt>
                <c:pt idx="4">
                  <c:v>ROA (%)</c:v>
                </c:pt>
                <c:pt idx="5">
                  <c:v>ROE (%)</c:v>
                </c:pt>
                <c:pt idx="6">
                  <c:v>Sales Growth (%)</c:v>
                </c:pt>
              </c:strCache>
            </c:strRef>
          </c:cat>
          <c:val>
            <c:numRef>
              <c:f>Ratio_Pivot!$M$13:$M$19</c:f>
              <c:numCache>
                <c:formatCode>0%</c:formatCode>
                <c:ptCount val="7"/>
                <c:pt idx="0" formatCode="0.00">
                  <c:v>7.8121081017021241E-2</c:v>
                </c:pt>
                <c:pt idx="1">
                  <c:v>0.41575609818166948</c:v>
                </c:pt>
                <c:pt idx="2">
                  <c:v>6.629452942833218E-2</c:v>
                </c:pt>
                <c:pt idx="3">
                  <c:v>0.1575924034219435</c:v>
                </c:pt>
                <c:pt idx="4">
                  <c:v>0.10018674453064094</c:v>
                </c:pt>
                <c:pt idx="5">
                  <c:v>0.21752024733804998</c:v>
                </c:pt>
                <c:pt idx="6">
                  <c:v>0.13984100337921124</c:v>
                </c:pt>
              </c:numCache>
            </c:numRef>
          </c:val>
          <c:extLst>
            <c:ext xmlns:c16="http://schemas.microsoft.com/office/drawing/2014/chart" uri="{C3380CC4-5D6E-409C-BE32-E72D297353CC}">
              <c16:uniqueId val="{00000001-E64B-40C6-806D-D8FC8C8F619E}"/>
            </c:ext>
          </c:extLst>
        </c:ser>
        <c:dLbls>
          <c:dLblPos val="outEnd"/>
          <c:showLegendKey val="0"/>
          <c:showVal val="1"/>
          <c:showCatName val="0"/>
          <c:showSerName val="0"/>
          <c:showPercent val="0"/>
          <c:showBubbleSize val="0"/>
        </c:dLbls>
        <c:gapWidth val="182"/>
        <c:axId val="775214127"/>
        <c:axId val="775212207"/>
      </c:barChart>
      <c:catAx>
        <c:axId val="7752141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75212207"/>
        <c:crosses val="autoZero"/>
        <c:auto val="1"/>
        <c:lblAlgn val="ctr"/>
        <c:lblOffset val="100"/>
        <c:noMultiLvlLbl val="0"/>
      </c:catAx>
      <c:valAx>
        <c:axId val="7752122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752141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5">
                <a:lumMod val="75000"/>
              </a:schemeClr>
            </a:solidFill>
            <a:ln>
              <a:noFill/>
            </a:ln>
            <a:effectLst/>
          </c:spPr>
          <c:invertIfNegative val="0"/>
          <c:dPt>
            <c:idx val="0"/>
            <c:invertIfNegative val="0"/>
            <c:bubble3D val="0"/>
            <c:spPr>
              <a:solidFill>
                <a:srgbClr val="C00000"/>
              </a:solidFill>
              <a:ln>
                <a:noFill/>
              </a:ln>
              <a:effectLst/>
            </c:spPr>
            <c:extLst>
              <c:ext xmlns:c16="http://schemas.microsoft.com/office/drawing/2014/chart" uri="{C3380CC4-5D6E-409C-BE32-E72D297353CC}">
                <c16:uniqueId val="{00000004-FDF4-4790-A6FB-7D0349629435}"/>
              </c:ext>
            </c:extLst>
          </c:dPt>
          <c:dPt>
            <c:idx val="1"/>
            <c:invertIfNegative val="0"/>
            <c:bubble3D val="0"/>
            <c:spPr>
              <a:solidFill>
                <a:schemeClr val="accent6">
                  <a:lumMod val="50000"/>
                </a:schemeClr>
              </a:solidFill>
              <a:ln>
                <a:noFill/>
              </a:ln>
              <a:effectLst/>
            </c:spPr>
            <c:extLst>
              <c:ext xmlns:c16="http://schemas.microsoft.com/office/drawing/2014/chart" uri="{C3380CC4-5D6E-409C-BE32-E72D297353CC}">
                <c16:uniqueId val="{00000003-FDF4-4790-A6FB-7D0349629435}"/>
              </c:ext>
            </c:extLst>
          </c:dPt>
          <c:dPt>
            <c:idx val="2"/>
            <c:invertIfNegative val="0"/>
            <c:bubble3D val="0"/>
            <c:spPr>
              <a:solidFill>
                <a:srgbClr val="000066"/>
              </a:solidFill>
              <a:ln>
                <a:noFill/>
              </a:ln>
              <a:effectLst/>
            </c:spPr>
            <c:extLst>
              <c:ext xmlns:c16="http://schemas.microsoft.com/office/drawing/2014/chart" uri="{C3380CC4-5D6E-409C-BE32-E72D297353CC}">
                <c16:uniqueId val="{00000001-FDF4-4790-A6FB-7D034962943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Overview!$P$32:$P$34</c:f>
              <c:strCache>
                <c:ptCount val="3"/>
                <c:pt idx="0">
                  <c:v>Flls</c:v>
                </c:pt>
                <c:pt idx="1">
                  <c:v>Dlls</c:v>
                </c:pt>
                <c:pt idx="2">
                  <c:v>Public</c:v>
                </c:pt>
              </c:strCache>
            </c:strRef>
          </c:cat>
          <c:val>
            <c:numRef>
              <c:f>Overview!$Q$32:$Q$34</c:f>
              <c:numCache>
                <c:formatCode>0.00%</c:formatCode>
                <c:ptCount val="3"/>
                <c:pt idx="0">
                  <c:v>0.18779999999999999</c:v>
                </c:pt>
                <c:pt idx="1">
                  <c:v>0.43319999999999997</c:v>
                </c:pt>
                <c:pt idx="2">
                  <c:v>0.37640000000000001</c:v>
                </c:pt>
              </c:numCache>
            </c:numRef>
          </c:val>
          <c:extLst>
            <c:ext xmlns:c16="http://schemas.microsoft.com/office/drawing/2014/chart" uri="{C3380CC4-5D6E-409C-BE32-E72D297353CC}">
              <c16:uniqueId val="{00000000-FDF4-4790-A6FB-7D0349629435}"/>
            </c:ext>
          </c:extLst>
        </c:ser>
        <c:dLbls>
          <c:showLegendKey val="0"/>
          <c:showVal val="1"/>
          <c:showCatName val="0"/>
          <c:showSerName val="0"/>
          <c:showPercent val="0"/>
          <c:showBubbleSize val="0"/>
        </c:dLbls>
        <c:gapWidth val="150"/>
        <c:overlap val="-25"/>
        <c:axId val="1451217727"/>
        <c:axId val="1451218207"/>
      </c:barChart>
      <c:catAx>
        <c:axId val="14512177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51218207"/>
        <c:crosses val="autoZero"/>
        <c:auto val="1"/>
        <c:lblAlgn val="ctr"/>
        <c:lblOffset val="100"/>
        <c:noMultiLvlLbl val="0"/>
      </c:catAx>
      <c:valAx>
        <c:axId val="1451218207"/>
        <c:scaling>
          <c:orientation val="minMax"/>
        </c:scaling>
        <c:delete val="1"/>
        <c:axPos val="b"/>
        <c:numFmt formatCode="0.00%" sourceLinked="1"/>
        <c:majorTickMark val="none"/>
        <c:minorTickMark val="none"/>
        <c:tickLblPos val="nextTo"/>
        <c:crossAx val="1451217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rgbClr val="002060"/>
                </a:solidFill>
                <a:latin typeface="+mn-lt"/>
                <a:ea typeface="+mn-ea"/>
                <a:cs typeface="+mn-cs"/>
              </a:defRPr>
            </a:pPr>
            <a:r>
              <a:rPr lang="en-IN" sz="1000" b="1" i="0" u="none" strike="noStrike" baseline="0">
                <a:solidFill>
                  <a:srgbClr val="002060"/>
                </a:solidFill>
              </a:rPr>
              <a:t>Larsen &amp; Toubro</a:t>
            </a:r>
          </a:p>
          <a:p>
            <a:pPr algn="l">
              <a:defRPr>
                <a:solidFill>
                  <a:srgbClr val="002060"/>
                </a:solidFill>
              </a:defRPr>
            </a:pPr>
            <a:r>
              <a:rPr lang="en-IN" sz="1000" b="1" i="0" u="none" strike="noStrike" baseline="0">
                <a:solidFill>
                  <a:srgbClr val="FF0000"/>
                </a:solidFill>
              </a:rPr>
              <a:t>NIFTY</a:t>
            </a:r>
          </a:p>
        </c:rich>
      </c:tx>
      <c:layout>
        <c:manualLayout>
          <c:xMode val="edge"/>
          <c:yMode val="edge"/>
          <c:x val="0.67662052896320768"/>
          <c:y val="0.21420427329091976"/>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rgbClr val="002060"/>
              </a:solidFill>
              <a:latin typeface="+mn-lt"/>
              <a:ea typeface="+mn-ea"/>
              <a:cs typeface="+mn-cs"/>
            </a:defRPr>
          </a:pPr>
          <a:endParaRPr lang="en-US"/>
        </a:p>
      </c:txPr>
    </c:title>
    <c:autoTitleDeleted val="0"/>
    <c:plotArea>
      <c:layout/>
      <c:lineChart>
        <c:grouping val="standard"/>
        <c:varyColors val="0"/>
        <c:ser>
          <c:idx val="0"/>
          <c:order val="0"/>
          <c:tx>
            <c:strRef>
              <c:f>Sheet3!$D$5</c:f>
              <c:strCache>
                <c:ptCount val="1"/>
                <c:pt idx="0">
                  <c:v>-</c:v>
                </c:pt>
              </c:strCache>
            </c:strRef>
          </c:tx>
          <c:spPr>
            <a:ln w="28575" cap="rnd">
              <a:solidFill>
                <a:srgbClr val="002060"/>
              </a:solidFill>
              <a:round/>
            </a:ln>
            <a:effectLst/>
          </c:spPr>
          <c:marker>
            <c:symbol val="none"/>
          </c:marker>
          <c:val>
            <c:numRef>
              <c:f>Sheet3!$D$6:$D$252</c:f>
              <c:numCache>
                <c:formatCode>0.0%</c:formatCode>
                <c:ptCount val="247"/>
                <c:pt idx="0">
                  <c:v>-2.2239794405456426E-3</c:v>
                </c:pt>
                <c:pt idx="1">
                  <c:v>-1.0897023131408723E-3</c:v>
                </c:pt>
                <c:pt idx="2">
                  <c:v>-2.6478901175187253E-2</c:v>
                </c:pt>
                <c:pt idx="3">
                  <c:v>-9.1937044771558396E-3</c:v>
                </c:pt>
                <c:pt idx="4">
                  <c:v>-4.5315512144968872E-3</c:v>
                </c:pt>
                <c:pt idx="5">
                  <c:v>2.633705753097848E-3</c:v>
                </c:pt>
                <c:pt idx="6">
                  <c:v>-8.1636437148957519E-4</c:v>
                </c:pt>
                <c:pt idx="7">
                  <c:v>-2.2449032191551588E-3</c:v>
                </c:pt>
                <c:pt idx="8">
                  <c:v>8.031122213066233E-3</c:v>
                </c:pt>
                <c:pt idx="9">
                  <c:v>-6.2425043820536485E-3</c:v>
                </c:pt>
                <c:pt idx="10">
                  <c:v>-1.5142138053389487E-2</c:v>
                </c:pt>
                <c:pt idx="11">
                  <c:v>2.1703498114788555E-2</c:v>
                </c:pt>
                <c:pt idx="12">
                  <c:v>8.7055911063045333E-3</c:v>
                </c:pt>
                <c:pt idx="13">
                  <c:v>1.2202557887837084E-2</c:v>
                </c:pt>
                <c:pt idx="14">
                  <c:v>-3.604336247424178E-3</c:v>
                </c:pt>
                <c:pt idx="15">
                  <c:v>1.1474332007466614E-2</c:v>
                </c:pt>
                <c:pt idx="16">
                  <c:v>1.1418879878862809E-2</c:v>
                </c:pt>
                <c:pt idx="17">
                  <c:v>-2.1166522618089045E-2</c:v>
                </c:pt>
                <c:pt idx="18">
                  <c:v>0</c:v>
                </c:pt>
                <c:pt idx="19">
                  <c:v>2.0454471129536689E-2</c:v>
                </c:pt>
                <c:pt idx="20">
                  <c:v>-1.4258667613300191E-2</c:v>
                </c:pt>
                <c:pt idx="21">
                  <c:v>3.9388392053298915E-3</c:v>
                </c:pt>
                <c:pt idx="22">
                  <c:v>-9.6951217993269667E-3</c:v>
                </c:pt>
                <c:pt idx="23">
                  <c:v>9.9158086968333947E-3</c:v>
                </c:pt>
                <c:pt idx="24">
                  <c:v>-8.1421906951373302E-3</c:v>
                </c:pt>
                <c:pt idx="25">
                  <c:v>1.3505097684696876E-2</c:v>
                </c:pt>
                <c:pt idx="26">
                  <c:v>-5.9861545399134686E-3</c:v>
                </c:pt>
                <c:pt idx="27">
                  <c:v>1.1132104630815931E-2</c:v>
                </c:pt>
                <c:pt idx="28">
                  <c:v>5.7858044412888443E-3</c:v>
                </c:pt>
                <c:pt idx="29">
                  <c:v>-1.0558952928344745E-2</c:v>
                </c:pt>
                <c:pt idx="30">
                  <c:v>-2.9929128260260951E-2</c:v>
                </c:pt>
                <c:pt idx="31">
                  <c:v>1.4172444172060317E-3</c:v>
                </c:pt>
                <c:pt idx="32">
                  <c:v>-1.6087821297429583E-2</c:v>
                </c:pt>
                <c:pt idx="33">
                  <c:v>2.8155946207214733E-2</c:v>
                </c:pt>
                <c:pt idx="34">
                  <c:v>-7.0546866138159636E-2</c:v>
                </c:pt>
                <c:pt idx="35">
                  <c:v>1.1824434271332507E-3</c:v>
                </c:pt>
                <c:pt idx="36">
                  <c:v>-3.0742434256861406E-2</c:v>
                </c:pt>
                <c:pt idx="37">
                  <c:v>-1.5510808658105724E-3</c:v>
                </c:pt>
                <c:pt idx="38">
                  <c:v>-2.8659799585735835E-2</c:v>
                </c:pt>
                <c:pt idx="39">
                  <c:v>1.7122883053187099E-2</c:v>
                </c:pt>
                <c:pt idx="40">
                  <c:v>2.3903355309196739E-2</c:v>
                </c:pt>
                <c:pt idx="41">
                  <c:v>-3.6308799114554424E-2</c:v>
                </c:pt>
                <c:pt idx="42">
                  <c:v>-4.9589695588007299E-2</c:v>
                </c:pt>
                <c:pt idx="43">
                  <c:v>2.764594102239526E-2</c:v>
                </c:pt>
                <c:pt idx="44">
                  <c:v>-8.8194309703082396E-5</c:v>
                </c:pt>
                <c:pt idx="45">
                  <c:v>5.0486875529212494E-2</c:v>
                </c:pt>
                <c:pt idx="46">
                  <c:v>-1.804366078925268E-2</c:v>
                </c:pt>
                <c:pt idx="47">
                  <c:v>-2.0718078511513416E-2</c:v>
                </c:pt>
                <c:pt idx="48">
                  <c:v>-8.7635047033622904E-3</c:v>
                </c:pt>
                <c:pt idx="49">
                  <c:v>8.1565479353912451E-2</c:v>
                </c:pt>
                <c:pt idx="50">
                  <c:v>3.2075297541482195E-2</c:v>
                </c:pt>
                <c:pt idx="51">
                  <c:v>9.6904781319788746E-3</c:v>
                </c:pt>
                <c:pt idx="52">
                  <c:v>-8.7455809676151297E-3</c:v>
                </c:pt>
                <c:pt idx="53">
                  <c:v>2.8029351316972262E-2</c:v>
                </c:pt>
                <c:pt idx="54">
                  <c:v>2.2507471386316036E-2</c:v>
                </c:pt>
                <c:pt idx="55">
                  <c:v>-3.865107522445832E-2</c:v>
                </c:pt>
                <c:pt idx="56">
                  <c:v>4.7416931943490948E-2</c:v>
                </c:pt>
                <c:pt idx="57">
                  <c:v>5.2034086845973437E-2</c:v>
                </c:pt>
                <c:pt idx="58">
                  <c:v>1.9164865043475032E-3</c:v>
                </c:pt>
                <c:pt idx="59">
                  <c:v>2.7985602020239586E-3</c:v>
                </c:pt>
                <c:pt idx="60">
                  <c:v>-9.1427604935023776E-3</c:v>
                </c:pt>
                <c:pt idx="61">
                  <c:v>3.7306780464675171E-2</c:v>
                </c:pt>
                <c:pt idx="62">
                  <c:v>-8.4861588532143539E-3</c:v>
                </c:pt>
                <c:pt idx="63">
                  <c:v>-2.2850332969897691E-2</c:v>
                </c:pt>
                <c:pt idx="64">
                  <c:v>1.0606024863768271E-2</c:v>
                </c:pt>
                <c:pt idx="65">
                  <c:v>-1.0658114032016552E-2</c:v>
                </c:pt>
                <c:pt idx="66">
                  <c:v>-1.8294639486598707E-2</c:v>
                </c:pt>
                <c:pt idx="67">
                  <c:v>-6.5683536576572887E-3</c:v>
                </c:pt>
                <c:pt idx="68">
                  <c:v>2.874056798910507E-3</c:v>
                </c:pt>
                <c:pt idx="69">
                  <c:v>-3.7028906670267814E-3</c:v>
                </c:pt>
                <c:pt idx="70">
                  <c:v>-3.3655685389566425E-4</c:v>
                </c:pt>
                <c:pt idx="71">
                  <c:v>-1.3287572026827066E-2</c:v>
                </c:pt>
                <c:pt idx="72">
                  <c:v>-1.106089876552907E-2</c:v>
                </c:pt>
                <c:pt idx="73">
                  <c:v>-1.1790257524045833E-3</c:v>
                </c:pt>
                <c:pt idx="74">
                  <c:v>5.8573558648111756E-3</c:v>
                </c:pt>
                <c:pt idx="75">
                  <c:v>-1.1819437341417216E-2</c:v>
                </c:pt>
                <c:pt idx="76">
                  <c:v>-2.9091963707550295E-2</c:v>
                </c:pt>
                <c:pt idx="77">
                  <c:v>2.8042653674515972E-3</c:v>
                </c:pt>
                <c:pt idx="78">
                  <c:v>1.540729175761868E-4</c:v>
                </c:pt>
                <c:pt idx="79">
                  <c:v>-3.5318342636192268E-2</c:v>
                </c:pt>
                <c:pt idx="80">
                  <c:v>-1.6341521837490713E-3</c:v>
                </c:pt>
                <c:pt idx="81">
                  <c:v>-1.1615073737190507E-2</c:v>
                </c:pt>
                <c:pt idx="82">
                  <c:v>1.335368797520764E-2</c:v>
                </c:pt>
                <c:pt idx="83">
                  <c:v>-7.1943786431023504E-3</c:v>
                </c:pt>
                <c:pt idx="84">
                  <c:v>1.1680745937743708E-2</c:v>
                </c:pt>
                <c:pt idx="85">
                  <c:v>1.556322277694755E-2</c:v>
                </c:pt>
                <c:pt idx="86">
                  <c:v>-3.4626092992064983E-3</c:v>
                </c:pt>
                <c:pt idx="87">
                  <c:v>2.4377471131942219E-3</c:v>
                </c:pt>
                <c:pt idx="88">
                  <c:v>0</c:v>
                </c:pt>
                <c:pt idx="89">
                  <c:v>5.58717587719193E-3</c:v>
                </c:pt>
                <c:pt idx="90">
                  <c:v>3.3851109148527181E-2</c:v>
                </c:pt>
                <c:pt idx="91">
                  <c:v>1.5426670552647348E-3</c:v>
                </c:pt>
                <c:pt idx="92">
                  <c:v>7.9523162061678754E-4</c:v>
                </c:pt>
                <c:pt idx="93">
                  <c:v>3.1924360121621476E-2</c:v>
                </c:pt>
                <c:pt idx="94">
                  <c:v>-3.9448210863317623E-3</c:v>
                </c:pt>
                <c:pt idx="95">
                  <c:v>2.3655363304921906E-3</c:v>
                </c:pt>
                <c:pt idx="96">
                  <c:v>3.1336293412809191E-3</c:v>
                </c:pt>
                <c:pt idx="97">
                  <c:v>-5.5249288768483007E-3</c:v>
                </c:pt>
                <c:pt idx="98">
                  <c:v>-1.3742729279207944E-2</c:v>
                </c:pt>
                <c:pt idx="99">
                  <c:v>-7.7126607319485396E-3</c:v>
                </c:pt>
                <c:pt idx="100">
                  <c:v>-3.2844814481621798E-3</c:v>
                </c:pt>
                <c:pt idx="101">
                  <c:v>2.1301970432265893E-3</c:v>
                </c:pt>
                <c:pt idx="102">
                  <c:v>1.5568279630253645E-3</c:v>
                </c:pt>
                <c:pt idx="103">
                  <c:v>1.2828848218533473E-3</c:v>
                </c:pt>
                <c:pt idx="104">
                  <c:v>3.3511297312629473E-3</c:v>
                </c:pt>
                <c:pt idx="105">
                  <c:v>2.7026960012488388E-4</c:v>
                </c:pt>
                <c:pt idx="106">
                  <c:v>-1.0408765276021859E-2</c:v>
                </c:pt>
                <c:pt idx="107">
                  <c:v>7.76281214695973E-3</c:v>
                </c:pt>
                <c:pt idx="108">
                  <c:v>3.4550471029803909E-4</c:v>
                </c:pt>
                <c:pt idx="109">
                  <c:v>7.0145533968279938E-3</c:v>
                </c:pt>
                <c:pt idx="110">
                  <c:v>-4.4488639728379464E-3</c:v>
                </c:pt>
                <c:pt idx="111">
                  <c:v>-1.7230567899888194E-2</c:v>
                </c:pt>
                <c:pt idx="112">
                  <c:v>-3.1474060380765057E-3</c:v>
                </c:pt>
                <c:pt idx="113">
                  <c:v>1.5533725134022625E-3</c:v>
                </c:pt>
                <c:pt idx="114">
                  <c:v>-1.9955390860426636E-4</c:v>
                </c:pt>
                <c:pt idx="115">
                  <c:v>1.038392739840921E-2</c:v>
                </c:pt>
                <c:pt idx="116">
                  <c:v>-1.3520406887480685E-2</c:v>
                </c:pt>
                <c:pt idx="117">
                  <c:v>1.1026420317004071E-3</c:v>
                </c:pt>
                <c:pt idx="118">
                  <c:v>1.0657261066181922E-2</c:v>
                </c:pt>
                <c:pt idx="119">
                  <c:v>1.0594987861736627E-2</c:v>
                </c:pt>
                <c:pt idx="120">
                  <c:v>-8.8254251574204634E-4</c:v>
                </c:pt>
                <c:pt idx="121">
                  <c:v>2.8732780181826012E-3</c:v>
                </c:pt>
                <c:pt idx="122">
                  <c:v>-4.728068048552414E-3</c:v>
                </c:pt>
                <c:pt idx="123">
                  <c:v>-1.6076227219958716E-2</c:v>
                </c:pt>
                <c:pt idx="124">
                  <c:v>4.1535709593636394E-3</c:v>
                </c:pt>
                <c:pt idx="125">
                  <c:v>2.8909442241500383E-3</c:v>
                </c:pt>
                <c:pt idx="126">
                  <c:v>3.1058939229346993E-3</c:v>
                </c:pt>
                <c:pt idx="127">
                  <c:v>-4.4093188440231801E-3</c:v>
                </c:pt>
                <c:pt idx="128">
                  <c:v>-4.9764866657288076E-3</c:v>
                </c:pt>
                <c:pt idx="129">
                  <c:v>7.0261631796733059E-3</c:v>
                </c:pt>
                <c:pt idx="130">
                  <c:v>-5.7837813444846509E-3</c:v>
                </c:pt>
                <c:pt idx="131">
                  <c:v>-4.7659033656355376E-4</c:v>
                </c:pt>
                <c:pt idx="132">
                  <c:v>-1.1965850778802078E-2</c:v>
                </c:pt>
                <c:pt idx="133">
                  <c:v>9.9582519437646511E-5</c:v>
                </c:pt>
                <c:pt idx="134">
                  <c:v>-9.227061280554727E-3</c:v>
                </c:pt>
                <c:pt idx="135">
                  <c:v>-9.1867237025202719E-3</c:v>
                </c:pt>
                <c:pt idx="136">
                  <c:v>-2.3407326493185554E-4</c:v>
                </c:pt>
                <c:pt idx="137">
                  <c:v>1.1027432005306759E-2</c:v>
                </c:pt>
                <c:pt idx="138">
                  <c:v>1.4295859449779291E-2</c:v>
                </c:pt>
                <c:pt idx="139">
                  <c:v>1.26610857432774E-2</c:v>
                </c:pt>
                <c:pt idx="140">
                  <c:v>-1.0766775804063711E-2</c:v>
                </c:pt>
                <c:pt idx="141">
                  <c:v>-7.3741494531429641E-3</c:v>
                </c:pt>
                <c:pt idx="142">
                  <c:v>3.7144657521666069E-3</c:v>
                </c:pt>
                <c:pt idx="143">
                  <c:v>-1.233234291640084E-2</c:v>
                </c:pt>
                <c:pt idx="144">
                  <c:v>-4.8174788012917968E-3</c:v>
                </c:pt>
                <c:pt idx="145">
                  <c:v>3.5323353494709497E-3</c:v>
                </c:pt>
                <c:pt idx="146">
                  <c:v>-7.7819206914055972E-3</c:v>
                </c:pt>
                <c:pt idx="147">
                  <c:v>-3.9864020838366043E-3</c:v>
                </c:pt>
                <c:pt idx="148">
                  <c:v>-8.5992010930214802E-3</c:v>
                </c:pt>
                <c:pt idx="149">
                  <c:v>5.8360027983355156E-3</c:v>
                </c:pt>
                <c:pt idx="150">
                  <c:v>-8.5711670959222053E-3</c:v>
                </c:pt>
                <c:pt idx="151">
                  <c:v>-2.2045694904883617E-2</c:v>
                </c:pt>
                <c:pt idx="152">
                  <c:v>6.7312463593018901E-3</c:v>
                </c:pt>
                <c:pt idx="153">
                  <c:v>3.8467308145639922E-3</c:v>
                </c:pt>
                <c:pt idx="154">
                  <c:v>-3.9120456850083585E-3</c:v>
                </c:pt>
                <c:pt idx="155">
                  <c:v>-1.0453447065694399E-2</c:v>
                </c:pt>
                <c:pt idx="156">
                  <c:v>-2.7072977919262442E-5</c:v>
                </c:pt>
                <c:pt idx="157">
                  <c:v>1.957429297003932E-3</c:v>
                </c:pt>
                <c:pt idx="158">
                  <c:v>-1.0430036343002103E-3</c:v>
                </c:pt>
                <c:pt idx="159">
                  <c:v>-1.6821792863924379E-2</c:v>
                </c:pt>
                <c:pt idx="160">
                  <c:v>-3.078573786728267E-3</c:v>
                </c:pt>
                <c:pt idx="161">
                  <c:v>8.03342523063999E-3</c:v>
                </c:pt>
                <c:pt idx="162">
                  <c:v>1.1145119253597402E-2</c:v>
                </c:pt>
                <c:pt idx="163">
                  <c:v>-2.2818897339329514E-2</c:v>
                </c:pt>
                <c:pt idx="164">
                  <c:v>8.0656110164443184E-3</c:v>
                </c:pt>
                <c:pt idx="165">
                  <c:v>-4.4087008625003365E-3</c:v>
                </c:pt>
                <c:pt idx="166">
                  <c:v>-3.5806770433600699E-3</c:v>
                </c:pt>
                <c:pt idx="167">
                  <c:v>8.4782156957816657E-3</c:v>
                </c:pt>
                <c:pt idx="168">
                  <c:v>2.8847342610271998E-3</c:v>
                </c:pt>
                <c:pt idx="169">
                  <c:v>-1.3697316695659989E-4</c:v>
                </c:pt>
                <c:pt idx="170">
                  <c:v>-4.8029371070043014E-3</c:v>
                </c:pt>
                <c:pt idx="171">
                  <c:v>-2.2247489207999238E-2</c:v>
                </c:pt>
                <c:pt idx="172">
                  <c:v>-1.7851561730081178E-3</c:v>
                </c:pt>
                <c:pt idx="173">
                  <c:v>-1.1201155374777505E-2</c:v>
                </c:pt>
                <c:pt idx="174">
                  <c:v>2.9097465097305264E-3</c:v>
                </c:pt>
                <c:pt idx="175">
                  <c:v>-7.0427743297132306E-3</c:v>
                </c:pt>
                <c:pt idx="176">
                  <c:v>1.3062534017016514E-3</c:v>
                </c:pt>
                <c:pt idx="177">
                  <c:v>6.8002494664507473E-3</c:v>
                </c:pt>
                <c:pt idx="178">
                  <c:v>1.0973991469724886E-2</c:v>
                </c:pt>
                <c:pt idx="179">
                  <c:v>2.2822772179826867E-3</c:v>
                </c:pt>
                <c:pt idx="180">
                  <c:v>-7.1929937716805892E-3</c:v>
                </c:pt>
                <c:pt idx="181">
                  <c:v>6.5728521715551214E-3</c:v>
                </c:pt>
                <c:pt idx="182">
                  <c:v>7.2398901108150504E-4</c:v>
                </c:pt>
                <c:pt idx="183">
                  <c:v>-1.135952576573751E-2</c:v>
                </c:pt>
                <c:pt idx="184">
                  <c:v>-5.2784443196449704E-3</c:v>
                </c:pt>
                <c:pt idx="185">
                  <c:v>1.7450563864216395E-2</c:v>
                </c:pt>
                <c:pt idx="186">
                  <c:v>-2.0262033209557107E-3</c:v>
                </c:pt>
                <c:pt idx="187">
                  <c:v>4.6728184621260827E-3</c:v>
                </c:pt>
                <c:pt idx="188">
                  <c:v>-5.6209924922993038E-3</c:v>
                </c:pt>
                <c:pt idx="189">
                  <c:v>5.762392657868487E-3</c:v>
                </c:pt>
                <c:pt idx="190">
                  <c:v>6.1178574922093887E-3</c:v>
                </c:pt>
                <c:pt idx="191">
                  <c:v>1.1525192086534686E-2</c:v>
                </c:pt>
                <c:pt idx="192">
                  <c:v>4.5421716193911887E-3</c:v>
                </c:pt>
                <c:pt idx="193">
                  <c:v>-2.0585187959440976E-3</c:v>
                </c:pt>
                <c:pt idx="194">
                  <c:v>-4.7994214396073209E-3</c:v>
                </c:pt>
                <c:pt idx="195">
                  <c:v>-1.6576197659183278E-2</c:v>
                </c:pt>
                <c:pt idx="196">
                  <c:v>9.4270439723458388E-3</c:v>
                </c:pt>
                <c:pt idx="197">
                  <c:v>-3.6269056505414676E-3</c:v>
                </c:pt>
                <c:pt idx="198">
                  <c:v>6.6707483371830634E-3</c:v>
                </c:pt>
                <c:pt idx="199">
                  <c:v>-5.8856540982563654E-3</c:v>
                </c:pt>
                <c:pt idx="200">
                  <c:v>-1.2063470875811388E-2</c:v>
                </c:pt>
                <c:pt idx="201">
                  <c:v>1.371389967910841E-2</c:v>
                </c:pt>
                <c:pt idx="202">
                  <c:v>7.8665600390968038E-3</c:v>
                </c:pt>
                <c:pt idx="203">
                  <c:v>-4.6246883308307951E-2</c:v>
                </c:pt>
                <c:pt idx="204">
                  <c:v>-2.0997807492655562E-2</c:v>
                </c:pt>
                <c:pt idx="205">
                  <c:v>6.0488035171579746E-3</c:v>
                </c:pt>
                <c:pt idx="206">
                  <c:v>1.004809948381058E-2</c:v>
                </c:pt>
                <c:pt idx="207">
                  <c:v>2.1284256619025221E-3</c:v>
                </c:pt>
                <c:pt idx="208">
                  <c:v>-5.8240780716216634E-3</c:v>
                </c:pt>
                <c:pt idx="209">
                  <c:v>1.10256507407267E-2</c:v>
                </c:pt>
                <c:pt idx="210">
                  <c:v>-1.0847756650484874E-2</c:v>
                </c:pt>
                <c:pt idx="211">
                  <c:v>2.6549781569031872E-3</c:v>
                </c:pt>
                <c:pt idx="212">
                  <c:v>8.5774909894198448E-3</c:v>
                </c:pt>
                <c:pt idx="213">
                  <c:v>-2.7983434728854339E-3</c:v>
                </c:pt>
                <c:pt idx="214">
                  <c:v>5.4332119530675627E-4</c:v>
                </c:pt>
                <c:pt idx="215">
                  <c:v>1.2787110638691201E-2</c:v>
                </c:pt>
                <c:pt idx="216">
                  <c:v>9.6310978653015855E-3</c:v>
                </c:pt>
                <c:pt idx="217">
                  <c:v>1.3982576861801821E-3</c:v>
                </c:pt>
                <c:pt idx="218">
                  <c:v>7.4610656489151328E-3</c:v>
                </c:pt>
                <c:pt idx="219">
                  <c:v>-6.9326225248632634E-3</c:v>
                </c:pt>
                <c:pt idx="220">
                  <c:v>3.6850534008503466E-3</c:v>
                </c:pt>
                <c:pt idx="221">
                  <c:v>-3.2557734498558366E-3</c:v>
                </c:pt>
                <c:pt idx="222">
                  <c:v>3.8807972403220869E-3</c:v>
                </c:pt>
                <c:pt idx="223">
                  <c:v>1.9432848307556538E-2</c:v>
                </c:pt>
                <c:pt idx="224">
                  <c:v>8.4544355493876289E-4</c:v>
                </c:pt>
                <c:pt idx="225">
                  <c:v>2.5617037668876907E-3</c:v>
                </c:pt>
                <c:pt idx="226">
                  <c:v>-5.3271343530181259E-3</c:v>
                </c:pt>
                <c:pt idx="227">
                  <c:v>-1.0874123944594638E-2</c:v>
                </c:pt>
                <c:pt idx="228">
                  <c:v>-4.1452916349353774E-3</c:v>
                </c:pt>
                <c:pt idx="229">
                  <c:v>-5.85165535458676E-3</c:v>
                </c:pt>
                <c:pt idx="230">
                  <c:v>2.1848161756418571E-2</c:v>
                </c:pt>
                <c:pt idx="231">
                  <c:v>-1.1170303702110473E-2</c:v>
                </c:pt>
                <c:pt idx="232">
                  <c:v>-5.4126104621494697E-3</c:v>
                </c:pt>
                <c:pt idx="233">
                  <c:v>5.7757117303023353E-3</c:v>
                </c:pt>
                <c:pt idx="234">
                  <c:v>1.7673656216721234E-3</c:v>
                </c:pt>
                <c:pt idx="235">
                  <c:v>-1.1381344612644728E-2</c:v>
                </c:pt>
                <c:pt idx="236">
                  <c:v>4.5993188279336294E-3</c:v>
                </c:pt>
                <c:pt idx="237">
                  <c:v>2.2448613632797487E-2</c:v>
                </c:pt>
                <c:pt idx="238">
                  <c:v>-1.3564765589888506E-3</c:v>
                </c:pt>
                <c:pt idx="239">
                  <c:v>-2.4696710672544864E-4</c:v>
                </c:pt>
                <c:pt idx="240">
                  <c:v>-6.1427657816656156E-3</c:v>
                </c:pt>
                <c:pt idx="241">
                  <c:v>-3.7448942674948027E-3</c:v>
                </c:pt>
                <c:pt idx="242">
                  <c:v>-4.4215037548129832E-3</c:v>
                </c:pt>
                <c:pt idx="243">
                  <c:v>5.0453581034799466E-3</c:v>
                </c:pt>
                <c:pt idx="244">
                  <c:v>2.2163488976434387E-4</c:v>
                </c:pt>
                <c:pt idx="245">
                  <c:v>-1.2242614269016849E-3</c:v>
                </c:pt>
                <c:pt idx="246">
                  <c:v>-5.38836136131704E-3</c:v>
                </c:pt>
              </c:numCache>
            </c:numRef>
          </c:val>
          <c:smooth val="0"/>
          <c:extLst>
            <c:ext xmlns:c16="http://schemas.microsoft.com/office/drawing/2014/chart" uri="{C3380CC4-5D6E-409C-BE32-E72D297353CC}">
              <c16:uniqueId val="{00000000-8348-4E45-8F66-CB5F418241D6}"/>
            </c:ext>
          </c:extLst>
        </c:ser>
        <c:ser>
          <c:idx val="1"/>
          <c:order val="1"/>
          <c:tx>
            <c:strRef>
              <c:f>Sheet3!$G$5</c:f>
              <c:strCache>
                <c:ptCount val="1"/>
                <c:pt idx="0">
                  <c:v>-</c:v>
                </c:pt>
              </c:strCache>
            </c:strRef>
          </c:tx>
          <c:spPr>
            <a:ln w="28575" cap="rnd">
              <a:solidFill>
                <a:srgbClr val="FF0000"/>
              </a:solidFill>
              <a:round/>
            </a:ln>
            <a:effectLst/>
          </c:spPr>
          <c:marker>
            <c:symbol val="none"/>
          </c:marker>
          <c:val>
            <c:numRef>
              <c:f>Sheet3!$G$6:$G$252</c:f>
              <c:numCache>
                <c:formatCode>0.0%</c:formatCode>
                <c:ptCount val="247"/>
                <c:pt idx="0">
                  <c:v>5.4601025495126798E-4</c:v>
                </c:pt>
                <c:pt idx="1">
                  <c:v>4.9344099825623378E-3</c:v>
                </c:pt>
                <c:pt idx="2">
                  <c:v>-1.2999496498375174E-2</c:v>
                </c:pt>
                <c:pt idx="3">
                  <c:v>-2.7235205086152403E-3</c:v>
                </c:pt>
                <c:pt idx="4">
                  <c:v>1.8178205599728159E-4</c:v>
                </c:pt>
                <c:pt idx="5">
                  <c:v>-1.7329557462276712E-3</c:v>
                </c:pt>
                <c:pt idx="6">
                  <c:v>1.3527817766110228E-3</c:v>
                </c:pt>
                <c:pt idx="7">
                  <c:v>-2.7272784931897665E-4</c:v>
                </c:pt>
                <c:pt idx="8">
                  <c:v>1.949795926998954E-3</c:v>
                </c:pt>
                <c:pt idx="9">
                  <c:v>-1.169289477238955E-2</c:v>
                </c:pt>
                <c:pt idx="10">
                  <c:v>-1.411633052288086E-3</c:v>
                </c:pt>
                <c:pt idx="11">
                  <c:v>1.8661608114784123E-2</c:v>
                </c:pt>
                <c:pt idx="12">
                  <c:v>1.51285803362049E-2</c:v>
                </c:pt>
                <c:pt idx="13">
                  <c:v>6.2251433747722018E-3</c:v>
                </c:pt>
                <c:pt idx="14">
                  <c:v>1.7676087747386937E-4</c:v>
                </c:pt>
                <c:pt idx="15">
                  <c:v>-1.2253939940692904E-2</c:v>
                </c:pt>
                <c:pt idx="16">
                  <c:v>3.5992476948170093E-3</c:v>
                </c:pt>
                <c:pt idx="17">
                  <c:v>-5.0478247710339375E-3</c:v>
                </c:pt>
                <c:pt idx="18">
                  <c:v>7.5049327952230183E-3</c:v>
                </c:pt>
                <c:pt idx="19">
                  <c:v>-7.5255452866593853E-3</c:v>
                </c:pt>
                <c:pt idx="20">
                  <c:v>4.0423909283746617E-3</c:v>
                </c:pt>
                <c:pt idx="21">
                  <c:v>-8.0833613501184454E-3</c:v>
                </c:pt>
                <c:pt idx="22">
                  <c:v>1.1511447634629635E-2</c:v>
                </c:pt>
                <c:pt idx="23">
                  <c:v>8.4825870132234638E-3</c:v>
                </c:pt>
                <c:pt idx="24">
                  <c:v>8.1425541777251365E-3</c:v>
                </c:pt>
                <c:pt idx="25">
                  <c:v>-8.6159192077016611E-3</c:v>
                </c:pt>
                <c:pt idx="26">
                  <c:v>-4.6378286753245845E-4</c:v>
                </c:pt>
                <c:pt idx="27">
                  <c:v>-6.4384863808356618E-3</c:v>
                </c:pt>
                <c:pt idx="28">
                  <c:v>1.4278777108496232E-3</c:v>
                </c:pt>
                <c:pt idx="29">
                  <c:v>-1.6039172475269536E-2</c:v>
                </c:pt>
                <c:pt idx="30">
                  <c:v>8.721765407788018E-3</c:v>
                </c:pt>
                <c:pt idx="31">
                  <c:v>-1.1455015675284619E-2</c:v>
                </c:pt>
                <c:pt idx="32">
                  <c:v>9.3480153606084748E-3</c:v>
                </c:pt>
                <c:pt idx="33">
                  <c:v>-3.6408186737285408E-2</c:v>
                </c:pt>
                <c:pt idx="34">
                  <c:v>-6.7203923256060616E-3</c:v>
                </c:pt>
                <c:pt idx="35">
                  <c:v>-1.1108813253077665E-2</c:v>
                </c:pt>
                <c:pt idx="36">
                  <c:v>-1.4837252510664367E-3</c:v>
                </c:pt>
                <c:pt idx="37">
                  <c:v>-1.5344321278340733E-2</c:v>
                </c:pt>
                <c:pt idx="38">
                  <c:v>2.1861593988733219E-2</c:v>
                </c:pt>
                <c:pt idx="39">
                  <c:v>2.1334729793686336E-2</c:v>
                </c:pt>
                <c:pt idx="40">
                  <c:v>-1.6907336810196294E-2</c:v>
                </c:pt>
                <c:pt idx="41">
                  <c:v>-1.7446884656343253E-2</c:v>
                </c:pt>
                <c:pt idx="42">
                  <c:v>2.6733858519543352E-2</c:v>
                </c:pt>
                <c:pt idx="43">
                  <c:v>-4.8605853468601801E-3</c:v>
                </c:pt>
                <c:pt idx="44">
                  <c:v>3.3720760885395329E-2</c:v>
                </c:pt>
                <c:pt idx="45">
                  <c:v>-8.2703193735331748E-3</c:v>
                </c:pt>
                <c:pt idx="46">
                  <c:v>-7.3088038539257383E-3</c:v>
                </c:pt>
                <c:pt idx="47">
                  <c:v>-1.1008680496223722E-2</c:v>
                </c:pt>
                <c:pt idx="48">
                  <c:v>2.1081071741731572E-2</c:v>
                </c:pt>
                <c:pt idx="49">
                  <c:v>9.6323260354114204E-3</c:v>
                </c:pt>
                <c:pt idx="50">
                  <c:v>1.6539677418679011E-2</c:v>
                </c:pt>
                <c:pt idx="51">
                  <c:v>-9.6263230784449094E-3</c:v>
                </c:pt>
                <c:pt idx="52">
                  <c:v>1.757945401312222E-2</c:v>
                </c:pt>
                <c:pt idx="53">
                  <c:v>1.2901603037980935E-2</c:v>
                </c:pt>
                <c:pt idx="54">
                  <c:v>-1.1523909892230955E-2</c:v>
                </c:pt>
                <c:pt idx="55">
                  <c:v>1.5734972733400188E-2</c:v>
                </c:pt>
                <c:pt idx="56">
                  <c:v>1.2585609896363259E-2</c:v>
                </c:pt>
                <c:pt idx="57">
                  <c:v>1.262577620325156E-2</c:v>
                </c:pt>
                <c:pt idx="58">
                  <c:v>-5.5105494664964283E-4</c:v>
                </c:pt>
                <c:pt idx="59">
                  <c:v>-2.2701854213675876E-3</c:v>
                </c:pt>
                <c:pt idx="60">
                  <c:v>1.1341355731544045E-2</c:v>
                </c:pt>
                <c:pt idx="61">
                  <c:v>-5.5127756387819415E-3</c:v>
                </c:pt>
                <c:pt idx="62">
                  <c:v>-4.5715403040524905E-3</c:v>
                </c:pt>
                <c:pt idx="63">
                  <c:v>1.4339395820360812E-2</c:v>
                </c:pt>
                <c:pt idx="64">
                  <c:v>-3.638743810359224E-3</c:v>
                </c:pt>
                <c:pt idx="65">
                  <c:v>-1.6578945322521799E-3</c:v>
                </c:pt>
                <c:pt idx="66">
                  <c:v>-8.2409399304981257E-3</c:v>
                </c:pt>
                <c:pt idx="67">
                  <c:v>1.3195346883330572E-2</c:v>
                </c:pt>
                <c:pt idx="68">
                  <c:v>5.6825227068413309E-3</c:v>
                </c:pt>
                <c:pt idx="69">
                  <c:v>-7.2050967390180354E-4</c:v>
                </c:pt>
                <c:pt idx="70">
                  <c:v>-2.6161406431041145E-3</c:v>
                </c:pt>
                <c:pt idx="71">
                  <c:v>-6.7111758861573279E-3</c:v>
                </c:pt>
                <c:pt idx="72">
                  <c:v>-1.9810303693124087E-3</c:v>
                </c:pt>
                <c:pt idx="73">
                  <c:v>5.1944405447144071E-3</c:v>
                </c:pt>
                <c:pt idx="74">
                  <c:v>-1.8796554934823462E-3</c:v>
                </c:pt>
                <c:pt idx="75">
                  <c:v>-2.4843018476302547E-2</c:v>
                </c:pt>
                <c:pt idx="76">
                  <c:v>9.2572663063408278E-3</c:v>
                </c:pt>
                <c:pt idx="77">
                  <c:v>3.8802321425397412E-3</c:v>
                </c:pt>
                <c:pt idx="78">
                  <c:v>-2.9958023360571184E-3</c:v>
                </c:pt>
                <c:pt idx="79">
                  <c:v>-6.6034664746327243E-3</c:v>
                </c:pt>
                <c:pt idx="80">
                  <c:v>-5.0346767082151134E-3</c:v>
                </c:pt>
                <c:pt idx="81">
                  <c:v>9.6312575727635075E-3</c:v>
                </c:pt>
                <c:pt idx="82">
                  <c:v>-5.235291559080979E-3</c:v>
                </c:pt>
                <c:pt idx="83">
                  <c:v>2.9812183245552237E-3</c:v>
                </c:pt>
                <c:pt idx="84">
                  <c:v>1.3989893985930868E-2</c:v>
                </c:pt>
                <c:pt idx="85">
                  <c:v>4.2543628226925367E-3</c:v>
                </c:pt>
                <c:pt idx="86">
                  <c:v>-1.1189230317171228E-3</c:v>
                </c:pt>
                <c:pt idx="87">
                  <c:v>2.5988093011657387E-3</c:v>
                </c:pt>
                <c:pt idx="88">
                  <c:v>2.2520334365758732E-3</c:v>
                </c:pt>
                <c:pt idx="89">
                  <c:v>-4.1469159856922788E-3</c:v>
                </c:pt>
                <c:pt idx="90">
                  <c:v>7.5360253549972001E-3</c:v>
                </c:pt>
                <c:pt idx="91">
                  <c:v>1.0198304662275337E-2</c:v>
                </c:pt>
                <c:pt idx="92">
                  <c:v>1.45175635741146E-3</c:v>
                </c:pt>
                <c:pt idx="93">
                  <c:v>2.7350479588366117E-3</c:v>
                </c:pt>
                <c:pt idx="94">
                  <c:v>2.9809183133144845E-3</c:v>
                </c:pt>
                <c:pt idx="95">
                  <c:v>-6.9126480569571269E-3</c:v>
                </c:pt>
                <c:pt idx="96">
                  <c:v>-6.4826908330162247E-4</c:v>
                </c:pt>
                <c:pt idx="97">
                  <c:v>-7.300150021431584E-3</c:v>
                </c:pt>
                <c:pt idx="98">
                  <c:v>1.2529468345734429E-4</c:v>
                </c:pt>
                <c:pt idx="99">
                  <c:v>3.8624475273782988E-3</c:v>
                </c:pt>
                <c:pt idx="100">
                  <c:v>3.8322268002441984E-3</c:v>
                </c:pt>
                <c:pt idx="101">
                  <c:v>1.34074921295535E-3</c:v>
                </c:pt>
                <c:pt idx="102">
                  <c:v>-1.8145596445751089E-4</c:v>
                </c:pt>
                <c:pt idx="103">
                  <c:v>-7.8708868884779237E-3</c:v>
                </c:pt>
                <c:pt idx="104">
                  <c:v>-5.8094306488385428E-3</c:v>
                </c:pt>
                <c:pt idx="105">
                  <c:v>1.1620902905429276E-4</c:v>
                </c:pt>
                <c:pt idx="106">
                  <c:v>1.6093080362762358E-3</c:v>
                </c:pt>
                <c:pt idx="107">
                  <c:v>6.4655589112183609E-3</c:v>
                </c:pt>
                <c:pt idx="108">
                  <c:v>7.5497650543865369E-4</c:v>
                </c:pt>
                <c:pt idx="109">
                  <c:v>-5.697404110654114E-3</c:v>
                </c:pt>
                <c:pt idx="110">
                  <c:v>-5.4269447517332203E-3</c:v>
                </c:pt>
                <c:pt idx="111">
                  <c:v>3.1698889665348062E-3</c:v>
                </c:pt>
                <c:pt idx="112">
                  <c:v>4.6788559442560995E-3</c:v>
                </c:pt>
                <c:pt idx="113">
                  <c:v>8.7016646411575138E-3</c:v>
                </c:pt>
                <c:pt idx="114">
                  <c:v>-5.8312600600692877E-3</c:v>
                </c:pt>
                <c:pt idx="115">
                  <c:v>-1.8341575839054824E-3</c:v>
                </c:pt>
                <c:pt idx="116">
                  <c:v>1.7778803971368884E-3</c:v>
                </c:pt>
                <c:pt idx="117">
                  <c:v>5.5143245672666374E-3</c:v>
                </c:pt>
                <c:pt idx="118">
                  <c:v>1.0391297288521173E-3</c:v>
                </c:pt>
                <c:pt idx="119">
                  <c:v>4.8086188768814431E-4</c:v>
                </c:pt>
                <c:pt idx="120">
                  <c:v>-3.9098931740899623E-4</c:v>
                </c:pt>
                <c:pt idx="121">
                  <c:v>-1.2230350348975239E-2</c:v>
                </c:pt>
                <c:pt idx="122">
                  <c:v>2.8858635183584003E-3</c:v>
                </c:pt>
                <c:pt idx="123">
                  <c:v>4.1853656657486749E-3</c:v>
                </c:pt>
                <c:pt idx="124">
                  <c:v>4.7567625627442656E-3</c:v>
                </c:pt>
                <c:pt idx="125">
                  <c:v>-5.3260232550592645E-3</c:v>
                </c:pt>
                <c:pt idx="126">
                  <c:v>-5.4735314833617155E-3</c:v>
                </c:pt>
                <c:pt idx="127">
                  <c:v>3.9907294659795589E-3</c:v>
                </c:pt>
                <c:pt idx="128">
                  <c:v>-3.9748668477268545E-3</c:v>
                </c:pt>
                <c:pt idx="129">
                  <c:v>-1.1925874322896712E-3</c:v>
                </c:pt>
                <c:pt idx="130">
                  <c:v>-1.2944783735180376E-4</c:v>
                </c:pt>
                <c:pt idx="131">
                  <c:v>-6.989155890832266E-3</c:v>
                </c:pt>
                <c:pt idx="132">
                  <c:v>-4.6935292732619427E-3</c:v>
                </c:pt>
                <c:pt idx="133">
                  <c:v>-3.2082926838804537E-3</c:v>
                </c:pt>
                <c:pt idx="134">
                  <c:v>6.8255904724168204E-4</c:v>
                </c:pt>
                <c:pt idx="135">
                  <c:v>3.4477081267125786E-3</c:v>
                </c:pt>
                <c:pt idx="136">
                  <c:v>6.4732504741644714E-3</c:v>
                </c:pt>
                <c:pt idx="137">
                  <c:v>-1.6011116566750916E-3</c:v>
                </c:pt>
                <c:pt idx="138">
                  <c:v>6.0551043655066028E-3</c:v>
                </c:pt>
                <c:pt idx="139">
                  <c:v>6.803115405646265E-3</c:v>
                </c:pt>
                <c:pt idx="140">
                  <c:v>-4.5175578320328924E-3</c:v>
                </c:pt>
                <c:pt idx="141">
                  <c:v>1.1509010572094969E-3</c:v>
                </c:pt>
                <c:pt idx="142">
                  <c:v>-6.581671066642758E-3</c:v>
                </c:pt>
                <c:pt idx="143">
                  <c:v>3.7313215856469295E-3</c:v>
                </c:pt>
                <c:pt idx="144">
                  <c:v>-8.8060128073430555E-4</c:v>
                </c:pt>
                <c:pt idx="145">
                  <c:v>-9.8381821977211459E-4</c:v>
                </c:pt>
                <c:pt idx="146">
                  <c:v>-5.1580399448211134E-3</c:v>
                </c:pt>
                <c:pt idx="147">
                  <c:v>-4.8444467781803002E-3</c:v>
                </c:pt>
                <c:pt idx="148">
                  <c:v>-1.0230483910683041E-2</c:v>
                </c:pt>
                <c:pt idx="149">
                  <c:v>-7.0310047366975992E-3</c:v>
                </c:pt>
                <c:pt idx="150">
                  <c:v>3.2550555765444855E-3</c:v>
                </c:pt>
                <c:pt idx="151">
                  <c:v>2.2990920568350948E-3</c:v>
                </c:pt>
                <c:pt idx="152">
                  <c:v>-4.0952567395744488E-3</c:v>
                </c:pt>
                <c:pt idx="153">
                  <c:v>-5.38682699409887E-3</c:v>
                </c:pt>
                <c:pt idx="154">
                  <c:v>2.481419299972254E-3</c:v>
                </c:pt>
                <c:pt idx="155">
                  <c:v>-1.2207118761524693E-3</c:v>
                </c:pt>
                <c:pt idx="156">
                  <c:v>-7.3132849369857977E-3</c:v>
                </c:pt>
                <c:pt idx="157">
                  <c:v>-2.3278467919298773E-3</c:v>
                </c:pt>
                <c:pt idx="158">
                  <c:v>-9.0673731594480556E-3</c:v>
                </c:pt>
                <c:pt idx="159">
                  <c:v>9.6704332597896681E-4</c:v>
                </c:pt>
                <c:pt idx="160">
                  <c:v>8.0373778663589412E-4</c:v>
                </c:pt>
                <c:pt idx="161">
                  <c:v>9.5782954162897394E-3</c:v>
                </c:pt>
                <c:pt idx="162">
                  <c:v>6.671126136712946E-3</c:v>
                </c:pt>
                <c:pt idx="163">
                  <c:v>4.4937721745306192E-3</c:v>
                </c:pt>
                <c:pt idx="164">
                  <c:v>1.3051510757067231E-3</c:v>
                </c:pt>
                <c:pt idx="165">
                  <c:v>4.9479512823209504E-3</c:v>
                </c:pt>
                <c:pt idx="166">
                  <c:v>3.8121297190158998E-3</c:v>
                </c:pt>
                <c:pt idx="167">
                  <c:v>-3.6717852703785914E-3</c:v>
                </c:pt>
                <c:pt idx="168">
                  <c:v>-3.5984642867717964E-3</c:v>
                </c:pt>
                <c:pt idx="169">
                  <c:v>-6.7316187978175845E-3</c:v>
                </c:pt>
                <c:pt idx="170">
                  <c:v>1.7870534360888701E-3</c:v>
                </c:pt>
                <c:pt idx="171">
                  <c:v>-4.3202994345783452E-3</c:v>
                </c:pt>
                <c:pt idx="172">
                  <c:v>-1.2957149427126335E-3</c:v>
                </c:pt>
                <c:pt idx="173">
                  <c:v>-4.1845025247165824E-3</c:v>
                </c:pt>
                <c:pt idx="174">
                  <c:v>-3.838173439598358E-3</c:v>
                </c:pt>
                <c:pt idx="175">
                  <c:v>-1.2977760196019039E-3</c:v>
                </c:pt>
                <c:pt idx="176">
                  <c:v>-2.7080554545089175E-4</c:v>
                </c:pt>
                <c:pt idx="177">
                  <c:v>-7.7827146917441858E-4</c:v>
                </c:pt>
                <c:pt idx="178">
                  <c:v>-5.4804663555202415E-3</c:v>
                </c:pt>
                <c:pt idx="179">
                  <c:v>1.8490943709417174E-3</c:v>
                </c:pt>
                <c:pt idx="180">
                  <c:v>-8.0487146218992667E-3</c:v>
                </c:pt>
                <c:pt idx="181">
                  <c:v>3.0315001729654956E-3</c:v>
                </c:pt>
                <c:pt idx="182">
                  <c:v>8.6180507654820548E-3</c:v>
                </c:pt>
                <c:pt idx="183">
                  <c:v>1.0347178805481638E-2</c:v>
                </c:pt>
                <c:pt idx="184">
                  <c:v>-3.9110452483704927E-3</c:v>
                </c:pt>
                <c:pt idx="185">
                  <c:v>8.5906369495900581E-3</c:v>
                </c:pt>
                <c:pt idx="186">
                  <c:v>-1.3235660537200822E-3</c:v>
                </c:pt>
                <c:pt idx="187">
                  <c:v>-2.7903578963335285E-3</c:v>
                </c:pt>
                <c:pt idx="188">
                  <c:v>-4.1512130388920987E-3</c:v>
                </c:pt>
                <c:pt idx="189">
                  <c:v>-9.8746027949568882E-3</c:v>
                </c:pt>
                <c:pt idx="190">
                  <c:v>-4.8515506692703436E-4</c:v>
                </c:pt>
                <c:pt idx="191">
                  <c:v>-5.3596053510753805E-3</c:v>
                </c:pt>
                <c:pt idx="192">
                  <c:v>3.987765136355792E-3</c:v>
                </c:pt>
                <c:pt idx="193">
                  <c:v>-9.0197091321758682E-3</c:v>
                </c:pt>
                <c:pt idx="194">
                  <c:v>9.5574080686935403E-3</c:v>
                </c:pt>
                <c:pt idx="195">
                  <c:v>-8.9241608950996199E-4</c:v>
                </c:pt>
                <c:pt idx="196">
                  <c:v>3.0662239259060531E-3</c:v>
                </c:pt>
                <c:pt idx="197">
                  <c:v>2.9696282487916559E-3</c:v>
                </c:pt>
                <c:pt idx="198">
                  <c:v>-6.366605656733193E-3</c:v>
                </c:pt>
                <c:pt idx="199">
                  <c:v>8.2636722049553857E-3</c:v>
                </c:pt>
                <c:pt idx="200">
                  <c:v>3.5004350309972843E-3</c:v>
                </c:pt>
                <c:pt idx="201">
                  <c:v>-1.3659196018516173E-3</c:v>
                </c:pt>
                <c:pt idx="202">
                  <c:v>-5.6484200941939733E-3</c:v>
                </c:pt>
                <c:pt idx="203">
                  <c:v>6.3247288388996736E-3</c:v>
                </c:pt>
                <c:pt idx="204">
                  <c:v>9.0630913556386528E-3</c:v>
                </c:pt>
                <c:pt idx="205">
                  <c:v>6.2963598421521549E-3</c:v>
                </c:pt>
                <c:pt idx="206">
                  <c:v>-6.3045452202427077E-3</c:v>
                </c:pt>
                <c:pt idx="207">
                  <c:v>1.1891033442532617E-3</c:v>
                </c:pt>
                <c:pt idx="208">
                  <c:v>-4.8743159816186932E-3</c:v>
                </c:pt>
                <c:pt idx="209">
                  <c:v>5.7292417615866231E-3</c:v>
                </c:pt>
                <c:pt idx="210">
                  <c:v>4.0061406250933018E-3</c:v>
                </c:pt>
                <c:pt idx="211">
                  <c:v>-6.4453307049605613E-4</c:v>
                </c:pt>
                <c:pt idx="212">
                  <c:v>-4.5047190404750026E-3</c:v>
                </c:pt>
                <c:pt idx="213">
                  <c:v>2.6931342022062932E-3</c:v>
                </c:pt>
                <c:pt idx="214">
                  <c:v>8.1670467219487897E-3</c:v>
                </c:pt>
                <c:pt idx="215">
                  <c:v>4.7662712850395916E-3</c:v>
                </c:pt>
                <c:pt idx="216">
                  <c:v>1.8213148794361533E-3</c:v>
                </c:pt>
                <c:pt idx="217">
                  <c:v>-2.3978842198061345E-3</c:v>
                </c:pt>
                <c:pt idx="218">
                  <c:v>-1.1782587691855362E-5</c:v>
                </c:pt>
                <c:pt idx="219">
                  <c:v>-2.1876595577550173E-3</c:v>
                </c:pt>
                <c:pt idx="220">
                  <c:v>1.8933057275452025E-3</c:v>
                </c:pt>
                <c:pt idx="221">
                  <c:v>3.4730134284612912E-3</c:v>
                </c:pt>
                <c:pt idx="222">
                  <c:v>-9.6899983556364422E-4</c:v>
                </c:pt>
                <c:pt idx="223">
                  <c:v>4.7321300855702741E-3</c:v>
                </c:pt>
                <c:pt idx="224">
                  <c:v>-3.4636357253742256E-3</c:v>
                </c:pt>
                <c:pt idx="225">
                  <c:v>-1.1908489569063319E-2</c:v>
                </c:pt>
                <c:pt idx="226">
                  <c:v>-7.9382841977044816E-3</c:v>
                </c:pt>
                <c:pt idx="227">
                  <c:v>-2.8928680520754479E-3</c:v>
                </c:pt>
                <c:pt idx="228">
                  <c:v>5.6263239881626514E-3</c:v>
                </c:pt>
                <c:pt idx="229">
                  <c:v>-1.2708860961118895E-2</c:v>
                </c:pt>
                <c:pt idx="230">
                  <c:v>7.5827090034574773E-4</c:v>
                </c:pt>
                <c:pt idx="231">
                  <c:v>1.6665289647570525E-3</c:v>
                </c:pt>
                <c:pt idx="232">
                  <c:v>3.7459663466568038E-3</c:v>
                </c:pt>
                <c:pt idx="233">
                  <c:v>-9.1355500771651554E-3</c:v>
                </c:pt>
                <c:pt idx="234">
                  <c:v>6.8612300049355479E-3</c:v>
                </c:pt>
                <c:pt idx="235">
                  <c:v>1.0173495873546434E-2</c:v>
                </c:pt>
                <c:pt idx="236">
                  <c:v>-1.477642454278616E-3</c:v>
                </c:pt>
                <c:pt idx="237">
                  <c:v>-4.1825587300925449E-5</c:v>
                </c:pt>
                <c:pt idx="238">
                  <c:v>-3.9895312151438933E-3</c:v>
                </c:pt>
                <c:pt idx="239">
                  <c:v>-1.0084769658101678E-2</c:v>
                </c:pt>
                <c:pt idx="240">
                  <c:v>-5.280616058406018E-3</c:v>
                </c:pt>
                <c:pt idx="241">
                  <c:v>-3.1559451182362475E-3</c:v>
                </c:pt>
                <c:pt idx="242">
                  <c:v>7.0938168483243302E-3</c:v>
                </c:pt>
                <c:pt idx="243">
                  <c:v>1.3796395944427609E-3</c:v>
                </c:pt>
                <c:pt idx="244">
                  <c:v>3.3494002189835559E-3</c:v>
                </c:pt>
                <c:pt idx="245">
                  <c:v>-3.2677501449648316E-3</c:v>
                </c:pt>
                <c:pt idx="246">
                  <c:v>2.9795030390931121E-3</c:v>
                </c:pt>
              </c:numCache>
            </c:numRef>
          </c:val>
          <c:smooth val="0"/>
          <c:extLst>
            <c:ext xmlns:c16="http://schemas.microsoft.com/office/drawing/2014/chart" uri="{C3380CC4-5D6E-409C-BE32-E72D297353CC}">
              <c16:uniqueId val="{00000001-8348-4E45-8F66-CB5F418241D6}"/>
            </c:ext>
          </c:extLst>
        </c:ser>
        <c:dLbls>
          <c:showLegendKey val="0"/>
          <c:showVal val="0"/>
          <c:showCatName val="0"/>
          <c:showSerName val="0"/>
          <c:showPercent val="0"/>
          <c:showBubbleSize val="0"/>
        </c:dLbls>
        <c:smooth val="0"/>
        <c:axId val="366517071"/>
        <c:axId val="366518511"/>
      </c:lineChart>
      <c:catAx>
        <c:axId val="366517071"/>
        <c:scaling>
          <c:orientation val="minMax"/>
        </c:scaling>
        <c:delete val="1"/>
        <c:axPos val="b"/>
        <c:majorTickMark val="none"/>
        <c:minorTickMark val="none"/>
        <c:tickLblPos val="nextTo"/>
        <c:crossAx val="366518511"/>
        <c:crosses val="autoZero"/>
        <c:auto val="1"/>
        <c:lblAlgn val="ctr"/>
        <c:lblOffset val="100"/>
        <c:noMultiLvlLbl val="0"/>
      </c:catAx>
      <c:valAx>
        <c:axId val="366518511"/>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6651707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
    <cx:title pos="t" align="ctr" overlay="0">
      <cx:tx>
        <cx:txData>
          <cx:v>Revenue-NeProfit</cx:v>
        </cx:txData>
      </cx:tx>
      <cx:txPr>
        <a:bodyPr spcFirstLastPara="1" vertOverflow="ellipsis" horzOverflow="overflow" wrap="square" lIns="0" tIns="0" rIns="0" bIns="0" anchor="ctr" anchorCtr="1"/>
        <a:lstStyle/>
        <a:p>
          <a:pPr algn="ctr" rtl="0">
            <a:defRPr>
              <a:solidFill>
                <a:schemeClr val="bg1"/>
              </a:solidFill>
              <a:effectLst/>
            </a:defRPr>
          </a:pPr>
          <a:r>
            <a:rPr lang="en-US" sz="1400" b="0" i="0" u="none" strike="noStrike" baseline="0">
              <a:solidFill>
                <a:schemeClr val="bg1"/>
              </a:solidFill>
              <a:effectLst/>
              <a:latin typeface="Calibri" panose="020F0502020204030204"/>
            </a:rPr>
            <a:t>Revenue-NeProfit</a:t>
          </a:r>
        </a:p>
      </cx:txPr>
    </cx:title>
    <cx:plotArea>
      <cx:plotAreaRegion/>
    </cx:plotArea>
  </cx:chart>
  <cx:spPr>
    <a:noFill/>
    <a:ln>
      <a:noFill/>
    </a:ln>
    <a:effectLst>
      <a:glow rad="63500">
        <a:schemeClr val="bg1">
          <a:alpha val="40000"/>
        </a:schemeClr>
      </a:glow>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Revenue-Net Profit</cx:v>
        </cx:txData>
      </cx:tx>
      <cx:txPr>
        <a:bodyPr spcFirstLastPara="1" vertOverflow="ellipsis" horzOverflow="overflow" wrap="square" lIns="0" tIns="0" rIns="0" bIns="0" anchor="ctr" anchorCtr="1"/>
        <a:lstStyle/>
        <a:p>
          <a:pPr algn="ctr" rtl="0">
            <a:defRPr>
              <a:solidFill>
                <a:schemeClr val="bg1"/>
              </a:solidFill>
            </a:defRPr>
          </a:pPr>
          <a:r>
            <a:rPr lang="en-US" sz="1400" b="0" i="0" u="none" strike="noStrike" baseline="0">
              <a:solidFill>
                <a:schemeClr val="bg1"/>
              </a:solidFill>
              <a:latin typeface="Calibri" panose="020F0502020204030204"/>
            </a:rPr>
            <a:t>Revenue-Net Profit</a:t>
          </a:r>
        </a:p>
      </cx:txPr>
    </cx:title>
    <cx:plotArea>
      <cx:plotAreaRegion>
        <cx:series layoutId="waterfall" uniqueId="{450E328D-1EC1-45D4-AAAE-6636DF2D64F2}">
          <cx:dataPt idx="0">
            <cx:spPr>
              <a:solidFill>
                <a:srgbClr val="E7E6E6"/>
              </a:solidFill>
            </cx:spPr>
          </cx:dataPt>
          <cx:dataPt idx="1">
            <cx:spPr>
              <a:solidFill>
                <a:srgbClr val="FFFF00"/>
              </a:solidFill>
            </cx:spPr>
          </cx:dataPt>
          <cx:dataPt idx="2">
            <cx:spPr>
              <a:solidFill>
                <a:srgbClr val="E7E6E6"/>
              </a:solidFill>
            </cx:spPr>
          </cx:dataPt>
          <cx:dataPt idx="3">
            <cx:spPr>
              <a:solidFill>
                <a:srgbClr val="FFFF00"/>
              </a:solidFill>
            </cx:spPr>
          </cx:dataPt>
          <cx:dataPt idx="4">
            <cx:spPr>
              <a:solidFill>
                <a:srgbClr val="FFFF00"/>
              </a:solidFill>
            </cx:spPr>
          </cx:dataPt>
          <cx:dataPt idx="5">
            <cx:spPr>
              <a:solidFill>
                <a:srgbClr val="FFFF00"/>
              </a:solidFill>
            </cx:spPr>
          </cx:dataPt>
          <cx:dataPt idx="6">
            <cx:spPr>
              <a:solidFill>
                <a:srgbClr val="E7E6E6"/>
              </a:solidFill>
            </cx:spPr>
          </cx:dataPt>
          <cx:dataLabels pos="outEnd">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visibility seriesName="0" categoryName="0" value="1"/>
          </cx:dataLabels>
          <cx:dataId val="0"/>
          <cx:layoutPr>
            <cx:subtotals>
              <cx:idx val="0"/>
              <cx:idx val="2"/>
              <cx:idx val="6"/>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bg1">
                    <a:lumMod val="95000"/>
                  </a:schemeClr>
                </a:solidFill>
              </a:defRPr>
            </a:pPr>
            <a:endParaRPr lang="en-US" sz="900" b="0" i="0" u="none" strike="noStrike" baseline="0">
              <a:solidFill>
                <a:schemeClr val="bg1">
                  <a:lumMod val="95000"/>
                </a:schemeClr>
              </a:solidFill>
              <a:latin typeface="Calibri" panose="020F0502020204030204"/>
            </a:endParaRPr>
          </a:p>
        </cx:txPr>
      </cx:axis>
      <cx:axis id="1">
        <cx:valScaling/>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1.xml"/><Relationship Id="rId18" Type="http://schemas.openxmlformats.org/officeDocument/2006/relationships/image" Target="../media/image13.svg"/><Relationship Id="rId3" Type="http://schemas.openxmlformats.org/officeDocument/2006/relationships/image" Target="../media/image3.svg"/><Relationship Id="rId21" Type="http://schemas.openxmlformats.org/officeDocument/2006/relationships/image" Target="../media/image16.png"/><Relationship Id="rId7" Type="http://schemas.openxmlformats.org/officeDocument/2006/relationships/image" Target="../media/image7.svg"/><Relationship Id="rId12" Type="http://schemas.microsoft.com/office/2014/relationships/chartEx" Target="../charts/chartEx2.xml"/><Relationship Id="rId17"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chart" Target="../charts/chart4.xml"/><Relationship Id="rId20" Type="http://schemas.openxmlformats.org/officeDocument/2006/relationships/image" Target="../media/image15.svg"/><Relationship Id="rId1" Type="http://schemas.microsoft.com/office/2014/relationships/chartEx" Target="../charts/chartEx1.xml"/><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chart" Target="../charts/chart3.xml"/><Relationship Id="rId10" Type="http://schemas.openxmlformats.org/officeDocument/2006/relationships/image" Target="../media/image10.png"/><Relationship Id="rId19" Type="http://schemas.openxmlformats.org/officeDocument/2006/relationships/image" Target="../media/image14.pn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chart" Target="../charts/chart2.xml"/><Relationship Id="rId22" Type="http://schemas.openxmlformats.org/officeDocument/2006/relationships/image" Target="../media/image17.svg"/></Relationships>
</file>

<file path=xl/drawings/_rels/drawing3.xml.rels><?xml version="1.0" encoding="UTF-8" standalone="yes"?>
<Relationships xmlns="http://schemas.openxmlformats.org/package/2006/relationships"><Relationship Id="rId1" Type="http://schemas.openxmlformats.org/officeDocument/2006/relationships/image" Target="../media/image18.emf"/></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editAs="oneCell">
    <xdr:from>
      <xdr:col>3</xdr:col>
      <xdr:colOff>342901</xdr:colOff>
      <xdr:row>1</xdr:row>
      <xdr:rowOff>99061</xdr:rowOff>
    </xdr:from>
    <xdr:to>
      <xdr:col>5</xdr:col>
      <xdr:colOff>2042161</xdr:colOff>
      <xdr:row>6</xdr:row>
      <xdr:rowOff>164264</xdr:rowOff>
    </xdr:to>
    <xdr:pic>
      <xdr:nvPicPr>
        <xdr:cNvPr id="4" name="Picture 3">
          <a:extLst>
            <a:ext uri="{FF2B5EF4-FFF2-40B4-BE49-F238E27FC236}">
              <a16:creationId xmlns:a16="http://schemas.microsoft.com/office/drawing/2014/main" id="{C91306D0-A85C-10A6-4F36-9C8200DF2A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28161" y="281941"/>
          <a:ext cx="2446020" cy="10100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7619</xdr:colOff>
      <xdr:row>0</xdr:row>
      <xdr:rowOff>15240</xdr:rowOff>
    </xdr:from>
    <xdr:to>
      <xdr:col>24</xdr:col>
      <xdr:colOff>250030</xdr:colOff>
      <xdr:row>31</xdr:row>
      <xdr:rowOff>71438</xdr:rowOff>
    </xdr:to>
    <xdr:sp macro="" textlink="">
      <xdr:nvSpPr>
        <xdr:cNvPr id="3" name="Rectangle 2">
          <a:extLst>
            <a:ext uri="{FF2B5EF4-FFF2-40B4-BE49-F238E27FC236}">
              <a16:creationId xmlns:a16="http://schemas.microsoft.com/office/drawing/2014/main" id="{8F35CCDB-F4B2-04B1-D876-DD143FEBD8DC}"/>
            </a:ext>
          </a:extLst>
        </xdr:cNvPr>
        <xdr:cNvSpPr/>
      </xdr:nvSpPr>
      <xdr:spPr>
        <a:xfrm>
          <a:off x="7619" y="15240"/>
          <a:ext cx="14815661" cy="5592604"/>
        </a:xfrm>
        <a:prstGeom prst="rect">
          <a:avLst/>
        </a:prstGeom>
        <a:solidFill>
          <a:srgbClr val="00006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106679</xdr:colOff>
      <xdr:row>0</xdr:row>
      <xdr:rowOff>68581</xdr:rowOff>
    </xdr:from>
    <xdr:to>
      <xdr:col>24</xdr:col>
      <xdr:colOff>35718</xdr:colOff>
      <xdr:row>29</xdr:row>
      <xdr:rowOff>166688</xdr:rowOff>
    </xdr:to>
    <xdr:sp macro="" textlink="">
      <xdr:nvSpPr>
        <xdr:cNvPr id="4" name="Rectangle: Rounded Corners 3">
          <a:extLst>
            <a:ext uri="{FF2B5EF4-FFF2-40B4-BE49-F238E27FC236}">
              <a16:creationId xmlns:a16="http://schemas.microsoft.com/office/drawing/2014/main" id="{C2DA3BF8-D7E3-4DB7-9D8B-A43E38ABB9EA}"/>
            </a:ext>
          </a:extLst>
        </xdr:cNvPr>
        <xdr:cNvSpPr/>
      </xdr:nvSpPr>
      <xdr:spPr>
        <a:xfrm>
          <a:off x="106679" y="68581"/>
          <a:ext cx="14610954" cy="5389177"/>
        </a:xfrm>
        <a:prstGeom prst="roundRect">
          <a:avLst/>
        </a:prstGeom>
        <a:solidFill>
          <a:srgbClr val="150953"/>
        </a:solidFill>
        <a:ln>
          <a:solidFill>
            <a:srgbClr val="150953"/>
          </a:solidFill>
        </a:ln>
        <a:effectLst>
          <a:glow rad="63500">
            <a:schemeClr val="accent3">
              <a:satMod val="175000"/>
              <a:alpha val="40000"/>
            </a:schemeClr>
          </a:glow>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450761</xdr:colOff>
      <xdr:row>1</xdr:row>
      <xdr:rowOff>0</xdr:rowOff>
    </xdr:from>
    <xdr:to>
      <xdr:col>4</xdr:col>
      <xdr:colOff>42929</xdr:colOff>
      <xdr:row>4</xdr:row>
      <xdr:rowOff>10732</xdr:rowOff>
    </xdr:to>
    <xdr:sp macro="" textlink="">
      <xdr:nvSpPr>
        <xdr:cNvPr id="2" name="Rectangle: Rounded Corners 1">
          <a:extLst>
            <a:ext uri="{FF2B5EF4-FFF2-40B4-BE49-F238E27FC236}">
              <a16:creationId xmlns:a16="http://schemas.microsoft.com/office/drawing/2014/main" id="{A658F555-54A9-589D-F837-65EDB13998DC}"/>
            </a:ext>
          </a:extLst>
        </xdr:cNvPr>
        <xdr:cNvSpPr/>
      </xdr:nvSpPr>
      <xdr:spPr>
        <a:xfrm>
          <a:off x="450761" y="182451"/>
          <a:ext cx="2039154" cy="55808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latin typeface="Abadi" panose="020F0502020204030204" pitchFamily="34" charset="0"/>
            </a:rPr>
            <a:t>Larsen &amp; Toubro</a:t>
          </a:r>
        </a:p>
      </xdr:txBody>
    </xdr:sp>
    <xdr:clientData/>
  </xdr:twoCellAnchor>
  <xdr:twoCellAnchor>
    <xdr:from>
      <xdr:col>16</xdr:col>
      <xdr:colOff>0</xdr:colOff>
      <xdr:row>33</xdr:row>
      <xdr:rowOff>0</xdr:rowOff>
    </xdr:from>
    <xdr:to>
      <xdr:col>17</xdr:col>
      <xdr:colOff>228600</xdr:colOff>
      <xdr:row>36</xdr:row>
      <xdr:rowOff>91440</xdr:rowOff>
    </xdr:to>
    <xdr:sp macro="" textlink="">
      <xdr:nvSpPr>
        <xdr:cNvPr id="2049" name="Text Box 1">
          <a:extLst>
            <a:ext uri="{FF2B5EF4-FFF2-40B4-BE49-F238E27FC236}">
              <a16:creationId xmlns:a16="http://schemas.microsoft.com/office/drawing/2014/main" id="{52A85CF0-692D-F8E7-F41E-3F4BE154E2BF}"/>
            </a:ext>
          </a:extLst>
        </xdr:cNvPr>
        <xdr:cNvSpPr txBox="1">
          <a:spLocks noChangeArrowheads="1"/>
        </xdr:cNvSpPr>
      </xdr:nvSpPr>
      <xdr:spPr bwMode="auto">
        <a:xfrm>
          <a:off x="9753600" y="6035040"/>
          <a:ext cx="838200" cy="640080"/>
        </a:xfrm>
        <a:prstGeom prst="rect">
          <a:avLst/>
        </a:prstGeom>
        <a:solidFill>
          <a:srgbClr val="FFFFFF"/>
        </a:solidFill>
        <a:ln w="9525">
          <a:solidFill>
            <a:srgbClr val="000000"/>
          </a:solidFill>
          <a:miter lim="800000"/>
          <a:headEnd/>
          <a:tailEnd/>
        </a:ln>
      </xdr:spPr>
      <xdr:txBody>
        <a:bodyPr vertOverflow="clip" wrap="square" lIns="36576" tIns="36576" rIns="0" bIns="0" anchor="t" upright="1"/>
        <a:lstStyle/>
        <a:p>
          <a:pPr algn="l" rtl="0">
            <a:lnSpc>
              <a:spcPts val="1200"/>
            </a:lnSpc>
            <a:defRPr sz="1000"/>
          </a:pPr>
          <a:r>
            <a:rPr lang="en-IN" sz="1100" b="0" i="0" u="none" strike="noStrike" baseline="0">
              <a:solidFill>
                <a:srgbClr val="000000"/>
              </a:solidFill>
              <a:latin typeface="Calibri"/>
              <a:ea typeface="Calibri"/>
              <a:cs typeface="Calibri"/>
            </a:rPr>
            <a:t>Larsen &amp; Toubro</a:t>
          </a:r>
        </a:p>
      </xdr:txBody>
    </xdr:sp>
    <xdr:clientData/>
  </xdr:twoCellAnchor>
  <xdr:twoCellAnchor>
    <xdr:from>
      <xdr:col>16</xdr:col>
      <xdr:colOff>0</xdr:colOff>
      <xdr:row>33</xdr:row>
      <xdr:rowOff>0</xdr:rowOff>
    </xdr:from>
    <xdr:to>
      <xdr:col>17</xdr:col>
      <xdr:colOff>228600</xdr:colOff>
      <xdr:row>36</xdr:row>
      <xdr:rowOff>91440</xdr:rowOff>
    </xdr:to>
    <xdr:sp macro="" textlink="">
      <xdr:nvSpPr>
        <xdr:cNvPr id="2050" name="Text Box 2">
          <a:extLst>
            <a:ext uri="{FF2B5EF4-FFF2-40B4-BE49-F238E27FC236}">
              <a16:creationId xmlns:a16="http://schemas.microsoft.com/office/drawing/2014/main" id="{8B477A15-7922-5EA1-2959-98D777147CDB}"/>
            </a:ext>
          </a:extLst>
        </xdr:cNvPr>
        <xdr:cNvSpPr txBox="1">
          <a:spLocks noChangeArrowheads="1"/>
        </xdr:cNvSpPr>
      </xdr:nvSpPr>
      <xdr:spPr bwMode="auto">
        <a:xfrm>
          <a:off x="9753600" y="6035040"/>
          <a:ext cx="838200" cy="640080"/>
        </a:xfrm>
        <a:prstGeom prst="rect">
          <a:avLst/>
        </a:prstGeom>
        <a:solidFill>
          <a:srgbClr val="FFFFFF"/>
        </a:solidFill>
        <a:ln w="9525">
          <a:solidFill>
            <a:srgbClr val="000000"/>
          </a:solidFill>
          <a:miter lim="800000"/>
          <a:headEnd/>
          <a:tailEnd/>
        </a:ln>
      </xdr:spPr>
      <xdr:txBody>
        <a:bodyPr vertOverflow="clip" wrap="square" lIns="36576" tIns="36576" rIns="0" bIns="0" anchor="t" upright="1"/>
        <a:lstStyle/>
        <a:p>
          <a:pPr algn="l" rtl="0">
            <a:lnSpc>
              <a:spcPts val="1200"/>
            </a:lnSpc>
            <a:defRPr sz="1000"/>
          </a:pPr>
          <a:r>
            <a:rPr lang="en-IN" sz="1100" b="0" i="0" u="none" strike="noStrike" baseline="0">
              <a:solidFill>
                <a:srgbClr val="000000"/>
              </a:solidFill>
              <a:latin typeface="Calibri"/>
              <a:ea typeface="Calibri"/>
              <a:cs typeface="Calibri"/>
            </a:rPr>
            <a:t>Larsen &amp; Toubro</a:t>
          </a:r>
        </a:p>
      </xdr:txBody>
    </xdr:sp>
    <xdr:clientData/>
  </xdr:twoCellAnchor>
  <xdr:twoCellAnchor>
    <xdr:from>
      <xdr:col>16</xdr:col>
      <xdr:colOff>0</xdr:colOff>
      <xdr:row>33</xdr:row>
      <xdr:rowOff>0</xdr:rowOff>
    </xdr:from>
    <xdr:to>
      <xdr:col>17</xdr:col>
      <xdr:colOff>228600</xdr:colOff>
      <xdr:row>36</xdr:row>
      <xdr:rowOff>91440</xdr:rowOff>
    </xdr:to>
    <xdr:sp macro="" textlink="">
      <xdr:nvSpPr>
        <xdr:cNvPr id="2051" name="Text Box 3">
          <a:extLst>
            <a:ext uri="{FF2B5EF4-FFF2-40B4-BE49-F238E27FC236}">
              <a16:creationId xmlns:a16="http://schemas.microsoft.com/office/drawing/2014/main" id="{ED8EA782-AB35-ADB6-44C6-E04B4FC65DA4}"/>
            </a:ext>
          </a:extLst>
        </xdr:cNvPr>
        <xdr:cNvSpPr txBox="1">
          <a:spLocks noChangeArrowheads="1"/>
        </xdr:cNvSpPr>
      </xdr:nvSpPr>
      <xdr:spPr bwMode="auto">
        <a:xfrm>
          <a:off x="9753600" y="6035040"/>
          <a:ext cx="838200" cy="640080"/>
        </a:xfrm>
        <a:prstGeom prst="rect">
          <a:avLst/>
        </a:prstGeom>
        <a:solidFill>
          <a:srgbClr val="FFFFFF"/>
        </a:solidFill>
        <a:ln w="9525">
          <a:solidFill>
            <a:srgbClr val="000000"/>
          </a:solidFill>
          <a:miter lim="800000"/>
          <a:headEnd/>
          <a:tailEnd/>
        </a:ln>
      </xdr:spPr>
      <xdr:txBody>
        <a:bodyPr vertOverflow="clip" wrap="square" lIns="36576" tIns="36576" rIns="0" bIns="0" anchor="t" upright="1"/>
        <a:lstStyle/>
        <a:p>
          <a:pPr algn="l" rtl="0">
            <a:lnSpc>
              <a:spcPts val="1200"/>
            </a:lnSpc>
            <a:defRPr sz="1000"/>
          </a:pPr>
          <a:r>
            <a:rPr lang="en-IN" sz="1100" b="0" i="0" u="none" strike="noStrike" baseline="0">
              <a:solidFill>
                <a:srgbClr val="000000"/>
              </a:solidFill>
              <a:latin typeface="Calibri"/>
              <a:ea typeface="Calibri"/>
              <a:cs typeface="Calibri"/>
            </a:rPr>
            <a:t>Larsen &amp; Toubro</a:t>
          </a:r>
        </a:p>
      </xdr:txBody>
    </xdr:sp>
    <xdr:clientData/>
  </xdr:twoCellAnchor>
  <xdr:twoCellAnchor>
    <xdr:from>
      <xdr:col>16</xdr:col>
      <xdr:colOff>0</xdr:colOff>
      <xdr:row>33</xdr:row>
      <xdr:rowOff>0</xdr:rowOff>
    </xdr:from>
    <xdr:to>
      <xdr:col>17</xdr:col>
      <xdr:colOff>228600</xdr:colOff>
      <xdr:row>36</xdr:row>
      <xdr:rowOff>91440</xdr:rowOff>
    </xdr:to>
    <xdr:sp macro="" textlink="">
      <xdr:nvSpPr>
        <xdr:cNvPr id="2052" name="Text Box 4">
          <a:extLst>
            <a:ext uri="{FF2B5EF4-FFF2-40B4-BE49-F238E27FC236}">
              <a16:creationId xmlns:a16="http://schemas.microsoft.com/office/drawing/2014/main" id="{9C358B4B-7D09-138A-25D2-19986606156C}"/>
            </a:ext>
          </a:extLst>
        </xdr:cNvPr>
        <xdr:cNvSpPr txBox="1">
          <a:spLocks noChangeArrowheads="1"/>
        </xdr:cNvSpPr>
      </xdr:nvSpPr>
      <xdr:spPr bwMode="auto">
        <a:xfrm>
          <a:off x="9753600" y="6035040"/>
          <a:ext cx="838200" cy="640080"/>
        </a:xfrm>
        <a:prstGeom prst="rect">
          <a:avLst/>
        </a:prstGeom>
        <a:solidFill>
          <a:srgbClr val="FFFFFF"/>
        </a:solidFill>
        <a:ln w="9525">
          <a:solidFill>
            <a:srgbClr val="000000"/>
          </a:solidFill>
          <a:miter lim="800000"/>
          <a:headEnd/>
          <a:tailEnd/>
        </a:ln>
      </xdr:spPr>
      <xdr:txBody>
        <a:bodyPr vertOverflow="clip" wrap="square" lIns="36576" tIns="36576" rIns="0" bIns="0" anchor="t" upright="1"/>
        <a:lstStyle/>
        <a:p>
          <a:pPr algn="l" rtl="0">
            <a:lnSpc>
              <a:spcPts val="1200"/>
            </a:lnSpc>
            <a:defRPr sz="1000"/>
          </a:pPr>
          <a:r>
            <a:rPr lang="en-IN" sz="1100" b="0" i="0" u="none" strike="noStrike" baseline="0">
              <a:solidFill>
                <a:srgbClr val="000000"/>
              </a:solidFill>
              <a:latin typeface="Calibri"/>
              <a:ea typeface="Calibri"/>
              <a:cs typeface="Calibri"/>
            </a:rPr>
            <a:t>Larsen &amp; Toubro</a:t>
          </a:r>
        </a:p>
      </xdr:txBody>
    </xdr:sp>
    <xdr:clientData/>
  </xdr:twoCellAnchor>
  <xdr:twoCellAnchor>
    <xdr:from>
      <xdr:col>16</xdr:col>
      <xdr:colOff>0</xdr:colOff>
      <xdr:row>33</xdr:row>
      <xdr:rowOff>0</xdr:rowOff>
    </xdr:from>
    <xdr:to>
      <xdr:col>17</xdr:col>
      <xdr:colOff>228600</xdr:colOff>
      <xdr:row>36</xdr:row>
      <xdr:rowOff>91440</xdr:rowOff>
    </xdr:to>
    <xdr:sp macro="" textlink="">
      <xdr:nvSpPr>
        <xdr:cNvPr id="2053" name="Text Box 5">
          <a:extLst>
            <a:ext uri="{FF2B5EF4-FFF2-40B4-BE49-F238E27FC236}">
              <a16:creationId xmlns:a16="http://schemas.microsoft.com/office/drawing/2014/main" id="{5872E542-67E8-1AA2-7598-CDF38BFB03FC}"/>
            </a:ext>
          </a:extLst>
        </xdr:cNvPr>
        <xdr:cNvSpPr txBox="1">
          <a:spLocks noChangeArrowheads="1"/>
        </xdr:cNvSpPr>
      </xdr:nvSpPr>
      <xdr:spPr bwMode="auto">
        <a:xfrm>
          <a:off x="9753600" y="6035040"/>
          <a:ext cx="838200" cy="640080"/>
        </a:xfrm>
        <a:prstGeom prst="rect">
          <a:avLst/>
        </a:prstGeom>
        <a:noFill/>
        <a:ln w="9525">
          <a:noFill/>
          <a:miter lim="800000"/>
          <a:headEnd/>
          <a:tailEnd/>
        </a:ln>
      </xdr:spPr>
      <xdr:txBody>
        <a:bodyPr vertOverflow="clip" wrap="square" lIns="36576" tIns="36576" rIns="0" bIns="0" anchor="t" upright="1"/>
        <a:lstStyle/>
        <a:p>
          <a:pPr algn="l" rtl="0">
            <a:lnSpc>
              <a:spcPts val="1200"/>
            </a:lnSpc>
            <a:defRPr sz="1000"/>
          </a:pPr>
          <a:endParaRPr lang="en-IN" sz="1100" b="0" i="0" u="none" strike="noStrike" baseline="0">
            <a:solidFill>
              <a:srgbClr val="000000"/>
            </a:solidFill>
            <a:latin typeface="Calibri"/>
            <a:ea typeface="Calibri"/>
            <a:cs typeface="Calibri"/>
          </a:endParaRPr>
        </a:p>
      </xdr:txBody>
    </xdr:sp>
    <xdr:clientData/>
  </xdr:twoCellAnchor>
  <xdr:twoCellAnchor>
    <xdr:from>
      <xdr:col>16</xdr:col>
      <xdr:colOff>0</xdr:colOff>
      <xdr:row>35</xdr:row>
      <xdr:rowOff>150252</xdr:rowOff>
    </xdr:from>
    <xdr:to>
      <xdr:col>16</xdr:col>
      <xdr:colOff>375633</xdr:colOff>
      <xdr:row>36</xdr:row>
      <xdr:rowOff>91439</xdr:rowOff>
    </xdr:to>
    <xdr:sp macro="" textlink="">
      <xdr:nvSpPr>
        <xdr:cNvPr id="2055" name="Text Box 7">
          <a:extLst>
            <a:ext uri="{FF2B5EF4-FFF2-40B4-BE49-F238E27FC236}">
              <a16:creationId xmlns:a16="http://schemas.microsoft.com/office/drawing/2014/main" id="{243803BF-B5CC-0600-3448-A5AADB76BA52}"/>
            </a:ext>
          </a:extLst>
        </xdr:cNvPr>
        <xdr:cNvSpPr txBox="1">
          <a:spLocks noChangeArrowheads="1"/>
        </xdr:cNvSpPr>
      </xdr:nvSpPr>
      <xdr:spPr bwMode="auto">
        <a:xfrm>
          <a:off x="9787944" y="6536027"/>
          <a:ext cx="375633" cy="123637"/>
        </a:xfrm>
        <a:prstGeom prst="rect">
          <a:avLst/>
        </a:prstGeom>
        <a:solidFill>
          <a:srgbClr val="FFFFFF"/>
        </a:solidFill>
        <a:ln w="9525">
          <a:solidFill>
            <a:srgbClr val="000000"/>
          </a:solidFill>
          <a:miter lim="800000"/>
          <a:headEnd/>
          <a:tailEnd/>
        </a:ln>
      </xdr:spPr>
      <xdr:txBody>
        <a:bodyPr vertOverflow="clip" wrap="square" lIns="36576" tIns="36576" rIns="0" bIns="0" anchor="t" upright="1"/>
        <a:lstStyle/>
        <a:p>
          <a:pPr algn="l" rtl="0">
            <a:lnSpc>
              <a:spcPts val="1200"/>
            </a:lnSpc>
            <a:defRPr sz="1000"/>
          </a:pPr>
          <a:endParaRPr lang="en-IN" sz="1100" b="0" i="0" u="none" strike="noStrike" baseline="0">
            <a:solidFill>
              <a:srgbClr val="000000"/>
            </a:solidFill>
            <a:latin typeface="Calibri"/>
            <a:ea typeface="Calibri"/>
            <a:cs typeface="Calibri"/>
          </a:endParaRPr>
        </a:p>
      </xdr:txBody>
    </xdr:sp>
    <xdr:clientData/>
  </xdr:twoCellAnchor>
  <xdr:twoCellAnchor>
    <xdr:from>
      <xdr:col>1</xdr:col>
      <xdr:colOff>386623</xdr:colOff>
      <xdr:row>17</xdr:row>
      <xdr:rowOff>172611</xdr:rowOff>
    </xdr:from>
    <xdr:to>
      <xdr:col>3</xdr:col>
      <xdr:colOff>39045</xdr:colOff>
      <xdr:row>19</xdr:row>
      <xdr:rowOff>109981</xdr:rowOff>
    </xdr:to>
    <xdr:sp macro="" textlink="">
      <xdr:nvSpPr>
        <xdr:cNvPr id="20" name="Rectangle: Rounded Corners 19">
          <a:extLst>
            <a:ext uri="{FF2B5EF4-FFF2-40B4-BE49-F238E27FC236}">
              <a16:creationId xmlns:a16="http://schemas.microsoft.com/office/drawing/2014/main" id="{D496D255-8BC0-407F-9E05-8A82D0E6CA1B}"/>
            </a:ext>
          </a:extLst>
        </xdr:cNvPr>
        <xdr:cNvSpPr/>
      </xdr:nvSpPr>
      <xdr:spPr>
        <a:xfrm>
          <a:off x="1000181" y="3200819"/>
          <a:ext cx="879539" cy="293630"/>
        </a:xfrm>
        <a:prstGeom prst="roundRect">
          <a:avLst/>
        </a:prstGeom>
        <a:noFill/>
        <a:ln>
          <a:noFill/>
        </a:ln>
        <a:effectLst>
          <a:glow rad="63500">
            <a:schemeClr val="accent3">
              <a:satMod val="175000"/>
              <a:alpha val="2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2">
                <a:lumMod val="20000"/>
                <a:lumOff val="80000"/>
              </a:schemeClr>
            </a:solidFill>
          </a:endParaRPr>
        </a:p>
      </xdr:txBody>
    </xdr:sp>
    <xdr:clientData/>
  </xdr:twoCellAnchor>
  <xdr:twoCellAnchor>
    <xdr:from>
      <xdr:col>0</xdr:col>
      <xdr:colOff>388816</xdr:colOff>
      <xdr:row>4</xdr:row>
      <xdr:rowOff>32813</xdr:rowOff>
    </xdr:from>
    <xdr:to>
      <xdr:col>2</xdr:col>
      <xdr:colOff>456995</xdr:colOff>
      <xdr:row>27</xdr:row>
      <xdr:rowOff>83650</xdr:rowOff>
    </xdr:to>
    <xdr:grpSp>
      <xdr:nvGrpSpPr>
        <xdr:cNvPr id="36" name="Group 35">
          <a:extLst>
            <a:ext uri="{FF2B5EF4-FFF2-40B4-BE49-F238E27FC236}">
              <a16:creationId xmlns:a16="http://schemas.microsoft.com/office/drawing/2014/main" id="{AF54A4BD-1B5E-CA52-237D-5D537039EA2F}"/>
            </a:ext>
          </a:extLst>
        </xdr:cNvPr>
        <xdr:cNvGrpSpPr/>
      </xdr:nvGrpSpPr>
      <xdr:grpSpPr>
        <a:xfrm>
          <a:off x="388816" y="778600"/>
          <a:ext cx="1284136" cy="4339114"/>
          <a:chOff x="779826" y="1000015"/>
          <a:chExt cx="1294386" cy="4283753"/>
        </a:xfrm>
      </xdr:grpSpPr>
      <xdr:sp macro="" textlink="">
        <xdr:nvSpPr>
          <xdr:cNvPr id="6" name="Rectangle: Rounded Corners 5">
            <a:extLst>
              <a:ext uri="{FF2B5EF4-FFF2-40B4-BE49-F238E27FC236}">
                <a16:creationId xmlns:a16="http://schemas.microsoft.com/office/drawing/2014/main" id="{B14FE27C-B984-4FA3-8859-C819CBE40794}"/>
              </a:ext>
            </a:extLst>
          </xdr:cNvPr>
          <xdr:cNvSpPr/>
        </xdr:nvSpPr>
        <xdr:spPr>
          <a:xfrm>
            <a:off x="779826" y="1000015"/>
            <a:ext cx="1294386" cy="4283753"/>
          </a:xfrm>
          <a:prstGeom prst="roundRect">
            <a:avLst/>
          </a:prstGeom>
          <a:gradFill flip="none" rotWithShape="1">
            <a:gsLst>
              <a:gs pos="0">
                <a:srgbClr val="000066"/>
              </a:gs>
              <a:gs pos="23000">
                <a:srgbClr val="150953"/>
              </a:gs>
              <a:gs pos="69000">
                <a:schemeClr val="accent5">
                  <a:lumMod val="75000"/>
                </a:schemeClr>
              </a:gs>
              <a:gs pos="97000">
                <a:schemeClr val="accent5">
                  <a:lumMod val="75000"/>
                </a:schemeClr>
              </a:gs>
            </a:gsLst>
            <a:path path="circle">
              <a:fillToRect t="100000" r="100000"/>
            </a:path>
            <a:tileRect l="-100000" b="-100000"/>
          </a:gradFill>
          <a:ln>
            <a:noFill/>
          </a:ln>
          <a:effectLst>
            <a:glow rad="63500">
              <a:schemeClr val="bg1">
                <a:alpha val="20000"/>
              </a:schemeClr>
            </a:glow>
            <a:outerShdw blurRad="76200" dir="18900000" sy="23000" kx="-12000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Rectangle: Rounded Corners 15">
            <a:extLst>
              <a:ext uri="{FF2B5EF4-FFF2-40B4-BE49-F238E27FC236}">
                <a16:creationId xmlns:a16="http://schemas.microsoft.com/office/drawing/2014/main" id="{4738AAF8-5F5E-F2E8-06B3-847B92867CE9}"/>
              </a:ext>
            </a:extLst>
          </xdr:cNvPr>
          <xdr:cNvSpPr/>
        </xdr:nvSpPr>
        <xdr:spPr>
          <a:xfrm>
            <a:off x="995096" y="1648944"/>
            <a:ext cx="878629" cy="307245"/>
          </a:xfrm>
          <a:prstGeom prst="roundRect">
            <a:avLst/>
          </a:prstGeom>
          <a:noFill/>
          <a:ln>
            <a:noFill/>
          </a:ln>
          <a:effectLst>
            <a:glow rad="63500">
              <a:schemeClr val="accent3">
                <a:satMod val="175000"/>
                <a:alpha val="2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2">
                  <a:lumMod val="20000"/>
                  <a:lumOff val="80000"/>
                </a:schemeClr>
              </a:solidFill>
            </a:endParaRPr>
          </a:p>
        </xdr:txBody>
      </xdr:sp>
      <xdr:sp macro="" textlink="">
        <xdr:nvSpPr>
          <xdr:cNvPr id="19" name="Rectangle: Rounded Corners 18">
            <a:extLst>
              <a:ext uri="{FF2B5EF4-FFF2-40B4-BE49-F238E27FC236}">
                <a16:creationId xmlns:a16="http://schemas.microsoft.com/office/drawing/2014/main" id="{47BBA2BC-8E2D-475E-9DA8-D45281A1609C}"/>
              </a:ext>
            </a:extLst>
          </xdr:cNvPr>
          <xdr:cNvSpPr/>
        </xdr:nvSpPr>
        <xdr:spPr>
          <a:xfrm>
            <a:off x="977749" y="2620579"/>
            <a:ext cx="1019712" cy="301018"/>
          </a:xfrm>
          <a:prstGeom prst="roundRect">
            <a:avLst/>
          </a:prstGeom>
          <a:noFill/>
          <a:ln>
            <a:noFill/>
          </a:ln>
          <a:effectLst>
            <a:glow rad="63500">
              <a:schemeClr val="accent3">
                <a:satMod val="175000"/>
                <a:alpha val="2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2">
                  <a:lumMod val="20000"/>
                  <a:lumOff val="80000"/>
                </a:schemeClr>
              </a:solidFill>
            </a:endParaRPr>
          </a:p>
        </xdr:txBody>
      </xdr:sp>
      <xdr:sp macro="" textlink="">
        <xdr:nvSpPr>
          <xdr:cNvPr id="21" name="Rectangle: Rounded Corners 20">
            <a:extLst>
              <a:ext uri="{FF2B5EF4-FFF2-40B4-BE49-F238E27FC236}">
                <a16:creationId xmlns:a16="http://schemas.microsoft.com/office/drawing/2014/main" id="{BC5DF1ED-F78D-446F-9A12-8A0A1F86A7A4}"/>
              </a:ext>
            </a:extLst>
          </xdr:cNvPr>
          <xdr:cNvSpPr/>
        </xdr:nvSpPr>
        <xdr:spPr>
          <a:xfrm>
            <a:off x="937724" y="3487700"/>
            <a:ext cx="1055243" cy="298379"/>
          </a:xfrm>
          <a:prstGeom prst="roundRect">
            <a:avLst/>
          </a:prstGeom>
          <a:noFill/>
          <a:ln>
            <a:noFill/>
          </a:ln>
          <a:effectLst>
            <a:glow rad="63500">
              <a:schemeClr val="accent3">
                <a:satMod val="175000"/>
                <a:alpha val="2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2">
                  <a:lumMod val="20000"/>
                  <a:lumOff val="80000"/>
                </a:schemeClr>
              </a:solidFill>
            </a:endParaRPr>
          </a:p>
        </xdr:txBody>
      </xdr:sp>
      <xdr:sp macro="" textlink="">
        <xdr:nvSpPr>
          <xdr:cNvPr id="22" name="Rectangle: Rounded Corners 21">
            <a:extLst>
              <a:ext uri="{FF2B5EF4-FFF2-40B4-BE49-F238E27FC236}">
                <a16:creationId xmlns:a16="http://schemas.microsoft.com/office/drawing/2014/main" id="{38552A0D-FE27-484E-B284-706ED31B0C65}"/>
              </a:ext>
            </a:extLst>
          </xdr:cNvPr>
          <xdr:cNvSpPr/>
        </xdr:nvSpPr>
        <xdr:spPr>
          <a:xfrm>
            <a:off x="980806" y="4624626"/>
            <a:ext cx="878629" cy="306652"/>
          </a:xfrm>
          <a:prstGeom prst="roundRect">
            <a:avLst/>
          </a:prstGeom>
          <a:noFill/>
          <a:ln>
            <a:noFill/>
          </a:ln>
          <a:effectLst>
            <a:glow rad="63500">
              <a:schemeClr val="accent3">
                <a:satMod val="175000"/>
                <a:alpha val="2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2">
                  <a:lumMod val="20000"/>
                  <a:lumOff val="80000"/>
                </a:schemeClr>
              </a:solidFill>
            </a:endParaRPr>
          </a:p>
        </xdr:txBody>
      </xdr:sp>
    </xdr:grpSp>
    <xdr:clientData/>
  </xdr:twoCellAnchor>
  <xdr:twoCellAnchor>
    <xdr:from>
      <xdr:col>0</xdr:col>
      <xdr:colOff>0</xdr:colOff>
      <xdr:row>43</xdr:row>
      <xdr:rowOff>180758</xdr:rowOff>
    </xdr:from>
    <xdr:to>
      <xdr:col>8</xdr:col>
      <xdr:colOff>86061</xdr:colOff>
      <xdr:row>55</xdr:row>
      <xdr:rowOff>68507</xdr:rowOff>
    </xdr:to>
    <mc:AlternateContent xmlns:mc="http://schemas.openxmlformats.org/markup-compatibility/2006">
      <mc:Choice xmlns:cx1="http://schemas.microsoft.com/office/drawing/2015/9/8/chartex" Requires="cx1">
        <xdr:graphicFrame macro="">
          <xdr:nvGraphicFramePr>
            <xdr:cNvPr id="31" name="Chart 30">
              <a:extLst>
                <a:ext uri="{FF2B5EF4-FFF2-40B4-BE49-F238E27FC236}">
                  <a16:creationId xmlns:a16="http://schemas.microsoft.com/office/drawing/2014/main" id="{DAEDEEF6-361A-4EEC-85D6-172496F23F5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8044598"/>
              <a:ext cx="4962861" cy="208230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470008</xdr:colOff>
      <xdr:row>17</xdr:row>
      <xdr:rowOff>53972</xdr:rowOff>
    </xdr:from>
    <xdr:to>
      <xdr:col>21</xdr:col>
      <xdr:colOff>340529</xdr:colOff>
      <xdr:row>29</xdr:row>
      <xdr:rowOff>81514</xdr:rowOff>
    </xdr:to>
    <xdr:sp macro="" textlink="">
      <xdr:nvSpPr>
        <xdr:cNvPr id="12" name="Rectangle: Rounded Corners 11">
          <a:extLst>
            <a:ext uri="{FF2B5EF4-FFF2-40B4-BE49-F238E27FC236}">
              <a16:creationId xmlns:a16="http://schemas.microsoft.com/office/drawing/2014/main" id="{74707D2D-0F78-45A5-8B03-A45B29A1896E}"/>
            </a:ext>
          </a:extLst>
        </xdr:cNvPr>
        <xdr:cNvSpPr/>
      </xdr:nvSpPr>
      <xdr:spPr>
        <a:xfrm>
          <a:off x="7199219" y="3155634"/>
          <a:ext cx="5987986" cy="2216950"/>
        </a:xfrm>
        <a:prstGeom prst="roundRect">
          <a:avLst/>
        </a:prstGeom>
        <a:gradFill flip="none" rotWithShape="1">
          <a:gsLst>
            <a:gs pos="0">
              <a:srgbClr val="000066"/>
            </a:gs>
            <a:gs pos="23000">
              <a:srgbClr val="150953"/>
            </a:gs>
            <a:gs pos="69000">
              <a:schemeClr val="accent5">
                <a:lumMod val="75000"/>
              </a:schemeClr>
            </a:gs>
            <a:gs pos="97000">
              <a:schemeClr val="accent5">
                <a:lumMod val="75000"/>
              </a:schemeClr>
            </a:gs>
          </a:gsLst>
          <a:path path="circle">
            <a:fillToRect t="100000" r="100000"/>
          </a:path>
          <a:tileRect l="-100000" b="-100000"/>
        </a:gradFill>
        <a:ln>
          <a:noFill/>
        </a:ln>
        <a:effectLst>
          <a:glow rad="63500">
            <a:schemeClr val="tx1">
              <a:lumMod val="95000"/>
              <a:lumOff val="5000"/>
              <a:alpha val="2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352182</xdr:colOff>
      <xdr:row>6</xdr:row>
      <xdr:rowOff>76256</xdr:rowOff>
    </xdr:from>
    <xdr:to>
      <xdr:col>15</xdr:col>
      <xdr:colOff>504423</xdr:colOff>
      <xdr:row>17</xdr:row>
      <xdr:rowOff>17703</xdr:rowOff>
    </xdr:to>
    <xdr:sp macro="" textlink="">
      <xdr:nvSpPr>
        <xdr:cNvPr id="9" name="Rectangle: Rounded Corners 8">
          <a:extLst>
            <a:ext uri="{FF2B5EF4-FFF2-40B4-BE49-F238E27FC236}">
              <a16:creationId xmlns:a16="http://schemas.microsoft.com/office/drawing/2014/main" id="{13CE1A22-7F24-4E17-A9FA-A5183AFE87E6}"/>
            </a:ext>
          </a:extLst>
        </xdr:cNvPr>
        <xdr:cNvSpPr/>
      </xdr:nvSpPr>
      <xdr:spPr>
        <a:xfrm>
          <a:off x="7081393" y="1170960"/>
          <a:ext cx="2599227" cy="1948405"/>
        </a:xfrm>
        <a:prstGeom prst="roundRect">
          <a:avLst/>
        </a:prstGeom>
        <a:gradFill flip="none" rotWithShape="1">
          <a:gsLst>
            <a:gs pos="0">
              <a:srgbClr val="000066"/>
            </a:gs>
            <a:gs pos="23000">
              <a:srgbClr val="150953"/>
            </a:gs>
            <a:gs pos="69000">
              <a:schemeClr val="accent5">
                <a:lumMod val="75000"/>
              </a:schemeClr>
            </a:gs>
            <a:gs pos="97000">
              <a:schemeClr val="accent5">
                <a:lumMod val="75000"/>
              </a:schemeClr>
            </a:gs>
          </a:gsLst>
          <a:path path="circle">
            <a:fillToRect t="100000" r="100000"/>
          </a:path>
          <a:tileRect l="-100000" b="-100000"/>
        </a:gradFill>
        <a:ln>
          <a:noFill/>
        </a:ln>
        <a:effectLst>
          <a:glow rad="63500">
            <a:schemeClr val="tx1">
              <a:lumMod val="95000"/>
              <a:lumOff val="5000"/>
              <a:alpha val="2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500296</xdr:colOff>
      <xdr:row>6</xdr:row>
      <xdr:rowOff>50869</xdr:rowOff>
    </xdr:from>
    <xdr:to>
      <xdr:col>11</xdr:col>
      <xdr:colOff>363136</xdr:colOff>
      <xdr:row>16</xdr:row>
      <xdr:rowOff>163729</xdr:rowOff>
    </xdr:to>
    <xdr:sp macro="" textlink="">
      <xdr:nvSpPr>
        <xdr:cNvPr id="7" name="Rectangle: Rounded Corners 6">
          <a:extLst>
            <a:ext uri="{FF2B5EF4-FFF2-40B4-BE49-F238E27FC236}">
              <a16:creationId xmlns:a16="http://schemas.microsoft.com/office/drawing/2014/main" id="{340AEA4A-DAF5-49C4-81C7-07112B20737D}"/>
            </a:ext>
          </a:extLst>
        </xdr:cNvPr>
        <xdr:cNvSpPr/>
      </xdr:nvSpPr>
      <xdr:spPr>
        <a:xfrm>
          <a:off x="1723789" y="1145573"/>
          <a:ext cx="5368558" cy="1937367"/>
        </a:xfrm>
        <a:prstGeom prst="roundRect">
          <a:avLst/>
        </a:prstGeom>
        <a:gradFill flip="none" rotWithShape="1">
          <a:gsLst>
            <a:gs pos="0">
              <a:srgbClr val="000066"/>
            </a:gs>
            <a:gs pos="23000">
              <a:srgbClr val="150953"/>
            </a:gs>
            <a:gs pos="69000">
              <a:schemeClr val="accent5">
                <a:lumMod val="75000"/>
              </a:schemeClr>
            </a:gs>
            <a:gs pos="97000">
              <a:schemeClr val="accent5">
                <a:lumMod val="75000"/>
              </a:schemeClr>
            </a:gs>
          </a:gsLst>
          <a:path path="circle">
            <a:fillToRect t="100000" r="100000"/>
          </a:path>
          <a:tileRect l="-100000" b="-100000"/>
        </a:gradFill>
        <a:ln>
          <a:noFill/>
        </a:ln>
        <a:effectLst>
          <a:glow rad="63500">
            <a:schemeClr val="tx1">
              <a:lumMod val="95000"/>
              <a:lumOff val="5000"/>
              <a:alpha val="20000"/>
            </a:schemeClr>
          </a:glow>
          <a:outerShdw blurRad="76200" dir="18900000" sy="23000" kx="-12000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436880</xdr:colOff>
      <xdr:row>4</xdr:row>
      <xdr:rowOff>88537</xdr:rowOff>
    </xdr:from>
    <xdr:to>
      <xdr:col>23</xdr:col>
      <xdr:colOff>380999</xdr:colOff>
      <xdr:row>27</xdr:row>
      <xdr:rowOff>61323</xdr:rowOff>
    </xdr:to>
    <xdr:grpSp>
      <xdr:nvGrpSpPr>
        <xdr:cNvPr id="49" name="Group 48">
          <a:extLst>
            <a:ext uri="{FF2B5EF4-FFF2-40B4-BE49-F238E27FC236}">
              <a16:creationId xmlns:a16="http://schemas.microsoft.com/office/drawing/2014/main" id="{CC32C682-15E9-7031-717F-971C6D41D1D1}"/>
            </a:ext>
          </a:extLst>
        </xdr:cNvPr>
        <xdr:cNvGrpSpPr/>
      </xdr:nvGrpSpPr>
      <xdr:grpSpPr>
        <a:xfrm>
          <a:off x="13204433" y="834324"/>
          <a:ext cx="1160077" cy="4261063"/>
          <a:chOff x="13238480" y="820057"/>
          <a:chExt cx="1163319" cy="4179026"/>
        </a:xfrm>
      </xdr:grpSpPr>
      <xdr:grpSp>
        <xdr:nvGrpSpPr>
          <xdr:cNvPr id="13" name="Group 12">
            <a:extLst>
              <a:ext uri="{FF2B5EF4-FFF2-40B4-BE49-F238E27FC236}">
                <a16:creationId xmlns:a16="http://schemas.microsoft.com/office/drawing/2014/main" id="{FDF0DBD0-6954-450E-9EED-61C07FBD388B}"/>
              </a:ext>
            </a:extLst>
          </xdr:cNvPr>
          <xdr:cNvGrpSpPr/>
        </xdr:nvGrpSpPr>
        <xdr:grpSpPr>
          <a:xfrm>
            <a:off x="13256003" y="820057"/>
            <a:ext cx="1145796" cy="4179026"/>
            <a:chOff x="860726" y="775048"/>
            <a:chExt cx="1294386" cy="4283753"/>
          </a:xfrm>
        </xdr:grpSpPr>
        <xdr:sp macro="" textlink="">
          <xdr:nvSpPr>
            <xdr:cNvPr id="14" name="Rectangle: Rounded Corners 13">
              <a:extLst>
                <a:ext uri="{FF2B5EF4-FFF2-40B4-BE49-F238E27FC236}">
                  <a16:creationId xmlns:a16="http://schemas.microsoft.com/office/drawing/2014/main" id="{D3D9F6DE-51CF-292B-F6F4-151BFFCAFC71}"/>
                </a:ext>
              </a:extLst>
            </xdr:cNvPr>
            <xdr:cNvSpPr/>
          </xdr:nvSpPr>
          <xdr:spPr>
            <a:xfrm>
              <a:off x="860726" y="775048"/>
              <a:ext cx="1294386" cy="4283753"/>
            </a:xfrm>
            <a:prstGeom prst="roundRect">
              <a:avLst/>
            </a:prstGeom>
            <a:gradFill flip="none" rotWithShape="1">
              <a:gsLst>
                <a:gs pos="0">
                  <a:srgbClr val="000066"/>
                </a:gs>
                <a:gs pos="23000">
                  <a:srgbClr val="150953"/>
                </a:gs>
                <a:gs pos="69000">
                  <a:schemeClr val="accent5">
                    <a:lumMod val="75000"/>
                  </a:schemeClr>
                </a:gs>
                <a:gs pos="97000">
                  <a:schemeClr val="accent5">
                    <a:lumMod val="75000"/>
                  </a:schemeClr>
                </a:gs>
              </a:gsLst>
              <a:path path="circle">
                <a:fillToRect t="100000" r="100000"/>
              </a:path>
              <a:tileRect l="-100000" b="-100000"/>
            </a:gradFill>
            <a:ln>
              <a:noFill/>
            </a:ln>
            <a:effectLst>
              <a:glow rad="63500">
                <a:schemeClr val="bg1">
                  <a:alpha val="20000"/>
                </a:schemeClr>
              </a:glow>
              <a:outerShdw blurRad="76200" dir="18900000" sy="23000" kx="-1200000" algn="bl" rotWithShape="0">
                <a:schemeClr val="bg1">
                  <a:alpha val="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 name="Rectangle: Rounded Corners 24">
              <a:extLst>
                <a:ext uri="{FF2B5EF4-FFF2-40B4-BE49-F238E27FC236}">
                  <a16:creationId xmlns:a16="http://schemas.microsoft.com/office/drawing/2014/main" id="{28920AB8-2055-3998-6560-90578C2B8911}"/>
                </a:ext>
              </a:extLst>
            </xdr:cNvPr>
            <xdr:cNvSpPr/>
          </xdr:nvSpPr>
          <xdr:spPr>
            <a:xfrm>
              <a:off x="937724" y="3487700"/>
              <a:ext cx="1055243" cy="298379"/>
            </a:xfrm>
            <a:prstGeom prst="roundRect">
              <a:avLst/>
            </a:prstGeom>
            <a:noFill/>
            <a:ln>
              <a:noFill/>
            </a:ln>
            <a:effectLst>
              <a:glow rad="63500">
                <a:schemeClr val="accent3">
                  <a:satMod val="175000"/>
                  <a:alpha val="2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2">
                    <a:lumMod val="20000"/>
                    <a:lumOff val="80000"/>
                  </a:schemeClr>
                </a:solidFill>
              </a:endParaRPr>
            </a:p>
          </xdr:txBody>
        </xdr:sp>
        <xdr:sp macro="" textlink="">
          <xdr:nvSpPr>
            <xdr:cNvPr id="27" name="Rectangle: Rounded Corners 26">
              <a:extLst>
                <a:ext uri="{FF2B5EF4-FFF2-40B4-BE49-F238E27FC236}">
                  <a16:creationId xmlns:a16="http://schemas.microsoft.com/office/drawing/2014/main" id="{D87CE581-C59E-624E-21BE-29C71DEDBD15}"/>
                </a:ext>
              </a:extLst>
            </xdr:cNvPr>
            <xdr:cNvSpPr/>
          </xdr:nvSpPr>
          <xdr:spPr>
            <a:xfrm>
              <a:off x="980806" y="4624626"/>
              <a:ext cx="878629" cy="306652"/>
            </a:xfrm>
            <a:prstGeom prst="roundRect">
              <a:avLst/>
            </a:prstGeom>
            <a:noFill/>
            <a:ln>
              <a:noFill/>
            </a:ln>
            <a:effectLst>
              <a:glow rad="63500">
                <a:schemeClr val="accent3">
                  <a:satMod val="175000"/>
                  <a:alpha val="2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2">
                    <a:lumMod val="20000"/>
                    <a:lumOff val="80000"/>
                  </a:schemeClr>
                </a:solidFill>
              </a:endParaRPr>
            </a:p>
          </xdr:txBody>
        </xdr:sp>
      </xdr:grpSp>
      <xdr:sp macro="" textlink="">
        <xdr:nvSpPr>
          <xdr:cNvPr id="45" name="Rectangle 44">
            <a:extLst>
              <a:ext uri="{FF2B5EF4-FFF2-40B4-BE49-F238E27FC236}">
                <a16:creationId xmlns:a16="http://schemas.microsoft.com/office/drawing/2014/main" id="{E231A3A3-DDCC-5CE1-81C3-995D6BC0E7A7}"/>
              </a:ext>
            </a:extLst>
          </xdr:cNvPr>
          <xdr:cNvSpPr/>
        </xdr:nvSpPr>
        <xdr:spPr>
          <a:xfrm>
            <a:off x="13267094" y="1099330"/>
            <a:ext cx="1099145" cy="51611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rgbClr val="FFC000"/>
                </a:solidFill>
              </a:rPr>
              <a:t>Scenarios</a:t>
            </a:r>
          </a:p>
        </xdr:txBody>
      </xdr:sp>
      <xdr:sp macro="[0]!WorstCase" textlink="">
        <xdr:nvSpPr>
          <xdr:cNvPr id="46" name="WorstOn">
            <a:extLst>
              <a:ext uri="{FF2B5EF4-FFF2-40B4-BE49-F238E27FC236}">
                <a16:creationId xmlns:a16="http://schemas.microsoft.com/office/drawing/2014/main" id="{39764107-A3F0-469E-B50E-196F7DD3D88E}"/>
              </a:ext>
            </a:extLst>
          </xdr:cNvPr>
          <xdr:cNvSpPr/>
        </xdr:nvSpPr>
        <xdr:spPr>
          <a:xfrm>
            <a:off x="13279120" y="4104640"/>
            <a:ext cx="1099145" cy="51611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rgbClr val="FF0000"/>
                </a:solidFill>
              </a:rPr>
              <a:t>Worst</a:t>
            </a:r>
          </a:p>
        </xdr:txBody>
      </xdr:sp>
      <xdr:sp macro="[0]!BestCase" textlink="">
        <xdr:nvSpPr>
          <xdr:cNvPr id="47" name="BestON">
            <a:extLst>
              <a:ext uri="{FF2B5EF4-FFF2-40B4-BE49-F238E27FC236}">
                <a16:creationId xmlns:a16="http://schemas.microsoft.com/office/drawing/2014/main" id="{FCE3183F-F4B5-4F95-B31C-859878FE191D}"/>
              </a:ext>
            </a:extLst>
          </xdr:cNvPr>
          <xdr:cNvSpPr/>
        </xdr:nvSpPr>
        <xdr:spPr>
          <a:xfrm>
            <a:off x="13238480" y="2042160"/>
            <a:ext cx="1099145" cy="51611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rgbClr val="00CC00"/>
                </a:solidFill>
              </a:rPr>
              <a:t>Best</a:t>
            </a:r>
          </a:p>
        </xdr:txBody>
      </xdr:sp>
      <xdr:sp macro="[0]!AverageCase" textlink="">
        <xdr:nvSpPr>
          <xdr:cNvPr id="48" name="AverageOn">
            <a:extLst>
              <a:ext uri="{FF2B5EF4-FFF2-40B4-BE49-F238E27FC236}">
                <a16:creationId xmlns:a16="http://schemas.microsoft.com/office/drawing/2014/main" id="{F8A540F9-8DFB-4AC5-B317-8CBD5CCB849F}"/>
              </a:ext>
            </a:extLst>
          </xdr:cNvPr>
          <xdr:cNvSpPr/>
        </xdr:nvSpPr>
        <xdr:spPr>
          <a:xfrm>
            <a:off x="13289280" y="3088640"/>
            <a:ext cx="1099145" cy="51611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rgbClr val="FFFF00"/>
                </a:solidFill>
              </a:rPr>
              <a:t>Average</a:t>
            </a:r>
          </a:p>
        </xdr:txBody>
      </xdr:sp>
    </xdr:grpSp>
    <xdr:clientData/>
  </xdr:twoCellAnchor>
  <xdr:twoCellAnchor>
    <xdr:from>
      <xdr:col>0</xdr:col>
      <xdr:colOff>355601</xdr:colOff>
      <xdr:row>6</xdr:row>
      <xdr:rowOff>30480</xdr:rowOff>
    </xdr:from>
    <xdr:to>
      <xdr:col>2</xdr:col>
      <xdr:colOff>386081</xdr:colOff>
      <xdr:row>8</xdr:row>
      <xdr:rowOff>172108</xdr:rowOff>
    </xdr:to>
    <xdr:grpSp>
      <xdr:nvGrpSpPr>
        <xdr:cNvPr id="50" name="Group 49">
          <a:extLst>
            <a:ext uri="{FF2B5EF4-FFF2-40B4-BE49-F238E27FC236}">
              <a16:creationId xmlns:a16="http://schemas.microsoft.com/office/drawing/2014/main" id="{F66F948D-3B15-4ADE-A2E5-455194ADE9C5}"/>
            </a:ext>
          </a:extLst>
        </xdr:cNvPr>
        <xdr:cNvGrpSpPr/>
      </xdr:nvGrpSpPr>
      <xdr:grpSpPr>
        <a:xfrm>
          <a:off x="355601" y="1149161"/>
          <a:ext cx="1246437" cy="514521"/>
          <a:chOff x="62126" y="642926"/>
          <a:chExt cx="1121326" cy="588636"/>
        </a:xfrm>
        <a:noFill/>
      </xdr:grpSpPr>
      <xdr:sp macro="" textlink="">
        <xdr:nvSpPr>
          <xdr:cNvPr id="51" name="Rectangle 50">
            <a:extLst>
              <a:ext uri="{FF2B5EF4-FFF2-40B4-BE49-F238E27FC236}">
                <a16:creationId xmlns:a16="http://schemas.microsoft.com/office/drawing/2014/main" id="{2F360D48-B9CB-23EA-F02D-19F8C1040A45}"/>
              </a:ext>
            </a:extLst>
          </xdr:cNvPr>
          <xdr:cNvSpPr/>
        </xdr:nvSpPr>
        <xdr:spPr>
          <a:xfrm>
            <a:off x="62126" y="642926"/>
            <a:ext cx="1121326" cy="206194"/>
          </a:xfrm>
          <a:prstGeom prst="rect">
            <a:avLst/>
          </a:prstGeom>
          <a:grp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a:solidFill>
                  <a:srgbClr val="FFFF00"/>
                </a:solidFill>
              </a:rPr>
              <a:t>Sales</a:t>
            </a:r>
          </a:p>
        </xdr:txBody>
      </xdr:sp>
      <xdr:sp macro="" textlink="'P&amp;L_Pivot'!F17">
        <xdr:nvSpPr>
          <xdr:cNvPr id="52" name="Rectangle 51">
            <a:extLst>
              <a:ext uri="{FF2B5EF4-FFF2-40B4-BE49-F238E27FC236}">
                <a16:creationId xmlns:a16="http://schemas.microsoft.com/office/drawing/2014/main" id="{5174C169-E166-6810-51B5-C67C81CE0D89}"/>
              </a:ext>
            </a:extLst>
          </xdr:cNvPr>
          <xdr:cNvSpPr/>
        </xdr:nvSpPr>
        <xdr:spPr>
          <a:xfrm>
            <a:off x="62126" y="848664"/>
            <a:ext cx="1121326" cy="382898"/>
          </a:xfrm>
          <a:prstGeom prst="rect">
            <a:avLst/>
          </a:prstGeom>
          <a:grp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28A1600D-61C3-415A-8DC2-7DCC23BC953F}" type="TxLink">
              <a:rPr lang="en-US" sz="1800" b="1" i="0" u="none" strike="noStrike">
                <a:solidFill>
                  <a:srgbClr val="99CCFF"/>
                </a:solidFill>
                <a:latin typeface="Calibri"/>
                <a:ea typeface="Calibri"/>
                <a:cs typeface="Calibri"/>
              </a:rPr>
              <a:pPr algn="ctr"/>
              <a:t>335917</a:t>
            </a:fld>
            <a:endParaRPr lang="en-IN" sz="1800" b="1">
              <a:solidFill>
                <a:srgbClr val="99CCFF"/>
              </a:solidFill>
            </a:endParaRPr>
          </a:p>
        </xdr:txBody>
      </xdr:sp>
    </xdr:grpSp>
    <xdr:clientData/>
  </xdr:twoCellAnchor>
  <xdr:twoCellAnchor>
    <xdr:from>
      <xdr:col>0</xdr:col>
      <xdr:colOff>314960</xdr:colOff>
      <xdr:row>10</xdr:row>
      <xdr:rowOff>132080</xdr:rowOff>
    </xdr:from>
    <xdr:to>
      <xdr:col>2</xdr:col>
      <xdr:colOff>345440</xdr:colOff>
      <xdr:row>13</xdr:row>
      <xdr:rowOff>90828</xdr:rowOff>
    </xdr:to>
    <xdr:grpSp>
      <xdr:nvGrpSpPr>
        <xdr:cNvPr id="53" name="Group 52">
          <a:extLst>
            <a:ext uri="{FF2B5EF4-FFF2-40B4-BE49-F238E27FC236}">
              <a16:creationId xmlns:a16="http://schemas.microsoft.com/office/drawing/2014/main" id="{20E995B5-32D6-483E-B3C9-C7A195649E65}"/>
            </a:ext>
          </a:extLst>
        </xdr:cNvPr>
        <xdr:cNvGrpSpPr/>
      </xdr:nvGrpSpPr>
      <xdr:grpSpPr>
        <a:xfrm>
          <a:off x="314960" y="1996548"/>
          <a:ext cx="1246437" cy="518089"/>
          <a:chOff x="62126" y="642926"/>
          <a:chExt cx="1121326" cy="588636"/>
        </a:xfrm>
        <a:noFill/>
      </xdr:grpSpPr>
      <xdr:sp macro="" textlink="">
        <xdr:nvSpPr>
          <xdr:cNvPr id="54" name="Rectangle 53">
            <a:extLst>
              <a:ext uri="{FF2B5EF4-FFF2-40B4-BE49-F238E27FC236}">
                <a16:creationId xmlns:a16="http://schemas.microsoft.com/office/drawing/2014/main" id="{E784EFCD-0BA9-AC6A-E83C-D342FD48D2C0}"/>
              </a:ext>
            </a:extLst>
          </xdr:cNvPr>
          <xdr:cNvSpPr/>
        </xdr:nvSpPr>
        <xdr:spPr>
          <a:xfrm>
            <a:off x="62126" y="642926"/>
            <a:ext cx="1121326" cy="206194"/>
          </a:xfrm>
          <a:prstGeom prst="rect">
            <a:avLst/>
          </a:prstGeom>
          <a:grp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a:solidFill>
                  <a:srgbClr val="FFFF00"/>
                </a:solidFill>
              </a:rPr>
              <a:t>Profit</a:t>
            </a:r>
          </a:p>
        </xdr:txBody>
      </xdr:sp>
      <xdr:sp macro="" textlink="'P&amp;L_Pivot'!M6">
        <xdr:nvSpPr>
          <xdr:cNvPr id="55" name="Rectangle 54">
            <a:extLst>
              <a:ext uri="{FF2B5EF4-FFF2-40B4-BE49-F238E27FC236}">
                <a16:creationId xmlns:a16="http://schemas.microsoft.com/office/drawing/2014/main" id="{38FBB8A9-7742-C548-68E3-6E743F79D557}"/>
              </a:ext>
            </a:extLst>
          </xdr:cNvPr>
          <xdr:cNvSpPr/>
        </xdr:nvSpPr>
        <xdr:spPr>
          <a:xfrm>
            <a:off x="62126" y="848664"/>
            <a:ext cx="1121326" cy="382898"/>
          </a:xfrm>
          <a:prstGeom prst="rect">
            <a:avLst/>
          </a:prstGeom>
          <a:grp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722D6E90-738A-4E93-A96E-D8F9BF37FD8B}" type="TxLink">
              <a:rPr lang="en-US" sz="1800" b="1" i="0" u="none" strike="noStrike">
                <a:solidFill>
                  <a:srgbClr val="99CCFF"/>
                </a:solidFill>
                <a:latin typeface="Calibri"/>
                <a:ea typeface="Calibri"/>
                <a:cs typeface="Calibri"/>
              </a:rPr>
              <a:pPr algn="ctr"/>
              <a:t>19917</a:t>
            </a:fld>
            <a:endParaRPr lang="en-IN" sz="1800" b="1">
              <a:solidFill>
                <a:srgbClr val="99CCFF"/>
              </a:solidFill>
            </a:endParaRPr>
          </a:p>
        </xdr:txBody>
      </xdr:sp>
    </xdr:grpSp>
    <xdr:clientData/>
  </xdr:twoCellAnchor>
  <xdr:twoCellAnchor>
    <xdr:from>
      <xdr:col>0</xdr:col>
      <xdr:colOff>162560</xdr:colOff>
      <xdr:row>15</xdr:row>
      <xdr:rowOff>101600</xdr:rowOff>
    </xdr:from>
    <xdr:to>
      <xdr:col>3</xdr:col>
      <xdr:colOff>30480</xdr:colOff>
      <xdr:row>18</xdr:row>
      <xdr:rowOff>60348</xdr:rowOff>
    </xdr:to>
    <xdr:grpSp>
      <xdr:nvGrpSpPr>
        <xdr:cNvPr id="56" name="Group 55">
          <a:extLst>
            <a:ext uri="{FF2B5EF4-FFF2-40B4-BE49-F238E27FC236}">
              <a16:creationId xmlns:a16="http://schemas.microsoft.com/office/drawing/2014/main" id="{5B6584CA-4F47-4697-ACA7-216181702D07}"/>
            </a:ext>
          </a:extLst>
        </xdr:cNvPr>
        <xdr:cNvGrpSpPr/>
      </xdr:nvGrpSpPr>
      <xdr:grpSpPr>
        <a:xfrm>
          <a:off x="162560" y="2898302"/>
          <a:ext cx="1691856" cy="518089"/>
          <a:chOff x="62126" y="642926"/>
          <a:chExt cx="1121326" cy="588636"/>
        </a:xfrm>
        <a:noFill/>
      </xdr:grpSpPr>
      <xdr:sp macro="" textlink="">
        <xdr:nvSpPr>
          <xdr:cNvPr id="57" name="Rectangle 56">
            <a:extLst>
              <a:ext uri="{FF2B5EF4-FFF2-40B4-BE49-F238E27FC236}">
                <a16:creationId xmlns:a16="http://schemas.microsoft.com/office/drawing/2014/main" id="{453F0649-68E8-3B8B-DD6D-3DFDCA38469B}"/>
              </a:ext>
            </a:extLst>
          </xdr:cNvPr>
          <xdr:cNvSpPr/>
        </xdr:nvSpPr>
        <xdr:spPr>
          <a:xfrm>
            <a:off x="62126" y="642926"/>
            <a:ext cx="1121326" cy="206194"/>
          </a:xfrm>
          <a:prstGeom prst="rect">
            <a:avLst/>
          </a:prstGeom>
          <a:grp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a:solidFill>
                  <a:srgbClr val="FFFF00"/>
                </a:solidFill>
              </a:rPr>
              <a:t>Enterprise</a:t>
            </a:r>
            <a:r>
              <a:rPr lang="en-IN" sz="1400" baseline="0">
                <a:solidFill>
                  <a:srgbClr val="FFFF00"/>
                </a:solidFill>
              </a:rPr>
              <a:t> Vlaue</a:t>
            </a:r>
            <a:endParaRPr lang="en-IN" sz="1400">
              <a:solidFill>
                <a:srgbClr val="FFFF00"/>
              </a:solidFill>
            </a:endParaRPr>
          </a:p>
        </xdr:txBody>
      </xdr:sp>
      <xdr:sp macro="" textlink="DCF!C18">
        <xdr:nvSpPr>
          <xdr:cNvPr id="58" name="Rectangle 57">
            <a:extLst>
              <a:ext uri="{FF2B5EF4-FFF2-40B4-BE49-F238E27FC236}">
                <a16:creationId xmlns:a16="http://schemas.microsoft.com/office/drawing/2014/main" id="{CF6744F9-6F37-988F-310A-76B9AA9C8D8A}"/>
              </a:ext>
            </a:extLst>
          </xdr:cNvPr>
          <xdr:cNvSpPr/>
        </xdr:nvSpPr>
        <xdr:spPr>
          <a:xfrm>
            <a:off x="62126" y="848664"/>
            <a:ext cx="1121326" cy="382898"/>
          </a:xfrm>
          <a:prstGeom prst="rect">
            <a:avLst/>
          </a:prstGeom>
          <a:grp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961C3501-DB79-4310-914B-88B7BD9AD6A8}" type="TxLink">
              <a:rPr lang="en-US" sz="1800" b="1" i="0" u="none" strike="noStrike">
                <a:solidFill>
                  <a:srgbClr val="99CCFF"/>
                </a:solidFill>
                <a:latin typeface="Calibri"/>
                <a:ea typeface="Calibri"/>
                <a:cs typeface="Calibri"/>
              </a:rPr>
              <a:pPr algn="ctr"/>
              <a:t>4,11,795</a:t>
            </a:fld>
            <a:endParaRPr lang="en-IN" sz="1800" b="1">
              <a:solidFill>
                <a:srgbClr val="99CCFF"/>
              </a:solidFill>
            </a:endParaRPr>
          </a:p>
        </xdr:txBody>
      </xdr:sp>
    </xdr:grpSp>
    <xdr:clientData/>
  </xdr:twoCellAnchor>
  <xdr:twoCellAnchor>
    <xdr:from>
      <xdr:col>0</xdr:col>
      <xdr:colOff>416560</xdr:colOff>
      <xdr:row>25</xdr:row>
      <xdr:rowOff>0</xdr:rowOff>
    </xdr:from>
    <xdr:to>
      <xdr:col>2</xdr:col>
      <xdr:colOff>447040</xdr:colOff>
      <xdr:row>27</xdr:row>
      <xdr:rowOff>141628</xdr:rowOff>
    </xdr:to>
    <xdr:grpSp>
      <xdr:nvGrpSpPr>
        <xdr:cNvPr id="59" name="Group 58">
          <a:extLst>
            <a:ext uri="{FF2B5EF4-FFF2-40B4-BE49-F238E27FC236}">
              <a16:creationId xmlns:a16="http://schemas.microsoft.com/office/drawing/2014/main" id="{A0BB78A6-6EA3-4592-862C-8798FDB1903B}"/>
            </a:ext>
          </a:extLst>
        </xdr:cNvPr>
        <xdr:cNvGrpSpPr/>
      </xdr:nvGrpSpPr>
      <xdr:grpSpPr>
        <a:xfrm>
          <a:off x="416560" y="4661170"/>
          <a:ext cx="1246437" cy="514522"/>
          <a:chOff x="62126" y="642926"/>
          <a:chExt cx="1121326" cy="588636"/>
        </a:xfrm>
        <a:noFill/>
      </xdr:grpSpPr>
      <xdr:sp macro="" textlink="">
        <xdr:nvSpPr>
          <xdr:cNvPr id="60" name="Rectangle 59">
            <a:extLst>
              <a:ext uri="{FF2B5EF4-FFF2-40B4-BE49-F238E27FC236}">
                <a16:creationId xmlns:a16="http://schemas.microsoft.com/office/drawing/2014/main" id="{616045F0-83AF-C4A9-03C4-428B2185698F}"/>
              </a:ext>
            </a:extLst>
          </xdr:cNvPr>
          <xdr:cNvSpPr/>
        </xdr:nvSpPr>
        <xdr:spPr>
          <a:xfrm>
            <a:off x="62126" y="642926"/>
            <a:ext cx="1121326" cy="206194"/>
          </a:xfrm>
          <a:prstGeom prst="rect">
            <a:avLst/>
          </a:prstGeom>
          <a:grp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a:solidFill>
                  <a:srgbClr val="FFFF00"/>
                </a:solidFill>
              </a:rPr>
              <a:t>WACC</a:t>
            </a:r>
          </a:p>
        </xdr:txBody>
      </xdr:sp>
      <xdr:sp macro="" textlink="WACC!C20">
        <xdr:nvSpPr>
          <xdr:cNvPr id="61" name="Rectangle 60">
            <a:extLst>
              <a:ext uri="{FF2B5EF4-FFF2-40B4-BE49-F238E27FC236}">
                <a16:creationId xmlns:a16="http://schemas.microsoft.com/office/drawing/2014/main" id="{B74255FE-7206-DB72-AC59-7029F8B762D6}"/>
              </a:ext>
            </a:extLst>
          </xdr:cNvPr>
          <xdr:cNvSpPr/>
        </xdr:nvSpPr>
        <xdr:spPr>
          <a:xfrm>
            <a:off x="62126" y="848664"/>
            <a:ext cx="1121326" cy="382898"/>
          </a:xfrm>
          <a:prstGeom prst="rect">
            <a:avLst/>
          </a:prstGeom>
          <a:grp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D9F449BE-30D7-4144-973F-909C49BAF624}" type="TxLink">
              <a:rPr lang="en-US" sz="1800" b="1" i="0" u="none" strike="noStrike">
                <a:solidFill>
                  <a:srgbClr val="99CCFF"/>
                </a:solidFill>
                <a:latin typeface="Calibri"/>
                <a:ea typeface="Calibri"/>
                <a:cs typeface="Calibri"/>
              </a:rPr>
              <a:pPr algn="ctr"/>
              <a:t>10.75%</a:t>
            </a:fld>
            <a:endParaRPr lang="en-IN" sz="1800" b="1">
              <a:solidFill>
                <a:srgbClr val="99CCFF"/>
              </a:solidFill>
            </a:endParaRPr>
          </a:p>
        </xdr:txBody>
      </xdr:sp>
    </xdr:grpSp>
    <xdr:clientData/>
  </xdr:twoCellAnchor>
  <xdr:twoCellAnchor>
    <xdr:from>
      <xdr:col>0</xdr:col>
      <xdr:colOff>396240</xdr:colOff>
      <xdr:row>20</xdr:row>
      <xdr:rowOff>40640</xdr:rowOff>
    </xdr:from>
    <xdr:to>
      <xdr:col>2</xdr:col>
      <xdr:colOff>426720</xdr:colOff>
      <xdr:row>22</xdr:row>
      <xdr:rowOff>182268</xdr:rowOff>
    </xdr:to>
    <xdr:grpSp>
      <xdr:nvGrpSpPr>
        <xdr:cNvPr id="62" name="Group 61">
          <a:extLst>
            <a:ext uri="{FF2B5EF4-FFF2-40B4-BE49-F238E27FC236}">
              <a16:creationId xmlns:a16="http://schemas.microsoft.com/office/drawing/2014/main" id="{EDFF0262-7A0A-4624-812F-87DC7AF61670}"/>
            </a:ext>
          </a:extLst>
        </xdr:cNvPr>
        <xdr:cNvGrpSpPr/>
      </xdr:nvGrpSpPr>
      <xdr:grpSpPr>
        <a:xfrm>
          <a:off x="396240" y="3769576"/>
          <a:ext cx="1246437" cy="514522"/>
          <a:chOff x="62126" y="642926"/>
          <a:chExt cx="1121326" cy="588636"/>
        </a:xfrm>
        <a:noFill/>
      </xdr:grpSpPr>
      <xdr:sp macro="" textlink="">
        <xdr:nvSpPr>
          <xdr:cNvPr id="63" name="Rectangle 62">
            <a:extLst>
              <a:ext uri="{FF2B5EF4-FFF2-40B4-BE49-F238E27FC236}">
                <a16:creationId xmlns:a16="http://schemas.microsoft.com/office/drawing/2014/main" id="{48023993-E123-7E88-647B-90F7D57E67EB}"/>
              </a:ext>
            </a:extLst>
          </xdr:cNvPr>
          <xdr:cNvSpPr/>
        </xdr:nvSpPr>
        <xdr:spPr>
          <a:xfrm>
            <a:off x="62126" y="642926"/>
            <a:ext cx="1121326" cy="206194"/>
          </a:xfrm>
          <a:prstGeom prst="rect">
            <a:avLst/>
          </a:prstGeom>
          <a:grp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a:solidFill>
                  <a:srgbClr val="FFFF00"/>
                </a:solidFill>
              </a:rPr>
              <a:t>Share</a:t>
            </a:r>
            <a:r>
              <a:rPr lang="en-IN" sz="1400" baseline="0">
                <a:solidFill>
                  <a:srgbClr val="FFFF00"/>
                </a:solidFill>
              </a:rPr>
              <a:t> Price</a:t>
            </a:r>
            <a:endParaRPr lang="en-IN" sz="1400">
              <a:solidFill>
                <a:srgbClr val="FFFF00"/>
              </a:solidFill>
            </a:endParaRPr>
          </a:p>
        </xdr:txBody>
      </xdr:sp>
      <xdr:sp macro="" textlink="DCF!C24">
        <xdr:nvSpPr>
          <xdr:cNvPr id="2048" name="Rectangle 2047">
            <a:extLst>
              <a:ext uri="{FF2B5EF4-FFF2-40B4-BE49-F238E27FC236}">
                <a16:creationId xmlns:a16="http://schemas.microsoft.com/office/drawing/2014/main" id="{470BC65F-369B-50B1-C29A-BBFDCEE91933}"/>
              </a:ext>
            </a:extLst>
          </xdr:cNvPr>
          <xdr:cNvSpPr/>
        </xdr:nvSpPr>
        <xdr:spPr>
          <a:xfrm>
            <a:off x="62126" y="848664"/>
            <a:ext cx="1121326" cy="382898"/>
          </a:xfrm>
          <a:prstGeom prst="rect">
            <a:avLst/>
          </a:prstGeom>
          <a:grp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9FD68ED4-9703-4824-B66B-8B67D0EF3503}" type="TxLink">
              <a:rPr lang="en-US" sz="1800" b="1" i="0" u="none" strike="noStrike">
                <a:solidFill>
                  <a:srgbClr val="99CCFF"/>
                </a:solidFill>
                <a:latin typeface="Calibri"/>
                <a:ea typeface="Calibri"/>
                <a:cs typeface="Calibri"/>
              </a:rPr>
              <a:pPr algn="ctr"/>
              <a:t>2,965</a:t>
            </a:fld>
            <a:endParaRPr lang="en-IN" sz="1800" b="1">
              <a:solidFill>
                <a:srgbClr val="99CCFF"/>
              </a:solidFill>
            </a:endParaRPr>
          </a:p>
        </xdr:txBody>
      </xdr:sp>
    </xdr:grpSp>
    <xdr:clientData/>
  </xdr:twoCellAnchor>
  <xdr:twoCellAnchor editAs="oneCell">
    <xdr:from>
      <xdr:col>1</xdr:col>
      <xdr:colOff>203200</xdr:colOff>
      <xdr:row>4</xdr:row>
      <xdr:rowOff>71120</xdr:rowOff>
    </xdr:from>
    <xdr:to>
      <xdr:col>1</xdr:col>
      <xdr:colOff>538480</xdr:colOff>
      <xdr:row>6</xdr:row>
      <xdr:rowOff>40640</xdr:rowOff>
    </xdr:to>
    <xdr:pic>
      <xdr:nvPicPr>
        <xdr:cNvPr id="2057" name="Graphic 2056" descr="Shopping cart">
          <a:extLst>
            <a:ext uri="{FF2B5EF4-FFF2-40B4-BE49-F238E27FC236}">
              <a16:creationId xmlns:a16="http://schemas.microsoft.com/office/drawing/2014/main" id="{BB8E19FF-105C-6D3B-B0C8-D69A742E5AC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812800" y="802640"/>
          <a:ext cx="335280" cy="335280"/>
        </a:xfrm>
        <a:prstGeom prst="rect">
          <a:avLst/>
        </a:prstGeom>
        <a:effectLst>
          <a:glow rad="63500">
            <a:schemeClr val="accent1">
              <a:lumMod val="20000"/>
              <a:lumOff val="80000"/>
              <a:alpha val="40000"/>
            </a:schemeClr>
          </a:glow>
        </a:effectLst>
      </xdr:spPr>
    </xdr:pic>
    <xdr:clientData/>
  </xdr:twoCellAnchor>
  <xdr:twoCellAnchor editAs="oneCell">
    <xdr:from>
      <xdr:col>1</xdr:col>
      <xdr:colOff>160160</xdr:colOff>
      <xdr:row>8</xdr:row>
      <xdr:rowOff>157760</xdr:rowOff>
    </xdr:from>
    <xdr:to>
      <xdr:col>1</xdr:col>
      <xdr:colOff>528320</xdr:colOff>
      <xdr:row>10</xdr:row>
      <xdr:rowOff>160160</xdr:rowOff>
    </xdr:to>
    <xdr:pic>
      <xdr:nvPicPr>
        <xdr:cNvPr id="2059" name="Graphic 2058" descr="Money">
          <a:extLst>
            <a:ext uri="{FF2B5EF4-FFF2-40B4-BE49-F238E27FC236}">
              <a16:creationId xmlns:a16="http://schemas.microsoft.com/office/drawing/2014/main" id="{439E010C-4C09-A010-8EFE-9C0E09CC71D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9760" y="1620800"/>
          <a:ext cx="368160" cy="368160"/>
        </a:xfrm>
        <a:prstGeom prst="rect">
          <a:avLst/>
        </a:prstGeom>
        <a:effectLst>
          <a:glow rad="63500">
            <a:schemeClr val="accent1">
              <a:lumMod val="20000"/>
              <a:lumOff val="80000"/>
              <a:alpha val="40000"/>
            </a:schemeClr>
          </a:glow>
        </a:effectLst>
      </xdr:spPr>
    </xdr:pic>
    <xdr:clientData/>
  </xdr:twoCellAnchor>
  <xdr:twoCellAnchor editAs="oneCell">
    <xdr:from>
      <xdr:col>1</xdr:col>
      <xdr:colOff>196000</xdr:colOff>
      <xdr:row>18</xdr:row>
      <xdr:rowOff>36400</xdr:rowOff>
    </xdr:from>
    <xdr:to>
      <xdr:col>2</xdr:col>
      <xdr:colOff>10160</xdr:colOff>
      <xdr:row>20</xdr:row>
      <xdr:rowOff>94400</xdr:rowOff>
    </xdr:to>
    <xdr:pic>
      <xdr:nvPicPr>
        <xdr:cNvPr id="2063" name="Graphic 2062" descr="Bar chart">
          <a:extLst>
            <a:ext uri="{FF2B5EF4-FFF2-40B4-BE49-F238E27FC236}">
              <a16:creationId xmlns:a16="http://schemas.microsoft.com/office/drawing/2014/main" id="{B26F6C1A-281F-0A4C-1739-817105F9DCA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05600" y="3328240"/>
          <a:ext cx="423760" cy="423760"/>
        </a:xfrm>
        <a:prstGeom prst="rect">
          <a:avLst/>
        </a:prstGeom>
        <a:effectLst>
          <a:glow rad="63500">
            <a:schemeClr val="accent1">
              <a:lumMod val="20000"/>
              <a:lumOff val="80000"/>
              <a:alpha val="40000"/>
            </a:schemeClr>
          </a:glow>
        </a:effectLst>
      </xdr:spPr>
    </xdr:pic>
    <xdr:clientData/>
  </xdr:twoCellAnchor>
  <xdr:twoCellAnchor editAs="oneCell">
    <xdr:from>
      <xdr:col>1</xdr:col>
      <xdr:colOff>163120</xdr:colOff>
      <xdr:row>13</xdr:row>
      <xdr:rowOff>82400</xdr:rowOff>
    </xdr:from>
    <xdr:to>
      <xdr:col>1</xdr:col>
      <xdr:colOff>548640</xdr:colOff>
      <xdr:row>15</xdr:row>
      <xdr:rowOff>102160</xdr:rowOff>
    </xdr:to>
    <xdr:pic>
      <xdr:nvPicPr>
        <xdr:cNvPr id="2065" name="Graphic 2064" descr="Building">
          <a:extLst>
            <a:ext uri="{FF2B5EF4-FFF2-40B4-BE49-F238E27FC236}">
              <a16:creationId xmlns:a16="http://schemas.microsoft.com/office/drawing/2014/main" id="{A7590DC8-4B41-0856-FBB7-0716951B9B8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72720" y="2459840"/>
          <a:ext cx="385520" cy="385520"/>
        </a:xfrm>
        <a:prstGeom prst="rect">
          <a:avLst/>
        </a:prstGeom>
        <a:effectLst>
          <a:glow rad="63500">
            <a:schemeClr val="accent1">
              <a:lumMod val="20000"/>
              <a:lumOff val="80000"/>
              <a:alpha val="40000"/>
            </a:schemeClr>
          </a:glow>
        </a:effectLst>
      </xdr:spPr>
    </xdr:pic>
    <xdr:clientData/>
  </xdr:twoCellAnchor>
  <xdr:twoCellAnchor editAs="oneCell">
    <xdr:from>
      <xdr:col>1</xdr:col>
      <xdr:colOff>231840</xdr:colOff>
      <xdr:row>22</xdr:row>
      <xdr:rowOff>158880</xdr:rowOff>
    </xdr:from>
    <xdr:to>
      <xdr:col>2</xdr:col>
      <xdr:colOff>20320</xdr:colOff>
      <xdr:row>25</xdr:row>
      <xdr:rowOff>8320</xdr:rowOff>
    </xdr:to>
    <xdr:pic>
      <xdr:nvPicPr>
        <xdr:cNvPr id="2067" name="Graphic 2066" descr="Lightbulb and gear">
          <a:extLst>
            <a:ext uri="{FF2B5EF4-FFF2-40B4-BE49-F238E27FC236}">
              <a16:creationId xmlns:a16="http://schemas.microsoft.com/office/drawing/2014/main" id="{67259902-E4B6-AB16-9F4E-E64BD3C8124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841440" y="4182240"/>
          <a:ext cx="398080" cy="398080"/>
        </a:xfrm>
        <a:prstGeom prst="rect">
          <a:avLst/>
        </a:prstGeom>
        <a:effectLst>
          <a:glow rad="63500">
            <a:schemeClr val="accent1">
              <a:lumMod val="20000"/>
              <a:lumOff val="80000"/>
              <a:alpha val="40000"/>
            </a:schemeClr>
          </a:glow>
        </a:effectLst>
      </xdr:spPr>
    </xdr:pic>
    <xdr:clientData/>
  </xdr:twoCellAnchor>
  <xdr:twoCellAnchor>
    <xdr:from>
      <xdr:col>2</xdr:col>
      <xdr:colOff>520895</xdr:colOff>
      <xdr:row>17</xdr:row>
      <xdr:rowOff>46341</xdr:rowOff>
    </xdr:from>
    <xdr:to>
      <xdr:col>11</xdr:col>
      <xdr:colOff>409777</xdr:colOff>
      <xdr:row>29</xdr:row>
      <xdr:rowOff>46340</xdr:rowOff>
    </xdr:to>
    <xdr:grpSp>
      <xdr:nvGrpSpPr>
        <xdr:cNvPr id="2069" name="Group 2068">
          <a:extLst>
            <a:ext uri="{FF2B5EF4-FFF2-40B4-BE49-F238E27FC236}">
              <a16:creationId xmlns:a16="http://schemas.microsoft.com/office/drawing/2014/main" id="{D944EC57-5BDD-3BDC-C6F8-DED948E435F3}"/>
            </a:ext>
          </a:extLst>
        </xdr:cNvPr>
        <xdr:cNvGrpSpPr/>
      </xdr:nvGrpSpPr>
      <xdr:grpSpPr>
        <a:xfrm>
          <a:off x="1736852" y="3215937"/>
          <a:ext cx="5360691" cy="2237360"/>
          <a:chOff x="1735333" y="3082435"/>
          <a:chExt cx="5353850" cy="2143124"/>
        </a:xfrm>
      </xdr:grpSpPr>
      <xdr:sp macro="" textlink="">
        <xdr:nvSpPr>
          <xdr:cNvPr id="11" name="Rectangle: Rounded Corners 10">
            <a:extLst>
              <a:ext uri="{FF2B5EF4-FFF2-40B4-BE49-F238E27FC236}">
                <a16:creationId xmlns:a16="http://schemas.microsoft.com/office/drawing/2014/main" id="{14F6C6E7-EBEA-4255-91B7-951B958B6DC5}"/>
              </a:ext>
            </a:extLst>
          </xdr:cNvPr>
          <xdr:cNvSpPr/>
        </xdr:nvSpPr>
        <xdr:spPr>
          <a:xfrm>
            <a:off x="1735333" y="3082435"/>
            <a:ext cx="5353850" cy="2143124"/>
          </a:xfrm>
          <a:prstGeom prst="roundRect">
            <a:avLst/>
          </a:prstGeom>
          <a:gradFill flip="none" rotWithShape="1">
            <a:gsLst>
              <a:gs pos="0">
                <a:srgbClr val="000066"/>
              </a:gs>
              <a:gs pos="23000">
                <a:srgbClr val="150953"/>
              </a:gs>
              <a:gs pos="69000">
                <a:schemeClr val="accent5">
                  <a:lumMod val="75000"/>
                </a:schemeClr>
              </a:gs>
              <a:gs pos="97000">
                <a:schemeClr val="accent5">
                  <a:lumMod val="75000"/>
                </a:schemeClr>
              </a:gs>
            </a:gsLst>
            <a:path path="circle">
              <a:fillToRect t="100000" r="100000"/>
            </a:path>
            <a:tileRect l="-100000" b="-100000"/>
          </a:gradFill>
          <a:ln>
            <a:noFill/>
          </a:ln>
          <a:effectLst>
            <a:glow rad="63500">
              <a:schemeClr val="tx1">
                <a:lumMod val="95000"/>
                <a:lumOff val="5000"/>
                <a:alpha val="2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cx1="http://schemas.microsoft.com/office/drawing/2015/9/8/chartex" Requires="cx1">
          <xdr:graphicFrame macro="">
            <xdr:nvGraphicFramePr>
              <xdr:cNvPr id="2068" name="Chart 2067">
                <a:extLst>
                  <a:ext uri="{FF2B5EF4-FFF2-40B4-BE49-F238E27FC236}">
                    <a16:creationId xmlns:a16="http://schemas.microsoft.com/office/drawing/2014/main" id="{F3CF0074-21AA-4466-84DC-0BDED9DD8E7B}"/>
                  </a:ext>
                </a:extLst>
              </xdr:cNvPr>
              <xdr:cNvGraphicFramePr/>
            </xdr:nvGraphicFramePr>
            <xdr:xfrm>
              <a:off x="1923256" y="3123075"/>
              <a:ext cx="4959349" cy="202995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923256" y="3123075"/>
                <a:ext cx="4959349" cy="20299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clientData/>
  </xdr:twoCellAnchor>
  <xdr:twoCellAnchor>
    <xdr:from>
      <xdr:col>15</xdr:col>
      <xdr:colOff>525888</xdr:colOff>
      <xdr:row>6</xdr:row>
      <xdr:rowOff>98049</xdr:rowOff>
    </xdr:from>
    <xdr:to>
      <xdr:col>21</xdr:col>
      <xdr:colOff>269294</xdr:colOff>
      <xdr:row>17</xdr:row>
      <xdr:rowOff>41060</xdr:rowOff>
    </xdr:to>
    <xdr:grpSp>
      <xdr:nvGrpSpPr>
        <xdr:cNvPr id="2071" name="Group 2070">
          <a:extLst>
            <a:ext uri="{FF2B5EF4-FFF2-40B4-BE49-F238E27FC236}">
              <a16:creationId xmlns:a16="http://schemas.microsoft.com/office/drawing/2014/main" id="{DBE480A6-18C2-7DD4-B5B1-42E63E9BD3E3}"/>
            </a:ext>
          </a:extLst>
        </xdr:cNvPr>
        <xdr:cNvGrpSpPr/>
      </xdr:nvGrpSpPr>
      <xdr:grpSpPr>
        <a:xfrm>
          <a:off x="9645569" y="1216730"/>
          <a:ext cx="3391278" cy="1993926"/>
          <a:chOff x="9431583" y="1197087"/>
          <a:chExt cx="3608538" cy="1957915"/>
        </a:xfrm>
      </xdr:grpSpPr>
      <xdr:sp macro="" textlink="">
        <xdr:nvSpPr>
          <xdr:cNvPr id="10" name="Rectangle: Rounded Corners 9">
            <a:extLst>
              <a:ext uri="{FF2B5EF4-FFF2-40B4-BE49-F238E27FC236}">
                <a16:creationId xmlns:a16="http://schemas.microsoft.com/office/drawing/2014/main" id="{4A40A08F-2A8A-4BE0-BBF9-FE8DB077CF20}"/>
              </a:ext>
            </a:extLst>
          </xdr:cNvPr>
          <xdr:cNvSpPr/>
        </xdr:nvSpPr>
        <xdr:spPr>
          <a:xfrm>
            <a:off x="9476498" y="1197087"/>
            <a:ext cx="3563623" cy="1957915"/>
          </a:xfrm>
          <a:prstGeom prst="roundRect">
            <a:avLst/>
          </a:prstGeom>
          <a:gradFill flip="none" rotWithShape="1">
            <a:gsLst>
              <a:gs pos="0">
                <a:srgbClr val="000066"/>
              </a:gs>
              <a:gs pos="23000">
                <a:srgbClr val="150953"/>
              </a:gs>
              <a:gs pos="69000">
                <a:schemeClr val="accent5">
                  <a:lumMod val="75000"/>
                </a:schemeClr>
              </a:gs>
              <a:gs pos="97000">
                <a:schemeClr val="accent5">
                  <a:lumMod val="75000"/>
                </a:schemeClr>
              </a:gs>
            </a:gsLst>
            <a:path path="circle">
              <a:fillToRect t="100000" r="100000"/>
            </a:path>
            <a:tileRect l="-100000" b="-100000"/>
          </a:gradFill>
          <a:ln>
            <a:noFill/>
          </a:ln>
          <a:effectLst>
            <a:glow rad="63500">
              <a:schemeClr val="tx1">
                <a:lumMod val="95000"/>
                <a:lumOff val="5000"/>
                <a:alpha val="2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070" name="Chart 2069">
            <a:extLst>
              <a:ext uri="{FF2B5EF4-FFF2-40B4-BE49-F238E27FC236}">
                <a16:creationId xmlns:a16="http://schemas.microsoft.com/office/drawing/2014/main" id="{28E44367-F7B2-4335-A44E-C5C70027A51B}"/>
              </a:ext>
            </a:extLst>
          </xdr:cNvPr>
          <xdr:cNvGraphicFramePr>
            <a:graphicFrameLocks/>
          </xdr:cNvGraphicFramePr>
        </xdr:nvGraphicFramePr>
        <xdr:xfrm>
          <a:off x="9431583" y="1241914"/>
          <a:ext cx="3472393" cy="1831730"/>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xdr:from>
      <xdr:col>3</xdr:col>
      <xdr:colOff>444501</xdr:colOff>
      <xdr:row>1</xdr:row>
      <xdr:rowOff>166418</xdr:rowOff>
    </xdr:from>
    <xdr:to>
      <xdr:col>21</xdr:col>
      <xdr:colOff>455448</xdr:colOff>
      <xdr:row>6</xdr:row>
      <xdr:rowOff>45358</xdr:rowOff>
    </xdr:to>
    <xdr:grpSp>
      <xdr:nvGrpSpPr>
        <xdr:cNvPr id="2073" name="Group 2072">
          <a:extLst>
            <a:ext uri="{FF2B5EF4-FFF2-40B4-BE49-F238E27FC236}">
              <a16:creationId xmlns:a16="http://schemas.microsoft.com/office/drawing/2014/main" id="{4AE82657-5D32-7507-3021-7A3447815D75}"/>
            </a:ext>
          </a:extLst>
        </xdr:cNvPr>
        <xdr:cNvGrpSpPr/>
      </xdr:nvGrpSpPr>
      <xdr:grpSpPr>
        <a:xfrm>
          <a:off x="2268437" y="352865"/>
          <a:ext cx="10954564" cy="811174"/>
          <a:chOff x="2260775" y="354308"/>
          <a:chExt cx="10908591" cy="818392"/>
        </a:xfrm>
      </xdr:grpSpPr>
      <xdr:sp macro="" textlink="">
        <xdr:nvSpPr>
          <xdr:cNvPr id="8" name="Rectangle: Rounded Corners 7">
            <a:extLst>
              <a:ext uri="{FF2B5EF4-FFF2-40B4-BE49-F238E27FC236}">
                <a16:creationId xmlns:a16="http://schemas.microsoft.com/office/drawing/2014/main" id="{2B19511A-89B0-4AC9-952F-0AB46E00EEB3}"/>
              </a:ext>
            </a:extLst>
          </xdr:cNvPr>
          <xdr:cNvSpPr/>
        </xdr:nvSpPr>
        <xdr:spPr>
          <a:xfrm rot="5400000">
            <a:off x="7305875" y="-4690792"/>
            <a:ext cx="818392" cy="10908591"/>
          </a:xfrm>
          <a:prstGeom prst="roundRect">
            <a:avLst/>
          </a:prstGeom>
          <a:gradFill flip="none" rotWithShape="1">
            <a:gsLst>
              <a:gs pos="0">
                <a:srgbClr val="000066"/>
              </a:gs>
              <a:gs pos="23000">
                <a:srgbClr val="150953"/>
              </a:gs>
              <a:gs pos="69000">
                <a:schemeClr val="accent5">
                  <a:lumMod val="75000"/>
                </a:schemeClr>
              </a:gs>
              <a:gs pos="97000">
                <a:schemeClr val="accent5">
                  <a:lumMod val="75000"/>
                </a:schemeClr>
              </a:gs>
            </a:gsLst>
            <a:path path="circle">
              <a:fillToRect t="100000" r="100000"/>
            </a:path>
            <a:tileRect l="-100000" b="-100000"/>
          </a:gradFill>
          <a:ln>
            <a:noFill/>
          </a:ln>
          <a:effectLst>
            <a:glow rad="63500">
              <a:schemeClr val="tx1">
                <a:lumMod val="95000"/>
                <a:lumOff val="5000"/>
                <a:alpha val="2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2072" name="Years">
                <a:extLst>
                  <a:ext uri="{FF2B5EF4-FFF2-40B4-BE49-F238E27FC236}">
                    <a16:creationId xmlns:a16="http://schemas.microsoft.com/office/drawing/2014/main" id="{256E8313-1BA1-438E-AB00-1654E5A4F66C}"/>
                  </a:ext>
                </a:extLst>
              </xdr:cNvPr>
              <xdr:cNvGraphicFramePr/>
            </xdr:nvGraphicFramePr>
            <xdr:xfrm>
              <a:off x="2359069" y="427973"/>
              <a:ext cx="10688876" cy="626301"/>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2379059" y="420086"/>
                <a:ext cx="10800377" cy="6054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12</xdr:col>
      <xdr:colOff>139522</xdr:colOff>
      <xdr:row>17</xdr:row>
      <xdr:rowOff>53972</xdr:rowOff>
    </xdr:from>
    <xdr:to>
      <xdr:col>21</xdr:col>
      <xdr:colOff>203916</xdr:colOff>
      <xdr:row>28</xdr:row>
      <xdr:rowOff>160986</xdr:rowOff>
    </xdr:to>
    <xdr:graphicFrame macro="">
      <xdr:nvGraphicFramePr>
        <xdr:cNvPr id="15" name="Chart 14">
          <a:extLst>
            <a:ext uri="{FF2B5EF4-FFF2-40B4-BE49-F238E27FC236}">
              <a16:creationId xmlns:a16="http://schemas.microsoft.com/office/drawing/2014/main" id="{0F86DC41-423B-40E2-B6AD-70E63382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500296</xdr:colOff>
      <xdr:row>5</xdr:row>
      <xdr:rowOff>64395</xdr:rowOff>
    </xdr:from>
    <xdr:to>
      <xdr:col>11</xdr:col>
      <xdr:colOff>118057</xdr:colOff>
      <xdr:row>16</xdr:row>
      <xdr:rowOff>139522</xdr:rowOff>
    </xdr:to>
    <xdr:graphicFrame macro="">
      <xdr:nvGraphicFramePr>
        <xdr:cNvPr id="17" name="Chart 16">
          <a:extLst>
            <a:ext uri="{FF2B5EF4-FFF2-40B4-BE49-F238E27FC236}">
              <a16:creationId xmlns:a16="http://schemas.microsoft.com/office/drawing/2014/main" id="{65E222DE-319A-4E52-AF3B-BB23D6C840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354169</xdr:colOff>
      <xdr:row>6</xdr:row>
      <xdr:rowOff>22594</xdr:rowOff>
    </xdr:from>
    <xdr:to>
      <xdr:col>15</xdr:col>
      <xdr:colOff>515154</xdr:colOff>
      <xdr:row>16</xdr:row>
      <xdr:rowOff>160986</xdr:rowOff>
    </xdr:to>
    <xdr:graphicFrame macro="">
      <xdr:nvGraphicFramePr>
        <xdr:cNvPr id="18" name="Chart 17">
          <a:extLst>
            <a:ext uri="{FF2B5EF4-FFF2-40B4-BE49-F238E27FC236}">
              <a16:creationId xmlns:a16="http://schemas.microsoft.com/office/drawing/2014/main" id="{0846C020-2211-411B-82B9-12EBBDF1FD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22</xdr:col>
      <xdr:colOff>150252</xdr:colOff>
      <xdr:row>15</xdr:row>
      <xdr:rowOff>42927</xdr:rowOff>
    </xdr:from>
    <xdr:to>
      <xdr:col>23</xdr:col>
      <xdr:colOff>32198</xdr:colOff>
      <xdr:row>17</xdr:row>
      <xdr:rowOff>171718</xdr:rowOff>
    </xdr:to>
    <xdr:pic>
      <xdr:nvPicPr>
        <xdr:cNvPr id="24" name="Graphic 23" descr="Bar graph with downward trend with solid fill">
          <a:extLst>
            <a:ext uri="{FF2B5EF4-FFF2-40B4-BE49-F238E27FC236}">
              <a16:creationId xmlns:a16="http://schemas.microsoft.com/office/drawing/2014/main" id="{C1F0487C-4439-0DC4-3798-D607FB09B0B9}"/>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3608675" y="2779688"/>
          <a:ext cx="493692" cy="493692"/>
        </a:xfrm>
        <a:prstGeom prst="rect">
          <a:avLst/>
        </a:prstGeom>
        <a:effectLst>
          <a:glow rad="63500">
            <a:srgbClr val="FFFFFF">
              <a:alpha val="40000"/>
            </a:srgbClr>
          </a:glow>
        </a:effectLst>
      </xdr:spPr>
    </xdr:pic>
    <xdr:clientData/>
  </xdr:twoCellAnchor>
  <xdr:twoCellAnchor editAs="oneCell">
    <xdr:from>
      <xdr:col>22</xdr:col>
      <xdr:colOff>160732</xdr:colOff>
      <xdr:row>9</xdr:row>
      <xdr:rowOff>139267</xdr:rowOff>
    </xdr:from>
    <xdr:to>
      <xdr:col>22</xdr:col>
      <xdr:colOff>601014</xdr:colOff>
      <xdr:row>12</xdr:row>
      <xdr:rowOff>32197</xdr:rowOff>
    </xdr:to>
    <xdr:pic>
      <xdr:nvPicPr>
        <xdr:cNvPr id="28" name="Graphic 27" descr="Bar graph with upward trend with solid fill">
          <a:extLst>
            <a:ext uri="{FF2B5EF4-FFF2-40B4-BE49-F238E27FC236}">
              <a16:creationId xmlns:a16="http://schemas.microsoft.com/office/drawing/2014/main" id="{07C64158-7E21-BA8A-3654-175CEDF5E7D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3619155" y="1781323"/>
          <a:ext cx="440282" cy="440282"/>
        </a:xfrm>
        <a:prstGeom prst="rect">
          <a:avLst/>
        </a:prstGeom>
        <a:effectLst>
          <a:glow rad="63500">
            <a:srgbClr val="009900">
              <a:alpha val="40000"/>
            </a:srgbClr>
          </a:glow>
        </a:effectLst>
      </xdr:spPr>
    </xdr:pic>
    <xdr:clientData/>
  </xdr:twoCellAnchor>
  <xdr:twoCellAnchor editAs="oneCell">
    <xdr:from>
      <xdr:col>22</xdr:col>
      <xdr:colOff>160479</xdr:colOff>
      <xdr:row>20</xdr:row>
      <xdr:rowOff>33328</xdr:rowOff>
    </xdr:from>
    <xdr:to>
      <xdr:col>23</xdr:col>
      <xdr:colOff>159348</xdr:colOff>
      <xdr:row>23</xdr:row>
      <xdr:rowOff>96591</xdr:rowOff>
    </xdr:to>
    <xdr:pic>
      <xdr:nvPicPr>
        <xdr:cNvPr id="30" name="Graphic 29" descr="Dice with solid fill">
          <a:extLst>
            <a:ext uri="{FF2B5EF4-FFF2-40B4-BE49-F238E27FC236}">
              <a16:creationId xmlns:a16="http://schemas.microsoft.com/office/drawing/2014/main" id="{34B70608-23F4-A970-4D88-0AA89EB71B8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618902" y="3682342"/>
          <a:ext cx="610615" cy="610615"/>
        </a:xfrm>
        <a:prstGeom prst="rect">
          <a:avLst/>
        </a:prstGeom>
        <a:effectLst>
          <a:glow rad="63500">
            <a:srgbClr val="FFFFFF">
              <a:alpha val="40000"/>
            </a:srgbClr>
          </a:glow>
        </a:effectLst>
      </xdr:spPr>
    </xdr:pic>
    <xdr:clientData/>
  </xdr:twoCellAnchor>
  <xdr:twoCellAnchor>
    <xdr:from>
      <xdr:col>15</xdr:col>
      <xdr:colOff>348574</xdr:colOff>
      <xdr:row>32</xdr:row>
      <xdr:rowOff>56745</xdr:rowOff>
    </xdr:from>
    <xdr:to>
      <xdr:col>18</xdr:col>
      <xdr:colOff>413426</xdr:colOff>
      <xdr:row>36</xdr:row>
      <xdr:rowOff>170234</xdr:rowOff>
    </xdr:to>
    <xdr:sp macro="" textlink="">
      <xdr:nvSpPr>
        <xdr:cNvPr id="5" name="Rectangle 4">
          <a:extLst>
            <a:ext uri="{FF2B5EF4-FFF2-40B4-BE49-F238E27FC236}">
              <a16:creationId xmlns:a16="http://schemas.microsoft.com/office/drawing/2014/main" id="{BB2A1ACE-9C30-2C56-E565-F16429C9AD17}"/>
            </a:ext>
          </a:extLst>
        </xdr:cNvPr>
        <xdr:cNvSpPr/>
      </xdr:nvSpPr>
      <xdr:spPr>
        <a:xfrm>
          <a:off x="9468255" y="6023043"/>
          <a:ext cx="1888788" cy="859276"/>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29</xdr:row>
          <xdr:rowOff>0</xdr:rowOff>
        </xdr:to>
        <xdr:pic>
          <xdr:nvPicPr>
            <xdr:cNvPr id="5" name="Picture 4">
              <a:extLst>
                <a:ext uri="{FF2B5EF4-FFF2-40B4-BE49-F238E27FC236}">
                  <a16:creationId xmlns:a16="http://schemas.microsoft.com/office/drawing/2014/main" id="{0BE8A24F-6D1B-7EC5-7527-A4B2EACE82EC}"/>
                </a:ext>
              </a:extLst>
            </xdr:cNvPr>
            <xdr:cNvPicPr>
              <a:picLocks noChangeAspect="1" noChangeArrowheads="1"/>
              <a:extLst>
                <a:ext uri="{84589F7E-364E-4C9E-8A38-B11213B215E9}">
                  <a14:cameraTool cellRange="$E$12:$G$19" spid="_x0000_s9270"/>
                </a:ext>
              </a:extLst>
            </xdr:cNvPicPr>
          </xdr:nvPicPr>
          <xdr:blipFill>
            <a:blip xmlns:r="http://schemas.openxmlformats.org/officeDocument/2006/relationships" r:embed="rId1"/>
            <a:srcRect/>
            <a:stretch>
              <a:fillRect/>
            </a:stretch>
          </xdr:blipFill>
          <xdr:spPr bwMode="auto">
            <a:xfrm>
              <a:off x="3528060" y="3840480"/>
              <a:ext cx="2667000" cy="146304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15240</xdr:colOff>
      <xdr:row>16</xdr:row>
      <xdr:rowOff>60960</xdr:rowOff>
    </xdr:from>
    <xdr:to>
      <xdr:col>19</xdr:col>
      <xdr:colOff>556260</xdr:colOff>
      <xdr:row>24</xdr:row>
      <xdr:rowOff>60960</xdr:rowOff>
    </xdr:to>
    <xdr:graphicFrame macro="">
      <xdr:nvGraphicFramePr>
        <xdr:cNvPr id="2" name="Chart 1">
          <a:extLst>
            <a:ext uri="{FF2B5EF4-FFF2-40B4-BE49-F238E27FC236}">
              <a16:creationId xmlns:a16="http://schemas.microsoft.com/office/drawing/2014/main" id="{EAE15843-54CC-B2E2-0933-F95ACC82D8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13</xdr:row>
      <xdr:rowOff>77610</xdr:rowOff>
    </xdr:from>
    <xdr:to>
      <xdr:col>12</xdr:col>
      <xdr:colOff>0</xdr:colOff>
      <xdr:row>24</xdr:row>
      <xdr:rowOff>56443</xdr:rowOff>
    </xdr:to>
    <xdr:graphicFrame macro="">
      <xdr:nvGraphicFramePr>
        <xdr:cNvPr id="3" name="Chart 2">
          <a:extLst>
            <a:ext uri="{FF2B5EF4-FFF2-40B4-BE49-F238E27FC236}">
              <a16:creationId xmlns:a16="http://schemas.microsoft.com/office/drawing/2014/main" id="{F038337F-82E9-4930-A72B-4ADE4B52B5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47</xdr:row>
      <xdr:rowOff>0</xdr:rowOff>
    </xdr:from>
    <xdr:to>
      <xdr:col>1</xdr:col>
      <xdr:colOff>304800</xdr:colOff>
      <xdr:row>48</xdr:row>
      <xdr:rowOff>121920</xdr:rowOff>
    </xdr:to>
    <xdr:sp macro="" textlink="">
      <xdr:nvSpPr>
        <xdr:cNvPr id="2" name="AutoShape 18" descr="add">
          <a:extLst>
            <a:ext uri="{FF2B5EF4-FFF2-40B4-BE49-F238E27FC236}">
              <a16:creationId xmlns:a16="http://schemas.microsoft.com/office/drawing/2014/main" id="{82744E37-968C-4681-B899-15CE1EEBEB4D}"/>
            </a:ext>
          </a:extLst>
        </xdr:cNvPr>
        <xdr:cNvSpPr>
          <a:spLocks noChangeAspect="1" noChangeArrowheads="1"/>
        </xdr:cNvSpPr>
      </xdr:nvSpPr>
      <xdr:spPr bwMode="auto">
        <a:xfrm>
          <a:off x="129540" y="4358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47</xdr:row>
      <xdr:rowOff>0</xdr:rowOff>
    </xdr:from>
    <xdr:to>
      <xdr:col>1</xdr:col>
      <xdr:colOff>175260</xdr:colOff>
      <xdr:row>47</xdr:row>
      <xdr:rowOff>175260</xdr:rowOff>
    </xdr:to>
    <xdr:sp macro="" textlink="">
      <xdr:nvSpPr>
        <xdr:cNvPr id="3" name="AutoShape 19" descr="expand">
          <a:extLst>
            <a:ext uri="{FF2B5EF4-FFF2-40B4-BE49-F238E27FC236}">
              <a16:creationId xmlns:a16="http://schemas.microsoft.com/office/drawing/2014/main" id="{84CE2380-0A2C-4678-BF36-F4E07E99E128}"/>
            </a:ext>
          </a:extLst>
        </xdr:cNvPr>
        <xdr:cNvSpPr>
          <a:spLocks noChangeAspect="1" noChangeArrowheads="1"/>
        </xdr:cNvSpPr>
      </xdr:nvSpPr>
      <xdr:spPr bwMode="auto">
        <a:xfrm>
          <a:off x="129540" y="454152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182880</xdr:colOff>
      <xdr:row>47</xdr:row>
      <xdr:rowOff>0</xdr:rowOff>
    </xdr:from>
    <xdr:to>
      <xdr:col>1</xdr:col>
      <xdr:colOff>487680</xdr:colOff>
      <xdr:row>48</xdr:row>
      <xdr:rowOff>121920</xdr:rowOff>
    </xdr:to>
    <xdr:sp macro="" textlink="">
      <xdr:nvSpPr>
        <xdr:cNvPr id="4" name="AutoShape 20" descr="equal">
          <a:extLst>
            <a:ext uri="{FF2B5EF4-FFF2-40B4-BE49-F238E27FC236}">
              <a16:creationId xmlns:a16="http://schemas.microsoft.com/office/drawing/2014/main" id="{5703CCA5-37E6-44E0-9EDA-FE1F0FB6350E}"/>
            </a:ext>
          </a:extLst>
        </xdr:cNvPr>
        <xdr:cNvSpPr>
          <a:spLocks noChangeAspect="1" noChangeArrowheads="1"/>
        </xdr:cNvSpPr>
      </xdr:nvSpPr>
      <xdr:spPr bwMode="auto">
        <a:xfrm>
          <a:off x="312420" y="454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15240</xdr:colOff>
      <xdr:row>60</xdr:row>
      <xdr:rowOff>60960</xdr:rowOff>
    </xdr:from>
    <xdr:to>
      <xdr:col>7</xdr:col>
      <xdr:colOff>259080</xdr:colOff>
      <xdr:row>68</xdr:row>
      <xdr:rowOff>129540</xdr:rowOff>
    </xdr:to>
    <xdr:sp macro="" textlink="">
      <xdr:nvSpPr>
        <xdr:cNvPr id="5" name="TextBox 4">
          <a:extLst>
            <a:ext uri="{FF2B5EF4-FFF2-40B4-BE49-F238E27FC236}">
              <a16:creationId xmlns:a16="http://schemas.microsoft.com/office/drawing/2014/main" id="{8A97DCDF-CF6A-EDDB-2533-02602635744B}"/>
            </a:ext>
          </a:extLst>
        </xdr:cNvPr>
        <xdr:cNvSpPr txBox="1"/>
      </xdr:nvSpPr>
      <xdr:spPr>
        <a:xfrm>
          <a:off x="144780" y="11269980"/>
          <a:ext cx="6720840" cy="1531620"/>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1" i="1" u="none" strike="noStrike">
              <a:solidFill>
                <a:schemeClr val="dk1"/>
              </a:solidFill>
              <a:effectLst/>
              <a:latin typeface="+mn-lt"/>
              <a:ea typeface="+mn-ea"/>
              <a:cs typeface="+mn-cs"/>
            </a:rPr>
            <a:t>Revenue: </a:t>
          </a:r>
          <a:r>
            <a:rPr lang="en-IN" sz="900" b="0" i="1" u="none" strike="noStrike">
              <a:solidFill>
                <a:schemeClr val="dk1"/>
              </a:solidFill>
              <a:effectLst/>
              <a:latin typeface="+mn-lt"/>
              <a:ea typeface="+mn-ea"/>
              <a:cs typeface="+mn-cs"/>
            </a:rPr>
            <a:t>I have taken Regression growth rate from past 10 years for realistic Scenario, from that </a:t>
          </a:r>
          <a:r>
            <a:rPr lang="en-IN" sz="900" i="1">
              <a:effectLst/>
            </a:rPr>
            <a:t> -2%</a:t>
          </a:r>
          <a:r>
            <a:rPr lang="en-IN" sz="900" i="1" baseline="0">
              <a:effectLst/>
            </a:rPr>
            <a:t> for </a:t>
          </a:r>
          <a:r>
            <a:rPr lang="en-IN" sz="900" i="1"/>
            <a:t>worst-case and +2% for best-case.</a:t>
          </a:r>
        </a:p>
        <a:p>
          <a:r>
            <a:rPr lang="en-IN" sz="900" b="1" i="1"/>
            <a:t>COGS: </a:t>
          </a:r>
          <a:r>
            <a:rPr lang="en-IN" sz="900" b="0" i="1"/>
            <a:t>Average</a:t>
          </a:r>
          <a:r>
            <a:rPr lang="en-IN" sz="900" b="0" i="1" baseline="0"/>
            <a:t> of past 5 years for real-case, +5% for </a:t>
          </a:r>
          <a:r>
            <a:rPr lang="en-IN" sz="900" i="1"/>
            <a:t>worst-case,</a:t>
          </a:r>
          <a:r>
            <a:rPr lang="en-IN" sz="900" i="1" baseline="0"/>
            <a:t> and -5% </a:t>
          </a:r>
          <a:r>
            <a:rPr lang="en-IN" sz="900" i="1"/>
            <a:t>best-case.</a:t>
          </a:r>
        </a:p>
        <a:p>
          <a:r>
            <a:rPr lang="en-IN" sz="900" b="1" i="1"/>
            <a:t>Employee Cost: </a:t>
          </a:r>
          <a:r>
            <a:rPr lang="en-IN" sz="900" b="0" i="1"/>
            <a:t>Y-O-Y Growth</a:t>
          </a:r>
          <a:r>
            <a:rPr lang="en-IN" sz="900" b="0" i="1" baseline="0"/>
            <a:t> rate and then, average for all estimated years.</a:t>
          </a:r>
        </a:p>
        <a:p>
          <a:r>
            <a:rPr lang="en-IN" sz="900" b="1" i="1"/>
            <a:t>Other Expenses: </a:t>
          </a:r>
          <a:r>
            <a:rPr lang="en-IN" sz="900" b="0" i="1"/>
            <a:t>% of Revenue for all the years.</a:t>
          </a:r>
        </a:p>
        <a:p>
          <a:r>
            <a:rPr lang="en-IN" sz="900" b="1" i="1"/>
            <a:t>Tax Expenses: </a:t>
          </a:r>
          <a:r>
            <a:rPr lang="en-IN" sz="900" b="0" i="1"/>
            <a:t>I assume 25%</a:t>
          </a:r>
          <a:r>
            <a:rPr lang="en-IN" sz="900" b="0" i="1" baseline="0"/>
            <a:t> as a real tax rate, +2% for the </a:t>
          </a:r>
          <a:r>
            <a:rPr lang="en-IN" sz="900" i="1"/>
            <a:t>worst-cass, and -2% for best-case.</a:t>
          </a:r>
        </a:p>
        <a:p>
          <a:r>
            <a:rPr lang="en-IN" sz="900" b="1" i="1" u="none" strike="noStrike">
              <a:solidFill>
                <a:schemeClr val="dk1"/>
              </a:solidFill>
              <a:effectLst/>
              <a:latin typeface="+mn-lt"/>
              <a:ea typeface="+mn-ea"/>
              <a:cs typeface="+mn-cs"/>
            </a:rPr>
            <a:t>Short term Borrowings: </a:t>
          </a:r>
          <a:r>
            <a:rPr lang="en-IN" sz="900" b="0" i="1" u="none" strike="noStrike">
              <a:solidFill>
                <a:schemeClr val="dk1"/>
              </a:solidFill>
              <a:effectLst/>
              <a:latin typeface="+mn-lt"/>
              <a:ea typeface="+mn-ea"/>
              <a:cs typeface="+mn-cs"/>
            </a:rPr>
            <a:t>Average</a:t>
          </a:r>
          <a:r>
            <a:rPr lang="en-IN" sz="900" b="0" i="1" u="none" strike="noStrike" baseline="0">
              <a:solidFill>
                <a:schemeClr val="dk1"/>
              </a:solidFill>
              <a:effectLst/>
              <a:latin typeface="+mn-lt"/>
              <a:ea typeface="+mn-ea"/>
              <a:cs typeface="+mn-cs"/>
            </a:rPr>
            <a:t> of all past years.</a:t>
          </a:r>
          <a:endParaRPr lang="en-IN" sz="900" b="1" i="1" u="none" strike="noStrike">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IN" sz="900" b="1" i="1">
              <a:solidFill>
                <a:schemeClr val="dk1"/>
              </a:solidFill>
              <a:effectLst/>
              <a:latin typeface="+mn-lt"/>
              <a:ea typeface="+mn-ea"/>
              <a:cs typeface="+mn-cs"/>
            </a:rPr>
            <a:t>Long term Borrowings: </a:t>
          </a:r>
          <a:r>
            <a:rPr lang="en-IN" sz="900" b="0" i="1">
              <a:solidFill>
                <a:schemeClr val="dk1"/>
              </a:solidFill>
              <a:effectLst/>
              <a:latin typeface="+mn-lt"/>
              <a:ea typeface="+mn-ea"/>
              <a:cs typeface="+mn-cs"/>
            </a:rPr>
            <a:t>Average</a:t>
          </a:r>
          <a:r>
            <a:rPr lang="en-IN" sz="900" b="0" i="1" baseline="0">
              <a:solidFill>
                <a:schemeClr val="dk1"/>
              </a:solidFill>
              <a:effectLst/>
              <a:latin typeface="+mn-lt"/>
              <a:ea typeface="+mn-ea"/>
              <a:cs typeface="+mn-cs"/>
            </a:rPr>
            <a:t> of all past years.</a:t>
          </a:r>
          <a:endParaRPr lang="en-IN" sz="900" i="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IN" sz="900" b="1" i="1" u="none" strike="noStrike">
              <a:solidFill>
                <a:schemeClr val="dk1"/>
              </a:solidFill>
              <a:effectLst/>
              <a:latin typeface="+mn-lt"/>
              <a:ea typeface="+mn-ea"/>
              <a:cs typeface="+mn-cs"/>
            </a:rPr>
            <a:t>Interest Rate:</a:t>
          </a:r>
          <a:r>
            <a:rPr lang="en-IN" sz="900" b="1" i="1" u="none" strike="noStrike" baseline="0">
              <a:solidFill>
                <a:schemeClr val="dk1"/>
              </a:solidFill>
              <a:effectLst/>
              <a:latin typeface="+mn-lt"/>
              <a:ea typeface="+mn-ea"/>
              <a:cs typeface="+mn-cs"/>
            </a:rPr>
            <a:t> </a:t>
          </a:r>
          <a:r>
            <a:rPr lang="en-IN" sz="900" b="0" i="1">
              <a:solidFill>
                <a:schemeClr val="dk1"/>
              </a:solidFill>
              <a:effectLst/>
              <a:latin typeface="+mn-lt"/>
              <a:ea typeface="+mn-ea"/>
              <a:cs typeface="+mn-cs"/>
            </a:rPr>
            <a:t>Average</a:t>
          </a:r>
          <a:r>
            <a:rPr lang="en-IN" sz="900" b="0" i="1" baseline="0">
              <a:solidFill>
                <a:schemeClr val="dk1"/>
              </a:solidFill>
              <a:effectLst/>
              <a:latin typeface="+mn-lt"/>
              <a:ea typeface="+mn-ea"/>
              <a:cs typeface="+mn-cs"/>
            </a:rPr>
            <a:t> of all past years.</a:t>
          </a:r>
          <a:endParaRPr lang="en-IN" sz="900" i="1">
            <a:effectLst/>
          </a:endParaRPr>
        </a:p>
        <a:p>
          <a:r>
            <a:rPr lang="en-IN" sz="900" b="1" i="1" u="none" strike="noStrike">
              <a:solidFill>
                <a:schemeClr val="dk1"/>
              </a:solidFill>
              <a:effectLst/>
              <a:latin typeface="+mn-lt"/>
              <a:ea typeface="+mn-ea"/>
              <a:cs typeface="+mn-cs"/>
            </a:rPr>
            <a:t>Divident Payout Ratio: </a:t>
          </a:r>
          <a:r>
            <a:rPr lang="en-IN" sz="900" b="0" i="1" u="none" strike="noStrike">
              <a:solidFill>
                <a:schemeClr val="dk1"/>
              </a:solidFill>
              <a:effectLst/>
              <a:latin typeface="+mn-lt"/>
              <a:ea typeface="+mn-ea"/>
              <a:cs typeface="+mn-cs"/>
            </a:rPr>
            <a:t>Is Last year.</a:t>
          </a:r>
        </a:p>
        <a:p>
          <a:r>
            <a:rPr lang="en-IN" sz="900" b="1" i="1" u="none" strike="noStrike">
              <a:solidFill>
                <a:schemeClr val="dk1"/>
              </a:solidFill>
              <a:effectLst/>
              <a:latin typeface="+mn-lt"/>
              <a:ea typeface="+mn-ea"/>
              <a:cs typeface="+mn-cs"/>
            </a:rPr>
            <a:t>Working Capital</a:t>
          </a:r>
          <a:r>
            <a:rPr lang="en-IN" sz="900" b="0" i="1" u="none" strike="noStrike">
              <a:solidFill>
                <a:schemeClr val="dk1"/>
              </a:solidFill>
              <a:effectLst/>
              <a:latin typeface="+mn-lt"/>
              <a:ea typeface="+mn-ea"/>
              <a:cs typeface="+mn-cs"/>
            </a:rPr>
            <a:t>:</a:t>
          </a:r>
          <a:r>
            <a:rPr lang="en-IN" sz="900" b="0" i="1" u="none" strike="noStrike" baseline="0">
              <a:solidFill>
                <a:schemeClr val="dk1"/>
              </a:solidFill>
              <a:effectLst/>
              <a:latin typeface="+mn-lt"/>
              <a:ea typeface="+mn-ea"/>
              <a:cs typeface="+mn-cs"/>
            </a:rPr>
            <a:t> % of revenue and COGS, average of past % for estimated year.</a:t>
          </a:r>
          <a:endParaRPr lang="en-IN" sz="900" b="1" i="1"/>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1</xdr:col>
      <xdr:colOff>304800</xdr:colOff>
      <xdr:row>12</xdr:row>
      <xdr:rowOff>121920</xdr:rowOff>
    </xdr:to>
    <xdr:sp macro="" textlink="">
      <xdr:nvSpPr>
        <xdr:cNvPr id="3" name="AutoShape 22" descr="add">
          <a:extLst>
            <a:ext uri="{FF2B5EF4-FFF2-40B4-BE49-F238E27FC236}">
              <a16:creationId xmlns:a16="http://schemas.microsoft.com/office/drawing/2014/main" id="{99F29FCA-C628-42DE-BBAB-85B4A64F1229}"/>
            </a:ext>
          </a:extLst>
        </xdr:cNvPr>
        <xdr:cNvSpPr>
          <a:spLocks noChangeAspect="1" noChangeArrowheads="1"/>
        </xdr:cNvSpPr>
      </xdr:nvSpPr>
      <xdr:spPr bwMode="auto">
        <a:xfrm>
          <a:off x="0" y="3954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12</xdr:row>
      <xdr:rowOff>0</xdr:rowOff>
    </xdr:from>
    <xdr:to>
      <xdr:col>1</xdr:col>
      <xdr:colOff>304800</xdr:colOff>
      <xdr:row>13</xdr:row>
      <xdr:rowOff>121920</xdr:rowOff>
    </xdr:to>
    <xdr:sp macro="" textlink="">
      <xdr:nvSpPr>
        <xdr:cNvPr id="4" name="AutoShape 23" descr="add">
          <a:extLst>
            <a:ext uri="{FF2B5EF4-FFF2-40B4-BE49-F238E27FC236}">
              <a16:creationId xmlns:a16="http://schemas.microsoft.com/office/drawing/2014/main" id="{02041164-EDCD-4799-8AAB-095A101F0F42}"/>
            </a:ext>
          </a:extLst>
        </xdr:cNvPr>
        <xdr:cNvSpPr>
          <a:spLocks noChangeAspect="1" noChangeArrowheads="1"/>
        </xdr:cNvSpPr>
      </xdr:nvSpPr>
      <xdr:spPr bwMode="auto">
        <a:xfrm>
          <a:off x="0" y="413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13</xdr:row>
      <xdr:rowOff>0</xdr:rowOff>
    </xdr:from>
    <xdr:to>
      <xdr:col>1</xdr:col>
      <xdr:colOff>304800</xdr:colOff>
      <xdr:row>14</xdr:row>
      <xdr:rowOff>121920</xdr:rowOff>
    </xdr:to>
    <xdr:sp macro="" textlink="">
      <xdr:nvSpPr>
        <xdr:cNvPr id="5" name="AutoShape 24" descr="add">
          <a:extLst>
            <a:ext uri="{FF2B5EF4-FFF2-40B4-BE49-F238E27FC236}">
              <a16:creationId xmlns:a16="http://schemas.microsoft.com/office/drawing/2014/main" id="{AD4430A0-EAED-4862-9F86-ABB29B3A242F}"/>
            </a:ext>
          </a:extLst>
        </xdr:cNvPr>
        <xdr:cNvSpPr>
          <a:spLocks noChangeAspect="1" noChangeArrowheads="1"/>
        </xdr:cNvSpPr>
      </xdr:nvSpPr>
      <xdr:spPr bwMode="auto">
        <a:xfrm>
          <a:off x="0" y="432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14</xdr:row>
      <xdr:rowOff>0</xdr:rowOff>
    </xdr:from>
    <xdr:to>
      <xdr:col>1</xdr:col>
      <xdr:colOff>175260</xdr:colOff>
      <xdr:row>14</xdr:row>
      <xdr:rowOff>175260</xdr:rowOff>
    </xdr:to>
    <xdr:sp macro="" textlink="">
      <xdr:nvSpPr>
        <xdr:cNvPr id="6" name="AutoShape 25" descr="expand">
          <a:extLst>
            <a:ext uri="{FF2B5EF4-FFF2-40B4-BE49-F238E27FC236}">
              <a16:creationId xmlns:a16="http://schemas.microsoft.com/office/drawing/2014/main" id="{5750232B-2426-4D1F-B63F-C9875DABBEDA}"/>
            </a:ext>
          </a:extLst>
        </xdr:cNvPr>
        <xdr:cNvSpPr>
          <a:spLocks noChangeAspect="1" noChangeArrowheads="1"/>
        </xdr:cNvSpPr>
      </xdr:nvSpPr>
      <xdr:spPr bwMode="auto">
        <a:xfrm>
          <a:off x="0" y="450342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182880</xdr:colOff>
      <xdr:row>14</xdr:row>
      <xdr:rowOff>0</xdr:rowOff>
    </xdr:from>
    <xdr:to>
      <xdr:col>1</xdr:col>
      <xdr:colOff>487680</xdr:colOff>
      <xdr:row>15</xdr:row>
      <xdr:rowOff>121920</xdr:rowOff>
    </xdr:to>
    <xdr:sp macro="" textlink="">
      <xdr:nvSpPr>
        <xdr:cNvPr id="7" name="AutoShape 26" descr="equal">
          <a:extLst>
            <a:ext uri="{FF2B5EF4-FFF2-40B4-BE49-F238E27FC236}">
              <a16:creationId xmlns:a16="http://schemas.microsoft.com/office/drawing/2014/main" id="{3937B99B-E9C0-424E-9665-D1D02F8A4677}"/>
            </a:ext>
          </a:extLst>
        </xdr:cNvPr>
        <xdr:cNvSpPr>
          <a:spLocks noChangeAspect="1" noChangeArrowheads="1"/>
        </xdr:cNvSpPr>
      </xdr:nvSpPr>
      <xdr:spPr bwMode="auto">
        <a:xfrm>
          <a:off x="182880" y="450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182880</xdr:colOff>
      <xdr:row>20</xdr:row>
      <xdr:rowOff>0</xdr:rowOff>
    </xdr:from>
    <xdr:to>
      <xdr:col>1</xdr:col>
      <xdr:colOff>487680</xdr:colOff>
      <xdr:row>21</xdr:row>
      <xdr:rowOff>121920</xdr:rowOff>
    </xdr:to>
    <xdr:sp macro="" textlink="">
      <xdr:nvSpPr>
        <xdr:cNvPr id="8" name="AutoShape 16" descr="equal">
          <a:extLst>
            <a:ext uri="{FF2B5EF4-FFF2-40B4-BE49-F238E27FC236}">
              <a16:creationId xmlns:a16="http://schemas.microsoft.com/office/drawing/2014/main" id="{09151A90-75F0-499A-80A2-94D648017617}"/>
            </a:ext>
          </a:extLst>
        </xdr:cNvPr>
        <xdr:cNvSpPr>
          <a:spLocks noChangeAspect="1" noChangeArrowheads="1"/>
        </xdr:cNvSpPr>
      </xdr:nvSpPr>
      <xdr:spPr bwMode="auto">
        <a:xfrm>
          <a:off x="182880" y="2491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22</xdr:row>
      <xdr:rowOff>0</xdr:rowOff>
    </xdr:from>
    <xdr:to>
      <xdr:col>1</xdr:col>
      <xdr:colOff>304800</xdr:colOff>
      <xdr:row>23</xdr:row>
      <xdr:rowOff>0</xdr:rowOff>
    </xdr:to>
    <xdr:sp macro="" textlink="">
      <xdr:nvSpPr>
        <xdr:cNvPr id="9" name="AutoShape 17" descr="add">
          <a:extLst>
            <a:ext uri="{FF2B5EF4-FFF2-40B4-BE49-F238E27FC236}">
              <a16:creationId xmlns:a16="http://schemas.microsoft.com/office/drawing/2014/main" id="{7DD1DB1D-A54A-4D09-AAB0-0BC4EE0A0FCB}"/>
            </a:ext>
          </a:extLst>
        </xdr:cNvPr>
        <xdr:cNvSpPr>
          <a:spLocks noChangeAspect="1" noChangeArrowheads="1"/>
        </xdr:cNvSpPr>
      </xdr:nvSpPr>
      <xdr:spPr bwMode="auto">
        <a:xfrm>
          <a:off x="0" y="2857500"/>
          <a:ext cx="304800" cy="18288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23</xdr:row>
      <xdr:rowOff>0</xdr:rowOff>
    </xdr:from>
    <xdr:to>
      <xdr:col>1</xdr:col>
      <xdr:colOff>304800</xdr:colOff>
      <xdr:row>24</xdr:row>
      <xdr:rowOff>121920</xdr:rowOff>
    </xdr:to>
    <xdr:sp macro="" textlink="">
      <xdr:nvSpPr>
        <xdr:cNvPr id="10" name="AutoShape 18" descr="add">
          <a:extLst>
            <a:ext uri="{FF2B5EF4-FFF2-40B4-BE49-F238E27FC236}">
              <a16:creationId xmlns:a16="http://schemas.microsoft.com/office/drawing/2014/main" id="{6EE55C4E-23A0-4C3B-AF7A-07E2CCA3042D}"/>
            </a:ext>
          </a:extLst>
        </xdr:cNvPr>
        <xdr:cNvSpPr>
          <a:spLocks noChangeAspect="1" noChangeArrowheads="1"/>
        </xdr:cNvSpPr>
      </xdr:nvSpPr>
      <xdr:spPr bwMode="auto">
        <a:xfrm>
          <a:off x="0" y="3040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24</xdr:row>
      <xdr:rowOff>0</xdr:rowOff>
    </xdr:from>
    <xdr:to>
      <xdr:col>1</xdr:col>
      <xdr:colOff>175260</xdr:colOff>
      <xdr:row>24</xdr:row>
      <xdr:rowOff>175260</xdr:rowOff>
    </xdr:to>
    <xdr:sp macro="" textlink="">
      <xdr:nvSpPr>
        <xdr:cNvPr id="11" name="AutoShape 19" descr="expand">
          <a:extLst>
            <a:ext uri="{FF2B5EF4-FFF2-40B4-BE49-F238E27FC236}">
              <a16:creationId xmlns:a16="http://schemas.microsoft.com/office/drawing/2014/main" id="{B5792905-7A95-46D1-96E3-7D243211868E}"/>
            </a:ext>
          </a:extLst>
        </xdr:cNvPr>
        <xdr:cNvSpPr>
          <a:spLocks noChangeAspect="1" noChangeArrowheads="1"/>
        </xdr:cNvSpPr>
      </xdr:nvSpPr>
      <xdr:spPr bwMode="auto">
        <a:xfrm>
          <a:off x="0" y="322326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182880</xdr:colOff>
      <xdr:row>24</xdr:row>
      <xdr:rowOff>0</xdr:rowOff>
    </xdr:from>
    <xdr:to>
      <xdr:col>1</xdr:col>
      <xdr:colOff>487680</xdr:colOff>
      <xdr:row>25</xdr:row>
      <xdr:rowOff>121920</xdr:rowOff>
    </xdr:to>
    <xdr:sp macro="" textlink="">
      <xdr:nvSpPr>
        <xdr:cNvPr id="12" name="AutoShape 20" descr="equal">
          <a:extLst>
            <a:ext uri="{FF2B5EF4-FFF2-40B4-BE49-F238E27FC236}">
              <a16:creationId xmlns:a16="http://schemas.microsoft.com/office/drawing/2014/main" id="{23EE69C7-1AB7-45A5-886B-C8ACC3B89734}"/>
            </a:ext>
          </a:extLst>
        </xdr:cNvPr>
        <xdr:cNvSpPr>
          <a:spLocks noChangeAspect="1" noChangeArrowheads="1"/>
        </xdr:cNvSpPr>
      </xdr:nvSpPr>
      <xdr:spPr bwMode="auto">
        <a:xfrm>
          <a:off x="182880" y="3223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182880</xdr:colOff>
      <xdr:row>26</xdr:row>
      <xdr:rowOff>0</xdr:rowOff>
    </xdr:from>
    <xdr:to>
      <xdr:col>1</xdr:col>
      <xdr:colOff>487680</xdr:colOff>
      <xdr:row>27</xdr:row>
      <xdr:rowOff>121920</xdr:rowOff>
    </xdr:to>
    <xdr:sp macro="" textlink="">
      <xdr:nvSpPr>
        <xdr:cNvPr id="13" name="AutoShape 12" descr="equal">
          <a:extLst>
            <a:ext uri="{FF2B5EF4-FFF2-40B4-BE49-F238E27FC236}">
              <a16:creationId xmlns:a16="http://schemas.microsoft.com/office/drawing/2014/main" id="{B69927CD-93E6-4270-A5F2-D0A701ABD77B}"/>
            </a:ext>
          </a:extLst>
        </xdr:cNvPr>
        <xdr:cNvSpPr>
          <a:spLocks noChangeAspect="1" noChangeArrowheads="1"/>
        </xdr:cNvSpPr>
      </xdr:nvSpPr>
      <xdr:spPr bwMode="auto">
        <a:xfrm>
          <a:off x="182880" y="157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29</xdr:row>
      <xdr:rowOff>0</xdr:rowOff>
    </xdr:from>
    <xdr:to>
      <xdr:col>1</xdr:col>
      <xdr:colOff>304800</xdr:colOff>
      <xdr:row>30</xdr:row>
      <xdr:rowOff>121920</xdr:rowOff>
    </xdr:to>
    <xdr:sp macro="" textlink="">
      <xdr:nvSpPr>
        <xdr:cNvPr id="14" name="AutoShape 13" descr="add">
          <a:extLst>
            <a:ext uri="{FF2B5EF4-FFF2-40B4-BE49-F238E27FC236}">
              <a16:creationId xmlns:a16="http://schemas.microsoft.com/office/drawing/2014/main" id="{0D25FDB6-273F-466A-B8AE-F19E66ED3436}"/>
            </a:ext>
          </a:extLst>
        </xdr:cNvPr>
        <xdr:cNvSpPr>
          <a:spLocks noChangeAspect="1" noChangeArrowheads="1"/>
        </xdr:cNvSpPr>
      </xdr:nvSpPr>
      <xdr:spPr bwMode="auto">
        <a:xfrm>
          <a:off x="0" y="2125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182880</xdr:colOff>
      <xdr:row>32</xdr:row>
      <xdr:rowOff>0</xdr:rowOff>
    </xdr:from>
    <xdr:to>
      <xdr:col>1</xdr:col>
      <xdr:colOff>487680</xdr:colOff>
      <xdr:row>33</xdr:row>
      <xdr:rowOff>121920</xdr:rowOff>
    </xdr:to>
    <xdr:sp macro="" textlink="">
      <xdr:nvSpPr>
        <xdr:cNvPr id="15" name="AutoShape 5" descr="equal">
          <a:extLst>
            <a:ext uri="{FF2B5EF4-FFF2-40B4-BE49-F238E27FC236}">
              <a16:creationId xmlns:a16="http://schemas.microsoft.com/office/drawing/2014/main" id="{D58E54A0-2CB0-4F74-8FD7-BD8CB26A8C99}"/>
            </a:ext>
          </a:extLst>
        </xdr:cNvPr>
        <xdr:cNvSpPr>
          <a:spLocks noChangeAspect="1" noChangeArrowheads="1"/>
        </xdr:cNvSpPr>
      </xdr:nvSpPr>
      <xdr:spPr bwMode="auto">
        <a:xfrm>
          <a:off x="182880" y="66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34</xdr:row>
      <xdr:rowOff>0</xdr:rowOff>
    </xdr:from>
    <xdr:to>
      <xdr:col>1</xdr:col>
      <xdr:colOff>304800</xdr:colOff>
      <xdr:row>35</xdr:row>
      <xdr:rowOff>121920</xdr:rowOff>
    </xdr:to>
    <xdr:sp macro="" textlink="">
      <xdr:nvSpPr>
        <xdr:cNvPr id="16" name="AutoShape 6" descr="add">
          <a:extLst>
            <a:ext uri="{FF2B5EF4-FFF2-40B4-BE49-F238E27FC236}">
              <a16:creationId xmlns:a16="http://schemas.microsoft.com/office/drawing/2014/main" id="{492F13D6-3F86-45F7-945C-DAFEA2DA1CD8}"/>
            </a:ext>
          </a:extLst>
        </xdr:cNvPr>
        <xdr:cNvSpPr>
          <a:spLocks noChangeAspect="1" noChangeArrowheads="1"/>
        </xdr:cNvSpPr>
      </xdr:nvSpPr>
      <xdr:spPr bwMode="auto">
        <a:xfrm>
          <a:off x="0" y="10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34</xdr:row>
      <xdr:rowOff>0</xdr:rowOff>
    </xdr:from>
    <xdr:to>
      <xdr:col>1</xdr:col>
      <xdr:colOff>304800</xdr:colOff>
      <xdr:row>35</xdr:row>
      <xdr:rowOff>121920</xdr:rowOff>
    </xdr:to>
    <xdr:sp macro="" textlink="">
      <xdr:nvSpPr>
        <xdr:cNvPr id="17" name="AutoShape 7" descr="add">
          <a:extLst>
            <a:ext uri="{FF2B5EF4-FFF2-40B4-BE49-F238E27FC236}">
              <a16:creationId xmlns:a16="http://schemas.microsoft.com/office/drawing/2014/main" id="{51817592-EB3D-4298-ACDC-3186998D9BF1}"/>
            </a:ext>
          </a:extLst>
        </xdr:cNvPr>
        <xdr:cNvSpPr>
          <a:spLocks noChangeAspect="1" noChangeArrowheads="1"/>
        </xdr:cNvSpPr>
      </xdr:nvSpPr>
      <xdr:spPr bwMode="auto">
        <a:xfrm>
          <a:off x="0" y="10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35</xdr:row>
      <xdr:rowOff>0</xdr:rowOff>
    </xdr:from>
    <xdr:to>
      <xdr:col>1</xdr:col>
      <xdr:colOff>304800</xdr:colOff>
      <xdr:row>36</xdr:row>
      <xdr:rowOff>121920</xdr:rowOff>
    </xdr:to>
    <xdr:sp macro="" textlink="">
      <xdr:nvSpPr>
        <xdr:cNvPr id="18" name="AutoShape 8" descr="add">
          <a:extLst>
            <a:ext uri="{FF2B5EF4-FFF2-40B4-BE49-F238E27FC236}">
              <a16:creationId xmlns:a16="http://schemas.microsoft.com/office/drawing/2014/main" id="{A150113A-8226-4293-B829-07FD61BECA81}"/>
            </a:ext>
          </a:extLst>
        </xdr:cNvPr>
        <xdr:cNvSpPr>
          <a:spLocks noChangeAspect="1" noChangeArrowheads="1"/>
        </xdr:cNvSpPr>
      </xdr:nvSpPr>
      <xdr:spPr bwMode="auto">
        <a:xfrm>
          <a:off x="0" y="121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35</xdr:row>
      <xdr:rowOff>0</xdr:rowOff>
    </xdr:from>
    <xdr:to>
      <xdr:col>1</xdr:col>
      <xdr:colOff>304800</xdr:colOff>
      <xdr:row>36</xdr:row>
      <xdr:rowOff>121920</xdr:rowOff>
    </xdr:to>
    <xdr:sp macro="" textlink="">
      <xdr:nvSpPr>
        <xdr:cNvPr id="19" name="AutoShape 9" descr="add">
          <a:extLst>
            <a:ext uri="{FF2B5EF4-FFF2-40B4-BE49-F238E27FC236}">
              <a16:creationId xmlns:a16="http://schemas.microsoft.com/office/drawing/2014/main" id="{43D0668E-861A-4D71-8B00-2E4129523658}"/>
            </a:ext>
          </a:extLst>
        </xdr:cNvPr>
        <xdr:cNvSpPr>
          <a:spLocks noChangeAspect="1" noChangeArrowheads="1"/>
        </xdr:cNvSpPr>
      </xdr:nvSpPr>
      <xdr:spPr bwMode="auto">
        <a:xfrm>
          <a:off x="0" y="121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1</xdr:col>
      <xdr:colOff>304800</xdr:colOff>
      <xdr:row>12</xdr:row>
      <xdr:rowOff>0</xdr:rowOff>
    </xdr:to>
    <xdr:sp macro="" textlink="">
      <xdr:nvSpPr>
        <xdr:cNvPr id="2" name="AutoShape 17" descr="add">
          <a:extLst>
            <a:ext uri="{FF2B5EF4-FFF2-40B4-BE49-F238E27FC236}">
              <a16:creationId xmlns:a16="http://schemas.microsoft.com/office/drawing/2014/main" id="{FA4D9E5E-1E0E-4E23-8848-81F4E4305D26}"/>
            </a:ext>
          </a:extLst>
        </xdr:cNvPr>
        <xdr:cNvSpPr>
          <a:spLocks noChangeAspect="1" noChangeArrowheads="1"/>
        </xdr:cNvSpPr>
      </xdr:nvSpPr>
      <xdr:spPr bwMode="auto">
        <a:xfrm>
          <a:off x="129540" y="4175760"/>
          <a:ext cx="304800" cy="18288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12</xdr:row>
      <xdr:rowOff>0</xdr:rowOff>
    </xdr:from>
    <xdr:to>
      <xdr:col>1</xdr:col>
      <xdr:colOff>304800</xdr:colOff>
      <xdr:row>13</xdr:row>
      <xdr:rowOff>121920</xdr:rowOff>
    </xdr:to>
    <xdr:sp macro="" textlink="">
      <xdr:nvSpPr>
        <xdr:cNvPr id="3" name="AutoShape 18" descr="add">
          <a:extLst>
            <a:ext uri="{FF2B5EF4-FFF2-40B4-BE49-F238E27FC236}">
              <a16:creationId xmlns:a16="http://schemas.microsoft.com/office/drawing/2014/main" id="{D76941FF-A7FA-4BD3-95AB-CD13AE20317C}"/>
            </a:ext>
          </a:extLst>
        </xdr:cNvPr>
        <xdr:cNvSpPr>
          <a:spLocks noChangeAspect="1" noChangeArrowheads="1"/>
        </xdr:cNvSpPr>
      </xdr:nvSpPr>
      <xdr:spPr bwMode="auto">
        <a:xfrm>
          <a:off x="129540" y="4358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13</xdr:row>
      <xdr:rowOff>0</xdr:rowOff>
    </xdr:from>
    <xdr:to>
      <xdr:col>1</xdr:col>
      <xdr:colOff>175260</xdr:colOff>
      <xdr:row>13</xdr:row>
      <xdr:rowOff>175260</xdr:rowOff>
    </xdr:to>
    <xdr:sp macro="" textlink="">
      <xdr:nvSpPr>
        <xdr:cNvPr id="4" name="AutoShape 19" descr="expand">
          <a:extLst>
            <a:ext uri="{FF2B5EF4-FFF2-40B4-BE49-F238E27FC236}">
              <a16:creationId xmlns:a16="http://schemas.microsoft.com/office/drawing/2014/main" id="{9B82A7D1-7AFD-4882-90CE-49EB587B059D}"/>
            </a:ext>
          </a:extLst>
        </xdr:cNvPr>
        <xdr:cNvSpPr>
          <a:spLocks noChangeAspect="1" noChangeArrowheads="1"/>
        </xdr:cNvSpPr>
      </xdr:nvSpPr>
      <xdr:spPr bwMode="auto">
        <a:xfrm>
          <a:off x="129540" y="454152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182880</xdr:colOff>
      <xdr:row>13</xdr:row>
      <xdr:rowOff>0</xdr:rowOff>
    </xdr:from>
    <xdr:to>
      <xdr:col>1</xdr:col>
      <xdr:colOff>487680</xdr:colOff>
      <xdr:row>14</xdr:row>
      <xdr:rowOff>121920</xdr:rowOff>
    </xdr:to>
    <xdr:sp macro="" textlink="">
      <xdr:nvSpPr>
        <xdr:cNvPr id="5" name="AutoShape 20" descr="equal">
          <a:extLst>
            <a:ext uri="{FF2B5EF4-FFF2-40B4-BE49-F238E27FC236}">
              <a16:creationId xmlns:a16="http://schemas.microsoft.com/office/drawing/2014/main" id="{9BE9209D-1681-49AC-BBB4-8CBA665D8DB3}"/>
            </a:ext>
          </a:extLst>
        </xdr:cNvPr>
        <xdr:cNvSpPr>
          <a:spLocks noChangeAspect="1" noChangeArrowheads="1"/>
        </xdr:cNvSpPr>
      </xdr:nvSpPr>
      <xdr:spPr bwMode="auto">
        <a:xfrm>
          <a:off x="312420" y="454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3</xdr:row>
      <xdr:rowOff>121920</xdr:rowOff>
    </xdr:to>
    <xdr:sp macro="" textlink="">
      <xdr:nvSpPr>
        <xdr:cNvPr id="3073" name="AutoShape 1" descr="add">
          <a:extLst>
            <a:ext uri="{FF2B5EF4-FFF2-40B4-BE49-F238E27FC236}">
              <a16:creationId xmlns:a16="http://schemas.microsoft.com/office/drawing/2014/main" id="{2BB0736E-8CBD-BA32-D24F-D6D7E58CF17F}"/>
            </a:ext>
          </a:extLst>
        </xdr:cNvPr>
        <xdr:cNvSpPr>
          <a:spLocks noChangeAspect="1" noChangeArrowheads="1"/>
        </xdr:cNvSpPr>
      </xdr:nvSpPr>
      <xdr:spPr bwMode="auto">
        <a:xfrm>
          <a:off x="0" y="74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121920</xdr:rowOff>
    </xdr:to>
    <xdr:sp macro="" textlink="">
      <xdr:nvSpPr>
        <xdr:cNvPr id="3074" name="AutoShape 2" descr="add">
          <a:extLst>
            <a:ext uri="{FF2B5EF4-FFF2-40B4-BE49-F238E27FC236}">
              <a16:creationId xmlns:a16="http://schemas.microsoft.com/office/drawing/2014/main" id="{221DC409-8188-4C11-19F9-716806BBFEA3}"/>
            </a:ext>
          </a:extLst>
        </xdr:cNvPr>
        <xdr:cNvSpPr>
          <a:spLocks noChangeAspect="1" noChangeArrowheads="1"/>
        </xdr:cNvSpPr>
      </xdr:nvSpPr>
      <xdr:spPr bwMode="auto">
        <a:xfrm>
          <a:off x="0" y="937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121920</xdr:rowOff>
    </xdr:to>
    <xdr:sp macro="" textlink="">
      <xdr:nvSpPr>
        <xdr:cNvPr id="3075" name="AutoShape 3" descr="add">
          <a:extLst>
            <a:ext uri="{FF2B5EF4-FFF2-40B4-BE49-F238E27FC236}">
              <a16:creationId xmlns:a16="http://schemas.microsoft.com/office/drawing/2014/main" id="{59994394-6061-DE42-904B-EC33CF11D422}"/>
            </a:ext>
          </a:extLst>
        </xdr:cNvPr>
        <xdr:cNvSpPr>
          <a:spLocks noChangeAspect="1" noChangeArrowheads="1"/>
        </xdr:cNvSpPr>
      </xdr:nvSpPr>
      <xdr:spPr bwMode="auto">
        <a:xfrm>
          <a:off x="0" y="1127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175260</xdr:colOff>
      <xdr:row>3</xdr:row>
      <xdr:rowOff>175260</xdr:rowOff>
    </xdr:to>
    <xdr:sp macro="" textlink="">
      <xdr:nvSpPr>
        <xdr:cNvPr id="3076" name="AutoShape 4" descr="expand">
          <a:extLst>
            <a:ext uri="{FF2B5EF4-FFF2-40B4-BE49-F238E27FC236}">
              <a16:creationId xmlns:a16="http://schemas.microsoft.com/office/drawing/2014/main" id="{0D49B8E6-F569-6A61-A343-02F4990997E5}"/>
            </a:ext>
          </a:extLst>
        </xdr:cNvPr>
        <xdr:cNvSpPr>
          <a:spLocks noChangeAspect="1" noChangeArrowheads="1"/>
        </xdr:cNvSpPr>
      </xdr:nvSpPr>
      <xdr:spPr bwMode="auto">
        <a:xfrm>
          <a:off x="0" y="131826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182880</xdr:colOff>
      <xdr:row>3</xdr:row>
      <xdr:rowOff>0</xdr:rowOff>
    </xdr:from>
    <xdr:to>
      <xdr:col>0</xdr:col>
      <xdr:colOff>487680</xdr:colOff>
      <xdr:row>4</xdr:row>
      <xdr:rowOff>121920</xdr:rowOff>
    </xdr:to>
    <xdr:sp macro="" textlink="">
      <xdr:nvSpPr>
        <xdr:cNvPr id="3077" name="AutoShape 5" descr="equal">
          <a:extLst>
            <a:ext uri="{FF2B5EF4-FFF2-40B4-BE49-F238E27FC236}">
              <a16:creationId xmlns:a16="http://schemas.microsoft.com/office/drawing/2014/main" id="{15BFCCF5-5935-4815-FE80-A229FA1DB217}"/>
            </a:ext>
          </a:extLst>
        </xdr:cNvPr>
        <xdr:cNvSpPr>
          <a:spLocks noChangeAspect="1" noChangeArrowheads="1"/>
        </xdr:cNvSpPr>
      </xdr:nvSpPr>
      <xdr:spPr bwMode="auto">
        <a:xfrm>
          <a:off x="182880" y="131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xdr:row>
      <xdr:rowOff>0</xdr:rowOff>
    </xdr:from>
    <xdr:to>
      <xdr:col>0</xdr:col>
      <xdr:colOff>304800</xdr:colOff>
      <xdr:row>6</xdr:row>
      <xdr:rowOff>121920</xdr:rowOff>
    </xdr:to>
    <xdr:sp macro="" textlink="">
      <xdr:nvSpPr>
        <xdr:cNvPr id="3078" name="AutoShape 6" descr="add">
          <a:extLst>
            <a:ext uri="{FF2B5EF4-FFF2-40B4-BE49-F238E27FC236}">
              <a16:creationId xmlns:a16="http://schemas.microsoft.com/office/drawing/2014/main" id="{1F391355-2477-3428-8D5E-AC42F66BB8FF}"/>
            </a:ext>
          </a:extLst>
        </xdr:cNvPr>
        <xdr:cNvSpPr>
          <a:spLocks noChangeAspect="1" noChangeArrowheads="1"/>
        </xdr:cNvSpPr>
      </xdr:nvSpPr>
      <xdr:spPr bwMode="auto">
        <a:xfrm>
          <a:off x="0" y="169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xdr:row>
      <xdr:rowOff>0</xdr:rowOff>
    </xdr:from>
    <xdr:to>
      <xdr:col>0</xdr:col>
      <xdr:colOff>304800</xdr:colOff>
      <xdr:row>6</xdr:row>
      <xdr:rowOff>121920</xdr:rowOff>
    </xdr:to>
    <xdr:sp macro="" textlink="">
      <xdr:nvSpPr>
        <xdr:cNvPr id="3079" name="AutoShape 7" descr="add">
          <a:extLst>
            <a:ext uri="{FF2B5EF4-FFF2-40B4-BE49-F238E27FC236}">
              <a16:creationId xmlns:a16="http://schemas.microsoft.com/office/drawing/2014/main" id="{7D78A78F-0F66-1695-783D-8F608AD236B8}"/>
            </a:ext>
          </a:extLst>
        </xdr:cNvPr>
        <xdr:cNvSpPr>
          <a:spLocks noChangeAspect="1" noChangeArrowheads="1"/>
        </xdr:cNvSpPr>
      </xdr:nvSpPr>
      <xdr:spPr bwMode="auto">
        <a:xfrm>
          <a:off x="0" y="1889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xdr:row>
      <xdr:rowOff>0</xdr:rowOff>
    </xdr:from>
    <xdr:to>
      <xdr:col>0</xdr:col>
      <xdr:colOff>304800</xdr:colOff>
      <xdr:row>7</xdr:row>
      <xdr:rowOff>121920</xdr:rowOff>
    </xdr:to>
    <xdr:sp macro="" textlink="">
      <xdr:nvSpPr>
        <xdr:cNvPr id="3080" name="AutoShape 8" descr="add">
          <a:extLst>
            <a:ext uri="{FF2B5EF4-FFF2-40B4-BE49-F238E27FC236}">
              <a16:creationId xmlns:a16="http://schemas.microsoft.com/office/drawing/2014/main" id="{9BB8F768-38CD-6CF7-7BCE-A6482D643F4C}"/>
            </a:ext>
          </a:extLst>
        </xdr:cNvPr>
        <xdr:cNvSpPr>
          <a:spLocks noChangeAspect="1" noChangeArrowheads="1"/>
        </xdr:cNvSpPr>
      </xdr:nvSpPr>
      <xdr:spPr bwMode="auto">
        <a:xfrm>
          <a:off x="0" y="208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xdr:row>
      <xdr:rowOff>0</xdr:rowOff>
    </xdr:from>
    <xdr:to>
      <xdr:col>0</xdr:col>
      <xdr:colOff>304800</xdr:colOff>
      <xdr:row>7</xdr:row>
      <xdr:rowOff>121920</xdr:rowOff>
    </xdr:to>
    <xdr:sp macro="" textlink="">
      <xdr:nvSpPr>
        <xdr:cNvPr id="3081" name="AutoShape 9" descr="add">
          <a:extLst>
            <a:ext uri="{FF2B5EF4-FFF2-40B4-BE49-F238E27FC236}">
              <a16:creationId xmlns:a16="http://schemas.microsoft.com/office/drawing/2014/main" id="{E353F302-3556-EBF4-E4C9-C1B3E7AD9728}"/>
            </a:ext>
          </a:extLst>
        </xdr:cNvPr>
        <xdr:cNvSpPr>
          <a:spLocks noChangeAspect="1" noChangeArrowheads="1"/>
        </xdr:cNvSpPr>
      </xdr:nvSpPr>
      <xdr:spPr bwMode="auto">
        <a:xfrm>
          <a:off x="0" y="227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304800</xdr:colOff>
      <xdr:row>8</xdr:row>
      <xdr:rowOff>121920</xdr:rowOff>
    </xdr:to>
    <xdr:sp macro="" textlink="">
      <xdr:nvSpPr>
        <xdr:cNvPr id="3082" name="AutoShape 10" descr="add">
          <a:extLst>
            <a:ext uri="{FF2B5EF4-FFF2-40B4-BE49-F238E27FC236}">
              <a16:creationId xmlns:a16="http://schemas.microsoft.com/office/drawing/2014/main" id="{2577A924-BEB4-ABA5-6F1D-7EF634EEFE26}"/>
            </a:ext>
          </a:extLst>
        </xdr:cNvPr>
        <xdr:cNvSpPr>
          <a:spLocks noChangeAspect="1" noChangeArrowheads="1"/>
        </xdr:cNvSpPr>
      </xdr:nvSpPr>
      <xdr:spPr bwMode="auto">
        <a:xfrm>
          <a:off x="0" y="2461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xdr:row>
      <xdr:rowOff>0</xdr:rowOff>
    </xdr:from>
    <xdr:to>
      <xdr:col>0</xdr:col>
      <xdr:colOff>175260</xdr:colOff>
      <xdr:row>8</xdr:row>
      <xdr:rowOff>175260</xdr:rowOff>
    </xdr:to>
    <xdr:sp macro="" textlink="">
      <xdr:nvSpPr>
        <xdr:cNvPr id="3083" name="AutoShape 11" descr="expand">
          <a:extLst>
            <a:ext uri="{FF2B5EF4-FFF2-40B4-BE49-F238E27FC236}">
              <a16:creationId xmlns:a16="http://schemas.microsoft.com/office/drawing/2014/main" id="{D5AD5CEF-A168-AF3B-BD31-1864F06D30D7}"/>
            </a:ext>
          </a:extLst>
        </xdr:cNvPr>
        <xdr:cNvSpPr>
          <a:spLocks noChangeAspect="1" noChangeArrowheads="1"/>
        </xdr:cNvSpPr>
      </xdr:nvSpPr>
      <xdr:spPr bwMode="auto">
        <a:xfrm>
          <a:off x="0" y="265176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182880</xdr:colOff>
      <xdr:row>8</xdr:row>
      <xdr:rowOff>0</xdr:rowOff>
    </xdr:from>
    <xdr:to>
      <xdr:col>0</xdr:col>
      <xdr:colOff>487680</xdr:colOff>
      <xdr:row>9</xdr:row>
      <xdr:rowOff>121920</xdr:rowOff>
    </xdr:to>
    <xdr:sp macro="" textlink="">
      <xdr:nvSpPr>
        <xdr:cNvPr id="3084" name="AutoShape 12" descr="equal">
          <a:extLst>
            <a:ext uri="{FF2B5EF4-FFF2-40B4-BE49-F238E27FC236}">
              <a16:creationId xmlns:a16="http://schemas.microsoft.com/office/drawing/2014/main" id="{F815AB66-A956-8682-0641-2179A9854207}"/>
            </a:ext>
          </a:extLst>
        </xdr:cNvPr>
        <xdr:cNvSpPr>
          <a:spLocks noChangeAspect="1" noChangeArrowheads="1"/>
        </xdr:cNvSpPr>
      </xdr:nvSpPr>
      <xdr:spPr bwMode="auto">
        <a:xfrm>
          <a:off x="182880" y="2651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xdr:row>
      <xdr:rowOff>0</xdr:rowOff>
    </xdr:from>
    <xdr:to>
      <xdr:col>0</xdr:col>
      <xdr:colOff>304800</xdr:colOff>
      <xdr:row>12</xdr:row>
      <xdr:rowOff>121920</xdr:rowOff>
    </xdr:to>
    <xdr:sp macro="" textlink="">
      <xdr:nvSpPr>
        <xdr:cNvPr id="3085" name="AutoShape 13" descr="add">
          <a:extLst>
            <a:ext uri="{FF2B5EF4-FFF2-40B4-BE49-F238E27FC236}">
              <a16:creationId xmlns:a16="http://schemas.microsoft.com/office/drawing/2014/main" id="{466DA019-DED1-F5A3-A572-AE17AE1E556E}"/>
            </a:ext>
          </a:extLst>
        </xdr:cNvPr>
        <xdr:cNvSpPr>
          <a:spLocks noChangeAspect="1" noChangeArrowheads="1"/>
        </xdr:cNvSpPr>
      </xdr:nvSpPr>
      <xdr:spPr bwMode="auto">
        <a:xfrm>
          <a:off x="0" y="3223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xdr:row>
      <xdr:rowOff>0</xdr:rowOff>
    </xdr:from>
    <xdr:to>
      <xdr:col>0</xdr:col>
      <xdr:colOff>304800</xdr:colOff>
      <xdr:row>13</xdr:row>
      <xdr:rowOff>121920</xdr:rowOff>
    </xdr:to>
    <xdr:sp macro="" textlink="">
      <xdr:nvSpPr>
        <xdr:cNvPr id="3086" name="AutoShape 14" descr="add">
          <a:extLst>
            <a:ext uri="{FF2B5EF4-FFF2-40B4-BE49-F238E27FC236}">
              <a16:creationId xmlns:a16="http://schemas.microsoft.com/office/drawing/2014/main" id="{4C8C31EB-46DE-C400-3083-149EDFCFBC83}"/>
            </a:ext>
          </a:extLst>
        </xdr:cNvPr>
        <xdr:cNvSpPr>
          <a:spLocks noChangeAspect="1" noChangeArrowheads="1"/>
        </xdr:cNvSpPr>
      </xdr:nvSpPr>
      <xdr:spPr bwMode="auto">
        <a:xfrm>
          <a:off x="0" y="3413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0</xdr:rowOff>
    </xdr:from>
    <xdr:to>
      <xdr:col>0</xdr:col>
      <xdr:colOff>175260</xdr:colOff>
      <xdr:row>13</xdr:row>
      <xdr:rowOff>175260</xdr:rowOff>
    </xdr:to>
    <xdr:sp macro="" textlink="">
      <xdr:nvSpPr>
        <xdr:cNvPr id="3087" name="AutoShape 15" descr="expand">
          <a:extLst>
            <a:ext uri="{FF2B5EF4-FFF2-40B4-BE49-F238E27FC236}">
              <a16:creationId xmlns:a16="http://schemas.microsoft.com/office/drawing/2014/main" id="{D8EA4D67-B655-4ADC-191E-29FF62757350}"/>
            </a:ext>
          </a:extLst>
        </xdr:cNvPr>
        <xdr:cNvSpPr>
          <a:spLocks noChangeAspect="1" noChangeArrowheads="1"/>
        </xdr:cNvSpPr>
      </xdr:nvSpPr>
      <xdr:spPr bwMode="auto">
        <a:xfrm>
          <a:off x="0" y="360426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182880</xdr:colOff>
      <xdr:row>13</xdr:row>
      <xdr:rowOff>0</xdr:rowOff>
    </xdr:from>
    <xdr:to>
      <xdr:col>0</xdr:col>
      <xdr:colOff>487680</xdr:colOff>
      <xdr:row>14</xdr:row>
      <xdr:rowOff>121920</xdr:rowOff>
    </xdr:to>
    <xdr:sp macro="" textlink="">
      <xdr:nvSpPr>
        <xdr:cNvPr id="3088" name="AutoShape 16" descr="equal">
          <a:extLst>
            <a:ext uri="{FF2B5EF4-FFF2-40B4-BE49-F238E27FC236}">
              <a16:creationId xmlns:a16="http://schemas.microsoft.com/office/drawing/2014/main" id="{00817061-A58A-9EF5-C6C2-99D736267149}"/>
            </a:ext>
          </a:extLst>
        </xdr:cNvPr>
        <xdr:cNvSpPr>
          <a:spLocks noChangeAspect="1" noChangeArrowheads="1"/>
        </xdr:cNvSpPr>
      </xdr:nvSpPr>
      <xdr:spPr bwMode="auto">
        <a:xfrm>
          <a:off x="182880" y="360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xdr:row>
      <xdr:rowOff>0</xdr:rowOff>
    </xdr:from>
    <xdr:to>
      <xdr:col>0</xdr:col>
      <xdr:colOff>304800</xdr:colOff>
      <xdr:row>16</xdr:row>
      <xdr:rowOff>0</xdr:rowOff>
    </xdr:to>
    <xdr:sp macro="" textlink="">
      <xdr:nvSpPr>
        <xdr:cNvPr id="3089" name="AutoShape 17" descr="add">
          <a:extLst>
            <a:ext uri="{FF2B5EF4-FFF2-40B4-BE49-F238E27FC236}">
              <a16:creationId xmlns:a16="http://schemas.microsoft.com/office/drawing/2014/main" id="{C1A9C2D6-F0DA-E34F-4F23-A208420D304B}"/>
            </a:ext>
          </a:extLst>
        </xdr:cNvPr>
        <xdr:cNvSpPr>
          <a:spLocks noChangeAspect="1" noChangeArrowheads="1"/>
        </xdr:cNvSpPr>
      </xdr:nvSpPr>
      <xdr:spPr bwMode="auto">
        <a:xfrm>
          <a:off x="0" y="3985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xdr:row>
      <xdr:rowOff>0</xdr:rowOff>
    </xdr:from>
    <xdr:to>
      <xdr:col>0</xdr:col>
      <xdr:colOff>304800</xdr:colOff>
      <xdr:row>17</xdr:row>
      <xdr:rowOff>121920</xdr:rowOff>
    </xdr:to>
    <xdr:sp macro="" textlink="">
      <xdr:nvSpPr>
        <xdr:cNvPr id="3090" name="AutoShape 18" descr="add">
          <a:extLst>
            <a:ext uri="{FF2B5EF4-FFF2-40B4-BE49-F238E27FC236}">
              <a16:creationId xmlns:a16="http://schemas.microsoft.com/office/drawing/2014/main" id="{7111009B-0188-533A-9498-B2BCB43F02F6}"/>
            </a:ext>
          </a:extLst>
        </xdr:cNvPr>
        <xdr:cNvSpPr>
          <a:spLocks noChangeAspect="1" noChangeArrowheads="1"/>
        </xdr:cNvSpPr>
      </xdr:nvSpPr>
      <xdr:spPr bwMode="auto">
        <a:xfrm>
          <a:off x="0" y="417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xdr:row>
      <xdr:rowOff>0</xdr:rowOff>
    </xdr:from>
    <xdr:to>
      <xdr:col>0</xdr:col>
      <xdr:colOff>175260</xdr:colOff>
      <xdr:row>17</xdr:row>
      <xdr:rowOff>175260</xdr:rowOff>
    </xdr:to>
    <xdr:sp macro="" textlink="">
      <xdr:nvSpPr>
        <xdr:cNvPr id="3091" name="AutoShape 19" descr="expand">
          <a:extLst>
            <a:ext uri="{FF2B5EF4-FFF2-40B4-BE49-F238E27FC236}">
              <a16:creationId xmlns:a16="http://schemas.microsoft.com/office/drawing/2014/main" id="{E568DBB6-457E-8CAF-3DDB-C15E7A2C093F}"/>
            </a:ext>
          </a:extLst>
        </xdr:cNvPr>
        <xdr:cNvSpPr>
          <a:spLocks noChangeAspect="1" noChangeArrowheads="1"/>
        </xdr:cNvSpPr>
      </xdr:nvSpPr>
      <xdr:spPr bwMode="auto">
        <a:xfrm>
          <a:off x="0" y="436626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182880</xdr:colOff>
      <xdr:row>17</xdr:row>
      <xdr:rowOff>0</xdr:rowOff>
    </xdr:from>
    <xdr:to>
      <xdr:col>0</xdr:col>
      <xdr:colOff>487680</xdr:colOff>
      <xdr:row>18</xdr:row>
      <xdr:rowOff>121920</xdr:rowOff>
    </xdr:to>
    <xdr:sp macro="" textlink="">
      <xdr:nvSpPr>
        <xdr:cNvPr id="3092" name="AutoShape 20" descr="equal">
          <a:extLst>
            <a:ext uri="{FF2B5EF4-FFF2-40B4-BE49-F238E27FC236}">
              <a16:creationId xmlns:a16="http://schemas.microsoft.com/office/drawing/2014/main" id="{CB923BCB-676C-7A96-786D-C20E588C573E}"/>
            </a:ext>
          </a:extLst>
        </xdr:cNvPr>
        <xdr:cNvSpPr>
          <a:spLocks noChangeAspect="1" noChangeArrowheads="1"/>
        </xdr:cNvSpPr>
      </xdr:nvSpPr>
      <xdr:spPr bwMode="auto">
        <a:xfrm>
          <a:off x="182880" y="436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xdr:row>
      <xdr:rowOff>0</xdr:rowOff>
    </xdr:from>
    <xdr:to>
      <xdr:col>0</xdr:col>
      <xdr:colOff>304800</xdr:colOff>
      <xdr:row>21</xdr:row>
      <xdr:rowOff>121920</xdr:rowOff>
    </xdr:to>
    <xdr:sp macro="" textlink="">
      <xdr:nvSpPr>
        <xdr:cNvPr id="3093" name="AutoShape 21" descr="add">
          <a:extLst>
            <a:ext uri="{FF2B5EF4-FFF2-40B4-BE49-F238E27FC236}">
              <a16:creationId xmlns:a16="http://schemas.microsoft.com/office/drawing/2014/main" id="{8CFC7BDB-579E-1474-2C11-D843C52AC429}"/>
            </a:ext>
          </a:extLst>
        </xdr:cNvPr>
        <xdr:cNvSpPr>
          <a:spLocks noChangeAspect="1" noChangeArrowheads="1"/>
        </xdr:cNvSpPr>
      </xdr:nvSpPr>
      <xdr:spPr bwMode="auto">
        <a:xfrm>
          <a:off x="0" y="4937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121920</xdr:rowOff>
    </xdr:to>
    <xdr:sp macro="" textlink="">
      <xdr:nvSpPr>
        <xdr:cNvPr id="3094" name="AutoShape 22" descr="add">
          <a:extLst>
            <a:ext uri="{FF2B5EF4-FFF2-40B4-BE49-F238E27FC236}">
              <a16:creationId xmlns:a16="http://schemas.microsoft.com/office/drawing/2014/main" id="{E491A666-87D1-51DD-7F1A-20D91AEECA2A}"/>
            </a:ext>
          </a:extLst>
        </xdr:cNvPr>
        <xdr:cNvSpPr>
          <a:spLocks noChangeAspect="1" noChangeArrowheads="1"/>
        </xdr:cNvSpPr>
      </xdr:nvSpPr>
      <xdr:spPr bwMode="auto">
        <a:xfrm>
          <a:off x="0" y="512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xdr:row>
      <xdr:rowOff>0</xdr:rowOff>
    </xdr:from>
    <xdr:to>
      <xdr:col>0</xdr:col>
      <xdr:colOff>304800</xdr:colOff>
      <xdr:row>23</xdr:row>
      <xdr:rowOff>121920</xdr:rowOff>
    </xdr:to>
    <xdr:sp macro="" textlink="">
      <xdr:nvSpPr>
        <xdr:cNvPr id="3095" name="AutoShape 23" descr="add">
          <a:extLst>
            <a:ext uri="{FF2B5EF4-FFF2-40B4-BE49-F238E27FC236}">
              <a16:creationId xmlns:a16="http://schemas.microsoft.com/office/drawing/2014/main" id="{1FA61155-AB23-2F33-CB58-471F14639910}"/>
            </a:ext>
          </a:extLst>
        </xdr:cNvPr>
        <xdr:cNvSpPr>
          <a:spLocks noChangeAspect="1" noChangeArrowheads="1"/>
        </xdr:cNvSpPr>
      </xdr:nvSpPr>
      <xdr:spPr bwMode="auto">
        <a:xfrm>
          <a:off x="0" y="5318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304800</xdr:colOff>
      <xdr:row>24</xdr:row>
      <xdr:rowOff>121920</xdr:rowOff>
    </xdr:to>
    <xdr:sp macro="" textlink="">
      <xdr:nvSpPr>
        <xdr:cNvPr id="3096" name="AutoShape 24" descr="add">
          <a:extLst>
            <a:ext uri="{FF2B5EF4-FFF2-40B4-BE49-F238E27FC236}">
              <a16:creationId xmlns:a16="http://schemas.microsoft.com/office/drawing/2014/main" id="{1DAF6EA7-149E-8D5F-81B4-1077B7DD8A55}"/>
            </a:ext>
          </a:extLst>
        </xdr:cNvPr>
        <xdr:cNvSpPr>
          <a:spLocks noChangeAspect="1" noChangeArrowheads="1"/>
        </xdr:cNvSpPr>
      </xdr:nvSpPr>
      <xdr:spPr bwMode="auto">
        <a:xfrm>
          <a:off x="0" y="550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xdr:row>
      <xdr:rowOff>0</xdr:rowOff>
    </xdr:from>
    <xdr:to>
      <xdr:col>0</xdr:col>
      <xdr:colOff>175260</xdr:colOff>
      <xdr:row>24</xdr:row>
      <xdr:rowOff>175260</xdr:rowOff>
    </xdr:to>
    <xdr:sp macro="" textlink="">
      <xdr:nvSpPr>
        <xdr:cNvPr id="3097" name="AutoShape 25" descr="expand">
          <a:extLst>
            <a:ext uri="{FF2B5EF4-FFF2-40B4-BE49-F238E27FC236}">
              <a16:creationId xmlns:a16="http://schemas.microsoft.com/office/drawing/2014/main" id="{EF6C68AE-EA7B-91BF-74F3-C1594BF0776A}"/>
            </a:ext>
          </a:extLst>
        </xdr:cNvPr>
        <xdr:cNvSpPr>
          <a:spLocks noChangeAspect="1" noChangeArrowheads="1"/>
        </xdr:cNvSpPr>
      </xdr:nvSpPr>
      <xdr:spPr bwMode="auto">
        <a:xfrm>
          <a:off x="0" y="569976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182880</xdr:colOff>
      <xdr:row>24</xdr:row>
      <xdr:rowOff>0</xdr:rowOff>
    </xdr:from>
    <xdr:to>
      <xdr:col>0</xdr:col>
      <xdr:colOff>487680</xdr:colOff>
      <xdr:row>25</xdr:row>
      <xdr:rowOff>121920</xdr:rowOff>
    </xdr:to>
    <xdr:sp macro="" textlink="">
      <xdr:nvSpPr>
        <xdr:cNvPr id="3098" name="AutoShape 26" descr="equal">
          <a:extLst>
            <a:ext uri="{FF2B5EF4-FFF2-40B4-BE49-F238E27FC236}">
              <a16:creationId xmlns:a16="http://schemas.microsoft.com/office/drawing/2014/main" id="{5E993D2A-B24B-77A2-2E2C-69D32334C971}"/>
            </a:ext>
          </a:extLst>
        </xdr:cNvPr>
        <xdr:cNvSpPr>
          <a:spLocks noChangeAspect="1" noChangeArrowheads="1"/>
        </xdr:cNvSpPr>
      </xdr:nvSpPr>
      <xdr:spPr bwMode="auto">
        <a:xfrm>
          <a:off x="182880" y="5699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JEEV PARMAR" refreshedDate="46200.882051851855" createdVersion="8" refreshedVersion="8" minRefreshableVersion="3" recordCount="220" xr:uid="{DF8F08BB-0593-4963-A3C0-8727856A52A5}">
  <cacheSource type="worksheet">
    <worksheetSource ref="A1:C221" sheet="CF_Pivot"/>
  </cacheSource>
  <cacheFields count="3">
    <cacheField name="Particular" numFmtId="0">
      <sharedItems count="22">
        <s v="Profit from operations (EBITDA)"/>
        <s v="Receivables"/>
        <s v="Inventory"/>
        <s v="Payables"/>
        <s v="Loans Advances"/>
        <s v="Working capital changes"/>
        <s v="Direct taxes"/>
        <s v="Net cash inflow(outflow) from Operating Activities"/>
        <s v="Fixed assets purchased"/>
        <s v="Fixed assets sold"/>
        <s v="Investments purchased"/>
        <s v="Investments sold"/>
        <s v="Other investing items"/>
        <s v="Net cash inflow(outflow) from Investing Activities"/>
        <s v="Proceeds from shares"/>
        <s v="Proceeds from borrowings"/>
        <s v="Repayment of borrowings"/>
        <s v="Interest paid fin"/>
        <s v="Dividends paid"/>
        <s v="Other Financing items"/>
        <s v="Net cash inflow(outflow) from Financial Activities"/>
        <s v="Net Cash Flow for the year"/>
      </sharedItems>
    </cacheField>
    <cacheField name="Year" numFmtId="0">
      <sharedItems count="10">
        <s v="2022"/>
        <s v="2023"/>
        <s v="2024"/>
        <s v="2025"/>
        <s v="2026"/>
        <s v="2027"/>
        <s v="2028"/>
        <s v="2029"/>
        <s v="2030"/>
        <s v="2031"/>
      </sharedItems>
    </cacheField>
    <cacheField name="Amount" numFmtId="1">
      <sharedItems containsSemiMixedTypes="0" containsString="0" containsNumber="1" minValue="-44991" maxValue="65508.27427106509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JEEV PARMAR" refreshedDate="46200.882053125002" createdVersion="8" refreshedVersion="8" minRefreshableVersion="3" recordCount="256" xr:uid="{C3F08574-E515-454E-BD2D-B799F341E052}">
  <cacheSource type="worksheet">
    <worksheetSource ref="A1:C257" sheet="Ratio_Pivot"/>
  </cacheSource>
  <cacheFields count="3">
    <cacheField name="Particular" numFmtId="0">
      <sharedItems count="26">
        <s v="Sales Growth (%)"/>
        <s v="EBITDA Growth (%)"/>
        <s v="EBIT Growth (%)"/>
        <s v="PAT Growth (%)"/>
        <s v="Gross Margin (%)"/>
        <s v="EBITDA Margin (%)"/>
        <s v="EBIT Margin (%)"/>
        <s v="EBT Margin (%)"/>
        <s v="Net Profit Margin (%)"/>
        <s v="ROA (%)"/>
        <s v="ROE (%)"/>
        <s v="ROCE (%)"/>
        <s v="Debt Equity Ratio (x)"/>
        <s v="Interest Coverage Ratio (x)"/>
        <s v="Current Ratio (x)"/>
        <s v="Quick Ratio (x)"/>
        <s v="Cash Ratio (x)"/>
        <s v="Debtor Turnover Ratio (x)"/>
        <s v="Creditor Turnover Ratio (x)"/>
        <s v="Inventory Turnover (x)"/>
        <s v="Fixed Asset Turnover (x)"/>
        <s v="Capital Turnover Ratio (x)"/>
        <s v="Debtor Days"/>
        <s v="Payable Days"/>
        <s v="Inventory Days"/>
        <s v="Cash Conversion Cycle (in days)"/>
      </sharedItems>
    </cacheField>
    <cacheField name="Year" numFmtId="0">
      <sharedItems count="10">
        <s v="2022"/>
        <s v="2023"/>
        <s v="2024"/>
        <s v="2025"/>
        <s v="2026"/>
        <s v="2027"/>
        <s v="2028"/>
        <s v="2029"/>
        <s v="2030"/>
        <s v="2031"/>
      </sharedItems>
    </cacheField>
    <cacheField name="Ratio" numFmtId="0">
      <sharedItems containsMixedTypes="1" containsNumber="1" minValue="-404.00661241943294" maxValue="496.3793582865205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JEEV PARMAR" refreshedDate="46200.882054629627" createdVersion="8" refreshedVersion="8" minRefreshableVersion="3" recordCount="140" xr:uid="{425FF4BE-4BA2-421B-8D98-049EC187D466}">
  <cacheSource type="worksheet">
    <worksheetSource ref="A1:C141" sheet="P&amp;L_Pivot"/>
  </cacheSource>
  <cacheFields count="3">
    <cacheField name="Particular" numFmtId="0">
      <sharedItems count="14">
        <s v="Total Revenue"/>
        <s v="COGS"/>
        <s v="Gross Profit"/>
        <s v="Employee Cost"/>
        <s v="Other Expenses"/>
        <s v="EBITDA"/>
        <s v="Depreciation &amp; Amortization"/>
        <s v="EBIT "/>
        <s v="Interest"/>
        <s v="EBT"/>
        <s v="Taxes"/>
        <s v="EAT/ Net Profit"/>
        <s v="Divident Paid"/>
        <s v="Transfer to Reserve"/>
      </sharedItems>
    </cacheField>
    <cacheField name="Years" numFmtId="0">
      <sharedItems count="10">
        <s v="2022"/>
        <s v="2023"/>
        <s v="2024"/>
        <s v="2025"/>
        <s v="2026"/>
        <s v="2027"/>
        <s v="2028"/>
        <s v="2029"/>
        <s v="2030"/>
        <s v="2031"/>
      </sharedItems>
    </cacheField>
    <cacheField name="Amount" numFmtId="1">
      <sharedItems containsSemiMixedTypes="0" containsString="0" containsNumber="1" minValue="2528.46" maxValue="560979.69169317046"/>
    </cacheField>
  </cacheFields>
  <extLst>
    <ext xmlns:x14="http://schemas.microsoft.com/office/spreadsheetml/2009/9/main" uri="{725AE2AE-9491-48be-B2B4-4EB974FC3084}">
      <x14:pivotCacheDefinition pivotCacheId="13998874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0">
  <r>
    <x v="0"/>
    <x v="0"/>
    <n v="26545"/>
  </r>
  <r>
    <x v="0"/>
    <x v="1"/>
    <n v="23703"/>
  </r>
  <r>
    <x v="0"/>
    <x v="2"/>
    <n v="27904"/>
  </r>
  <r>
    <x v="0"/>
    <x v="3"/>
    <n v="26316"/>
  </r>
  <r>
    <x v="0"/>
    <x v="4"/>
    <n v="45210"/>
  </r>
  <r>
    <x v="0"/>
    <x v="5"/>
    <n v="35730.63358348616"/>
  </r>
  <r>
    <x v="0"/>
    <x v="6"/>
    <n v="43052.148557215973"/>
  </r>
  <r>
    <x v="0"/>
    <x v="7"/>
    <n v="50627.299338770579"/>
  </r>
  <r>
    <x v="0"/>
    <x v="8"/>
    <n v="58213.98730745427"/>
  </r>
  <r>
    <x v="0"/>
    <x v="9"/>
    <n v="65508.274271065093"/>
  </r>
  <r>
    <x v="1"/>
    <x v="0"/>
    <n v="3012"/>
  </r>
  <r>
    <x v="1"/>
    <x v="1"/>
    <n v="-9852"/>
  </r>
  <r>
    <x v="1"/>
    <x v="2"/>
    <n v="-4495"/>
  </r>
  <r>
    <x v="1"/>
    <x v="3"/>
    <n v="-10643"/>
  </r>
  <r>
    <x v="1"/>
    <x v="4"/>
    <n v="-10316"/>
  </r>
  <r>
    <x v="1"/>
    <x v="5"/>
    <n v="-13381.341302884997"/>
  </r>
  <r>
    <x v="1"/>
    <x v="6"/>
    <n v="-8914.8345254704109"/>
  </r>
  <r>
    <x v="1"/>
    <x v="7"/>
    <n v="-9592.2071864939062"/>
  </r>
  <r>
    <x v="1"/>
    <x v="8"/>
    <n v="-10180.588648298988"/>
  </r>
  <r>
    <x v="1"/>
    <x v="9"/>
    <n v="-10648.814954050249"/>
  </r>
  <r>
    <x v="2"/>
    <x v="0"/>
    <n v="349"/>
  </r>
  <r>
    <x v="2"/>
    <x v="1"/>
    <n v="-74"/>
  </r>
  <r>
    <x v="2"/>
    <x v="2"/>
    <n v="-476"/>
  </r>
  <r>
    <x v="2"/>
    <x v="3"/>
    <n v="245"/>
  </r>
  <r>
    <x v="2"/>
    <x v="4"/>
    <n v="-540"/>
  </r>
  <r>
    <x v="2"/>
    <x v="5"/>
    <n v="-1450.9454115606814"/>
  </r>
  <r>
    <x v="2"/>
    <x v="6"/>
    <n v="-780.74600333223498"/>
  </r>
  <r>
    <x v="2"/>
    <x v="7"/>
    <n v="-840.06914571358084"/>
  </r>
  <r>
    <x v="2"/>
    <x v="8"/>
    <n v="-891.5985906434471"/>
  </r>
  <r>
    <x v="2"/>
    <x v="9"/>
    <n v="-932.60505193287099"/>
  </r>
  <r>
    <x v="3"/>
    <x v="0"/>
    <n v="2220"/>
  </r>
  <r>
    <x v="3"/>
    <x v="1"/>
    <n v="9678"/>
  </r>
  <r>
    <x v="3"/>
    <x v="2"/>
    <n v="5413"/>
  </r>
  <r>
    <x v="3"/>
    <x v="3"/>
    <n v="14601"/>
  </r>
  <r>
    <x v="3"/>
    <x v="4"/>
    <n v="9835"/>
  </r>
  <r>
    <x v="3"/>
    <x v="5"/>
    <n v="15621.832546531463"/>
  </r>
  <r>
    <x v="3"/>
    <x v="6"/>
    <n v="9833.5790734535258"/>
  </r>
  <r>
    <x v="3"/>
    <x v="7"/>
    <n v="10580.760370575663"/>
  </r>
  <r>
    <x v="3"/>
    <x v="8"/>
    <n v="11229.779218147509"/>
  </r>
  <r>
    <x v="3"/>
    <x v="9"/>
    <n v="11746.259965908015"/>
  </r>
  <r>
    <x v="4"/>
    <x v="0"/>
    <n v="4618"/>
  </r>
  <r>
    <x v="4"/>
    <x v="1"/>
    <n v="5005"/>
  </r>
  <r>
    <x v="4"/>
    <x v="2"/>
    <n v="4937"/>
  </r>
  <r>
    <x v="4"/>
    <x v="3"/>
    <n v="-5588"/>
  </r>
  <r>
    <x v="4"/>
    <x v="4"/>
    <n v="-14208"/>
  </r>
  <r>
    <x v="4"/>
    <x v="5"/>
    <n v="58.977999999999952"/>
  </r>
  <r>
    <x v="4"/>
    <x v="6"/>
    <n v="-8.8263999999999783"/>
  </r>
  <r>
    <x v="4"/>
    <x v="7"/>
    <n v="-26.85367999999994"/>
  </r>
  <r>
    <x v="4"/>
    <x v="8"/>
    <n v="-53.274416000000031"/>
  </r>
  <r>
    <x v="4"/>
    <x v="9"/>
    <n v="50.466700799999956"/>
  </r>
  <r>
    <x v="5"/>
    <x v="0"/>
    <n v="-10198"/>
  </r>
  <r>
    <x v="5"/>
    <x v="1"/>
    <n v="-4757"/>
  </r>
  <r>
    <x v="5"/>
    <x v="2"/>
    <n v="-5379"/>
  </r>
  <r>
    <x v="5"/>
    <x v="3"/>
    <n v="-1385"/>
  </r>
  <r>
    <x v="5"/>
    <x v="4"/>
    <n v="-15229"/>
  </r>
  <r>
    <x v="5"/>
    <x v="5"/>
    <n v="-11457.052026927468"/>
  </r>
  <r>
    <x v="5"/>
    <x v="6"/>
    <n v="-920.19837114081247"/>
  </r>
  <r>
    <x v="5"/>
    <x v="7"/>
    <n v="85.332952524150187"/>
  </r>
  <r>
    <x v="5"/>
    <x v="8"/>
    <n v="172.34720597601063"/>
  </r>
  <r>
    <x v="5"/>
    <x v="9"/>
    <n v="-337.95243487704374"/>
  </r>
  <r>
    <x v="6"/>
    <x v="0"/>
    <n v="-3471"/>
  </r>
  <r>
    <x v="6"/>
    <x v="1"/>
    <n v="-4539"/>
  </r>
  <r>
    <x v="6"/>
    <x v="2"/>
    <n v="-5127"/>
  </r>
  <r>
    <x v="6"/>
    <x v="3"/>
    <n v="-5280"/>
  </r>
  <r>
    <x v="6"/>
    <x v="4"/>
    <n v="-5601"/>
  </r>
  <r>
    <x v="6"/>
    <x v="5"/>
    <n v="-4539"/>
  </r>
  <r>
    <x v="6"/>
    <x v="6"/>
    <n v="-4539"/>
  </r>
  <r>
    <x v="6"/>
    <x v="7"/>
    <n v="-4539"/>
  </r>
  <r>
    <x v="6"/>
    <x v="8"/>
    <n v="-4539"/>
  </r>
  <r>
    <x v="6"/>
    <x v="9"/>
    <n v="-4539"/>
  </r>
  <r>
    <x v="7"/>
    <x v="0"/>
    <n v="23075"/>
  </r>
  <r>
    <x v="7"/>
    <x v="1"/>
    <n v="19164"/>
  </r>
  <r>
    <x v="7"/>
    <x v="2"/>
    <n v="22777"/>
  </r>
  <r>
    <x v="7"/>
    <x v="3"/>
    <n v="18266"/>
  </r>
  <r>
    <x v="7"/>
    <x v="4"/>
    <n v="9151"/>
  </r>
  <r>
    <x v="7"/>
    <x v="5"/>
    <n v="20583.105388644475"/>
  </r>
  <r>
    <x v="7"/>
    <x v="6"/>
    <n v="37722.122330726044"/>
  </r>
  <r>
    <x v="7"/>
    <x v="7"/>
    <n v="46295.262649662902"/>
  </r>
  <r>
    <x v="7"/>
    <x v="8"/>
    <n v="53951.65207663535"/>
  </r>
  <r>
    <x v="7"/>
    <x v="9"/>
    <n v="60846.628496912941"/>
  </r>
  <r>
    <x v="8"/>
    <x v="0"/>
    <n v="-1808"/>
  </r>
  <r>
    <x v="8"/>
    <x v="1"/>
    <n v="-3111"/>
  </r>
  <r>
    <x v="8"/>
    <x v="2"/>
    <n v="-4144"/>
  </r>
  <r>
    <x v="8"/>
    <x v="3"/>
    <n v="-4517"/>
  </r>
  <r>
    <x v="8"/>
    <x v="4"/>
    <n v="-4419"/>
  </r>
  <r>
    <x v="8"/>
    <x v="5"/>
    <n v="-7280.2591060286704"/>
  </r>
  <r>
    <x v="8"/>
    <x v="6"/>
    <n v="-7970.7356683770868"/>
  </r>
  <r>
    <x v="8"/>
    <x v="7"/>
    <n v="-10379.738358339573"/>
  </r>
  <r>
    <x v="8"/>
    <x v="8"/>
    <n v="-15785.354491561617"/>
  </r>
  <r>
    <x v="8"/>
    <x v="9"/>
    <n v="-25066.811148936773"/>
  </r>
  <r>
    <x v="9"/>
    <x v="0"/>
    <n v="885"/>
  </r>
  <r>
    <x v="9"/>
    <x v="1"/>
    <n v="71"/>
  </r>
  <r>
    <x v="9"/>
    <x v="2"/>
    <n v="350"/>
  </r>
  <r>
    <x v="9"/>
    <x v="3"/>
    <n v="306"/>
  </r>
  <r>
    <x v="9"/>
    <x v="4"/>
    <n v="878"/>
  </r>
  <r>
    <x v="9"/>
    <x v="5"/>
    <n v="878"/>
  </r>
  <r>
    <x v="9"/>
    <x v="6"/>
    <n v="878"/>
  </r>
  <r>
    <x v="9"/>
    <x v="7"/>
    <n v="878"/>
  </r>
  <r>
    <x v="9"/>
    <x v="8"/>
    <n v="878"/>
  </r>
  <r>
    <x v="9"/>
    <x v="9"/>
    <n v="878"/>
  </r>
  <r>
    <x v="10"/>
    <x v="0"/>
    <n v="-18715"/>
  </r>
  <r>
    <x v="10"/>
    <x v="1"/>
    <n v="-2156"/>
  </r>
  <r>
    <x v="10"/>
    <x v="2"/>
    <n v="-9120"/>
  </r>
  <r>
    <x v="10"/>
    <x v="3"/>
    <n v="-4889"/>
  </r>
  <r>
    <x v="10"/>
    <x v="4"/>
    <n v="-8235"/>
  </r>
  <r>
    <x v="10"/>
    <x v="5"/>
    <n v="-2156"/>
  </r>
  <r>
    <x v="10"/>
    <x v="6"/>
    <n v="-2156"/>
  </r>
  <r>
    <x v="10"/>
    <x v="7"/>
    <n v="-2156"/>
  </r>
  <r>
    <x v="10"/>
    <x v="8"/>
    <n v="-2156"/>
  </r>
  <r>
    <x v="10"/>
    <x v="9"/>
    <n v="-2156"/>
  </r>
  <r>
    <x v="11"/>
    <x v="0"/>
    <n v="240"/>
  </r>
  <r>
    <x v="11"/>
    <x v="1"/>
    <n v="2463"/>
  </r>
  <r>
    <x v="11"/>
    <x v="2"/>
    <n v="827"/>
  </r>
  <r>
    <x v="11"/>
    <x v="3"/>
    <n v="4931"/>
  </r>
  <r>
    <x v="11"/>
    <x v="4"/>
    <n v="1726"/>
  </r>
  <r>
    <x v="11"/>
    <x v="5"/>
    <n v="2463"/>
  </r>
  <r>
    <x v="11"/>
    <x v="6"/>
    <n v="2463"/>
  </r>
  <r>
    <x v="11"/>
    <x v="7"/>
    <n v="2463"/>
  </r>
  <r>
    <x v="11"/>
    <x v="8"/>
    <n v="2463"/>
  </r>
  <r>
    <x v="11"/>
    <x v="9"/>
    <n v="2463"/>
  </r>
  <r>
    <x v="12"/>
    <x v="0"/>
    <n v="13646"/>
  </r>
  <r>
    <x v="12"/>
    <x v="1"/>
    <n v="-852"/>
  </r>
  <r>
    <x v="12"/>
    <x v="2"/>
    <n v="4038"/>
  </r>
  <r>
    <x v="12"/>
    <x v="3"/>
    <n v="6348"/>
  </r>
  <r>
    <x v="12"/>
    <x v="4"/>
    <n v="-5430"/>
  </r>
  <r>
    <x v="12"/>
    <x v="5"/>
    <n v="-5430"/>
  </r>
  <r>
    <x v="12"/>
    <x v="6"/>
    <n v="-5430"/>
  </r>
  <r>
    <x v="12"/>
    <x v="7"/>
    <n v="-5430"/>
  </r>
  <r>
    <x v="12"/>
    <x v="8"/>
    <n v="-5430"/>
  </r>
  <r>
    <x v="12"/>
    <x v="9"/>
    <n v="-5430"/>
  </r>
  <r>
    <x v="13"/>
    <x v="0"/>
    <n v="-5752"/>
  </r>
  <r>
    <x v="13"/>
    <x v="1"/>
    <n v="-3585"/>
  </r>
  <r>
    <x v="13"/>
    <x v="2"/>
    <n v="-8049"/>
  </r>
  <r>
    <x v="13"/>
    <x v="3"/>
    <n v="2179"/>
  </r>
  <r>
    <x v="13"/>
    <x v="4"/>
    <n v="-15480"/>
  </r>
  <r>
    <x v="13"/>
    <x v="5"/>
    <n v="-11525.25910602867"/>
  </r>
  <r>
    <x v="13"/>
    <x v="6"/>
    <n v="-12215.735668377087"/>
  </r>
  <r>
    <x v="13"/>
    <x v="7"/>
    <n v="-14624.738358339573"/>
  </r>
  <r>
    <x v="13"/>
    <x v="8"/>
    <n v="-20030.354491561615"/>
  </r>
  <r>
    <x v="13"/>
    <x v="9"/>
    <n v="-29311.811148936773"/>
  </r>
  <r>
    <x v="14"/>
    <x v="0"/>
    <n v="16"/>
  </r>
  <r>
    <x v="14"/>
    <x v="1"/>
    <n v="11"/>
  </r>
  <r>
    <x v="14"/>
    <x v="2"/>
    <n v="10"/>
  </r>
  <r>
    <x v="14"/>
    <x v="3"/>
    <n v="10"/>
  </r>
  <r>
    <x v="14"/>
    <x v="4"/>
    <n v="9"/>
  </r>
  <r>
    <x v="14"/>
    <x v="5"/>
    <n v="9"/>
  </r>
  <r>
    <x v="14"/>
    <x v="6"/>
    <n v="9"/>
  </r>
  <r>
    <x v="14"/>
    <x v="7"/>
    <n v="9"/>
  </r>
  <r>
    <x v="14"/>
    <x v="8"/>
    <n v="9"/>
  </r>
  <r>
    <x v="14"/>
    <x v="9"/>
    <n v="9"/>
  </r>
  <r>
    <x v="15"/>
    <x v="0"/>
    <n v="36325"/>
  </r>
  <r>
    <x v="15"/>
    <x v="1"/>
    <n v="27537"/>
  </r>
  <r>
    <x v="15"/>
    <x v="2"/>
    <n v="28386"/>
  </r>
  <r>
    <x v="15"/>
    <x v="3"/>
    <n v="23175"/>
  </r>
  <r>
    <x v="15"/>
    <x v="4"/>
    <n v="46547"/>
  </r>
  <r>
    <x v="15"/>
    <x v="5"/>
    <n v="7142.1646666666638"/>
  </r>
  <r>
    <x v="15"/>
    <x v="6"/>
    <n v="-360.37217777777914"/>
  </r>
  <r>
    <x v="15"/>
    <x v="7"/>
    <n v="92.252349629630771"/>
  </r>
  <r>
    <x v="15"/>
    <x v="8"/>
    <n v="-403.36656316049266"/>
  </r>
  <r>
    <x v="15"/>
    <x v="9"/>
    <n v="-1066.0392749695493"/>
  </r>
  <r>
    <x v="16"/>
    <x v="0"/>
    <n v="-44991"/>
  </r>
  <r>
    <x v="16"/>
    <x v="1"/>
    <n v="-35806"/>
  </r>
  <r>
    <x v="16"/>
    <x v="2"/>
    <n v="-32795"/>
  </r>
  <r>
    <x v="16"/>
    <x v="3"/>
    <n v="-27228"/>
  </r>
  <r>
    <x v="16"/>
    <x v="4"/>
    <n v="-30782"/>
  </r>
  <r>
    <x v="16"/>
    <x v="5"/>
    <n v="-2336.5970402701496"/>
  </r>
  <r>
    <x v="16"/>
    <x v="6"/>
    <n v="-5496.7598106016103"/>
  </r>
  <r>
    <x v="16"/>
    <x v="7"/>
    <n v="-7770.8761651559889"/>
  </r>
  <r>
    <x v="16"/>
    <x v="8"/>
    <n v="-9887.5290544793006"/>
  </r>
  <r>
    <x v="16"/>
    <x v="9"/>
    <n v="-11863.658803221499"/>
  </r>
  <r>
    <x v="17"/>
    <x v="0"/>
    <n v="-3388"/>
  </r>
  <r>
    <x v="17"/>
    <x v="1"/>
    <n v="-2968"/>
  </r>
  <r>
    <x v="17"/>
    <x v="2"/>
    <n v="-3047"/>
  </r>
  <r>
    <x v="17"/>
    <x v="3"/>
    <n v="-3605"/>
  </r>
  <r>
    <x v="17"/>
    <x v="4"/>
    <n v="-3609"/>
  </r>
  <r>
    <x v="17"/>
    <x v="5"/>
    <n v="-3298.310434998521"/>
  </r>
  <r>
    <x v="17"/>
    <x v="6"/>
    <n v="-3321.5941903802709"/>
  </r>
  <r>
    <x v="17"/>
    <x v="7"/>
    <n v="-3361.0479093684025"/>
  </r>
  <r>
    <x v="17"/>
    <x v="8"/>
    <n v="-3382.4836207593894"/>
  </r>
  <r>
    <x v="17"/>
    <x v="9"/>
    <n v="-3306.2656853008534"/>
  </r>
  <r>
    <x v="18"/>
    <x v="0"/>
    <n v="-3651"/>
  </r>
  <r>
    <x v="18"/>
    <x v="1"/>
    <n v="-2528"/>
  </r>
  <r>
    <x v="18"/>
    <x v="2"/>
    <n v="-3091"/>
  </r>
  <r>
    <x v="18"/>
    <x v="3"/>
    <n v="-4217"/>
  </r>
  <r>
    <x v="18"/>
    <x v="4"/>
    <n v="-3850"/>
  </r>
  <r>
    <x v="18"/>
    <x v="5"/>
    <n v="-4001.8883707289933"/>
  </r>
  <r>
    <x v="18"/>
    <x v="6"/>
    <n v="-5001.4408316999561"/>
  </r>
  <r>
    <x v="18"/>
    <x v="7"/>
    <n v="-6027.7583056689473"/>
  </r>
  <r>
    <x v="18"/>
    <x v="8"/>
    <n v="-6996.0023672519465"/>
  </r>
  <r>
    <x v="18"/>
    <x v="9"/>
    <n v="-7924.9941911663936"/>
  </r>
  <r>
    <x v="19"/>
    <x v="0"/>
    <n v="414"/>
  </r>
  <r>
    <x v="19"/>
    <x v="1"/>
    <n v="-1427"/>
  </r>
  <r>
    <x v="19"/>
    <x v="2"/>
    <n v="-1036"/>
  </r>
  <r>
    <x v="19"/>
    <x v="3"/>
    <n v="-13548"/>
  </r>
  <r>
    <x v="19"/>
    <x v="4"/>
    <n v="-1758"/>
  </r>
  <r>
    <x v="19"/>
    <x v="5"/>
    <n v="-1036"/>
  </r>
  <r>
    <x v="19"/>
    <x v="6"/>
    <n v="-1036"/>
  </r>
  <r>
    <x v="19"/>
    <x v="7"/>
    <n v="-1036"/>
  </r>
  <r>
    <x v="19"/>
    <x v="8"/>
    <n v="-1036"/>
  </r>
  <r>
    <x v="19"/>
    <x v="9"/>
    <n v="-1036"/>
  </r>
  <r>
    <x v="20"/>
    <x v="0"/>
    <n v="-15275"/>
  </r>
  <r>
    <x v="20"/>
    <x v="1"/>
    <n v="-15181"/>
  </r>
  <r>
    <x v="20"/>
    <x v="2"/>
    <n v="-11573"/>
  </r>
  <r>
    <x v="20"/>
    <x v="3"/>
    <n v="-25413"/>
  </r>
  <r>
    <x v="20"/>
    <x v="4"/>
    <n v="6557"/>
  </r>
  <r>
    <x v="20"/>
    <x v="5"/>
    <n v="-2485.6311793310001"/>
  </r>
  <r>
    <x v="20"/>
    <x v="6"/>
    <n v="-14171.167010459616"/>
  </r>
  <r>
    <x v="20"/>
    <x v="7"/>
    <n v="-17058.430030563708"/>
  </r>
  <r>
    <x v="20"/>
    <x v="8"/>
    <n v="-20660.381605651128"/>
  </r>
  <r>
    <x v="20"/>
    <x v="9"/>
    <n v="-24151.957954658297"/>
  </r>
  <r>
    <x v="21"/>
    <x v="0"/>
    <n v="2048"/>
  </r>
  <r>
    <x v="21"/>
    <x v="1"/>
    <n v="398"/>
  </r>
  <r>
    <x v="21"/>
    <x v="2"/>
    <n v="3155"/>
  </r>
  <r>
    <x v="21"/>
    <x v="3"/>
    <n v="-4968"/>
  </r>
  <r>
    <x v="21"/>
    <x v="4"/>
    <n v="228"/>
  </r>
  <r>
    <x v="21"/>
    <x v="5"/>
    <n v="6572.2151032848051"/>
  </r>
  <r>
    <x v="21"/>
    <x v="6"/>
    <n v="11335.219651889343"/>
  </r>
  <r>
    <x v="21"/>
    <x v="7"/>
    <n v="14612.094260759623"/>
  </r>
  <r>
    <x v="21"/>
    <x v="8"/>
    <n v="13260.915979422607"/>
  </r>
  <r>
    <x v="21"/>
    <x v="9"/>
    <n v="7382.859393317870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6">
  <r>
    <x v="0"/>
    <x v="0"/>
    <s v="-"/>
  </r>
  <r>
    <x v="0"/>
    <x v="1"/>
    <n v="0.17307042313127452"/>
  </r>
  <r>
    <x v="0"/>
    <x v="2"/>
    <n v="0.20937938057292893"/>
  </r>
  <r>
    <x v="0"/>
    <x v="3"/>
    <n v="0.15354102042633633"/>
  </r>
  <r>
    <x v="0"/>
    <x v="4"/>
    <n v="0.12228068677326775"/>
  </r>
  <r>
    <x v="0"/>
    <x v="5"/>
    <n v="0.15184100337921125"/>
  </r>
  <r>
    <x v="0"/>
    <x v="6"/>
    <n v="0.15184100337921125"/>
  </r>
  <r>
    <x v="0"/>
    <x v="7"/>
    <n v="0.14184100337921124"/>
  </r>
  <r>
    <x v="0"/>
    <x v="8"/>
    <n v="0.13184100337921123"/>
  </r>
  <r>
    <x v="0"/>
    <x v="9"/>
    <n v="0.12184100337921122"/>
  </r>
  <r>
    <x v="1"/>
    <x v="0"/>
    <s v="-"/>
  </r>
  <r>
    <x v="1"/>
    <x v="1"/>
    <n v="0.15728493472961547"/>
  </r>
  <r>
    <x v="1"/>
    <x v="2"/>
    <n v="0.16486596099492723"/>
  </r>
  <r>
    <x v="1"/>
    <x v="3"/>
    <n v="0.11854444484090787"/>
  </r>
  <r>
    <x v="1"/>
    <x v="4"/>
    <n v="6.9440497204064311E-2"/>
  </r>
  <r>
    <x v="1"/>
    <x v="5"/>
    <n v="7.6568275258115381E-2"/>
  </r>
  <r>
    <x v="1"/>
    <x v="6"/>
    <n v="0.2049086243215581"/>
  </r>
  <r>
    <x v="1"/>
    <x v="7"/>
    <n v="0.17595290909784178"/>
  </r>
  <r>
    <x v="1"/>
    <x v="8"/>
    <n v="0.14985369687444061"/>
  </r>
  <r>
    <x v="1"/>
    <x v="9"/>
    <n v="0.12530127725294626"/>
  </r>
  <r>
    <x v="2"/>
    <x v="0"/>
    <s v="-"/>
  </r>
  <r>
    <x v="2"/>
    <x v="1"/>
    <n v="0.15214513853287071"/>
  </r>
  <r>
    <x v="2"/>
    <x v="2"/>
    <n v="0.1844228666890797"/>
  </r>
  <r>
    <x v="2"/>
    <x v="3"/>
    <n v="0.1184476057808348"/>
  </r>
  <r>
    <x v="2"/>
    <x v="4"/>
    <n v="7.102361818530345E-2"/>
  </r>
  <r>
    <x v="2"/>
    <x v="5"/>
    <n v="6.0986600130079616E-2"/>
  </r>
  <r>
    <x v="2"/>
    <x v="6"/>
    <n v="0.22359396596198522"/>
  </r>
  <r>
    <x v="2"/>
    <x v="7"/>
    <n v="0.18804398566303604"/>
  </r>
  <r>
    <x v="2"/>
    <x v="8"/>
    <n v="0.14896907652133029"/>
  </r>
  <r>
    <x v="2"/>
    <x v="9"/>
    <n v="0.1225036496152927"/>
  </r>
  <r>
    <x v="3"/>
    <x v="0"/>
    <s v="-"/>
  </r>
  <r>
    <x v="3"/>
    <x v="1"/>
    <n v="0.22678152375121918"/>
  </r>
  <r>
    <x v="3"/>
    <x v="2"/>
    <n v="0.23325784740753885"/>
  </r>
  <r>
    <x v="3"/>
    <x v="3"/>
    <n v="0.13601207985756947"/>
  </r>
  <r>
    <x v="3"/>
    <x v="4"/>
    <n v="8.3223697786953155E-2"/>
  </r>
  <r>
    <x v="3"/>
    <x v="5"/>
    <n v="3.9567632418423981E-2"/>
  </r>
  <r>
    <x v="3"/>
    <x v="6"/>
    <n v="0.24977020055881316"/>
  </r>
  <r>
    <x v="3"/>
    <x v="7"/>
    <n v="0.205204361803907"/>
  </r>
  <r>
    <x v="3"/>
    <x v="8"/>
    <n v="0.16063087013166921"/>
  </r>
  <r>
    <x v="3"/>
    <x v="9"/>
    <n v="0.13278895219690412"/>
  </r>
  <r>
    <x v="4"/>
    <x v="0"/>
    <n v="0.37187750156167038"/>
  </r>
  <r>
    <x v="4"/>
    <x v="1"/>
    <n v="0.3739445354205701"/>
  </r>
  <r>
    <x v="4"/>
    <x v="2"/>
    <n v="0.35176361407290258"/>
  </r>
  <r>
    <x v="4"/>
    <x v="3"/>
    <n v="0.34205579812488507"/>
  </r>
  <r>
    <x v="4"/>
    <x v="4"/>
    <n v="0.88913904172831904"/>
  </r>
  <r>
    <x v="4"/>
    <x v="5"/>
    <n v="0.41575609818166948"/>
  </r>
  <r>
    <x v="4"/>
    <x v="6"/>
    <n v="0.41575609818166948"/>
  </r>
  <r>
    <x v="4"/>
    <x v="7"/>
    <n v="0.41575609818166948"/>
  </r>
  <r>
    <x v="4"/>
    <x v="8"/>
    <n v="0.41575609818166953"/>
  </r>
  <r>
    <x v="4"/>
    <x v="9"/>
    <n v="0.41575609818166948"/>
  </r>
  <r>
    <x v="5"/>
    <x v="0"/>
    <n v="0.1296147682408107"/>
  </r>
  <r>
    <x v="5"/>
    <x v="1"/>
    <n v="0.12787059979158191"/>
  </r>
  <r>
    <x v="5"/>
    <x v="2"/>
    <n v="0.123164088541558"/>
  </r>
  <r>
    <x v="5"/>
    <x v="3"/>
    <n v="0.11942748857872185"/>
  </r>
  <r>
    <x v="5"/>
    <x v="4"/>
    <n v="0.11380450030970207"/>
  </r>
  <r>
    <x v="5"/>
    <x v="5"/>
    <n v="0.10636738426188141"/>
  </r>
  <r>
    <x v="5"/>
    <x v="6"/>
    <n v="0.1112679425959557"/>
  </r>
  <r>
    <x v="5"/>
    <x v="7"/>
    <n v="0.11459201447295651"/>
  </r>
  <r>
    <x v="5"/>
    <x v="8"/>
    <n v="0.11641569008423024"/>
  </r>
  <r>
    <x v="5"/>
    <x v="9"/>
    <n v="0.11677476964156314"/>
  </r>
  <r>
    <x v="6"/>
    <x v="0"/>
    <n v="0.11104948468813608"/>
  </r>
  <r>
    <x v="6"/>
    <x v="1"/>
    <n v="0.10906857883134824"/>
  </r>
  <r>
    <x v="6"/>
    <x v="2"/>
    <n v="0.10681786119416911"/>
  </r>
  <r>
    <x v="6"/>
    <x v="3"/>
    <n v="0.10356821213266702"/>
  </r>
  <r>
    <x v="6"/>
    <x v="4"/>
    <n v="9.883802028727405E-2"/>
  </r>
  <r>
    <x v="6"/>
    <x v="5"/>
    <n v="9.1041918806964536E-2"/>
  </r>
  <r>
    <x v="6"/>
    <x v="6"/>
    <n v="9.6713298254696711E-2"/>
  </r>
  <r>
    <x v="6"/>
    <x v="7"/>
    <n v="0.10062666517062277"/>
  </r>
  <r>
    <x v="6"/>
    <x v="8"/>
    <n v="0.10214944167009944"/>
  </r>
  <r>
    <x v="6"/>
    <x v="9"/>
    <n v="0.10220977904664087"/>
  </r>
  <r>
    <x v="7"/>
    <x v="0"/>
    <n v="9.1364786236467932E-2"/>
  </r>
  <r>
    <x v="7"/>
    <x v="1"/>
    <n v="9.1850764699626344E-2"/>
  </r>
  <r>
    <x v="7"/>
    <x v="2"/>
    <n v="9.1077482075584179E-2"/>
  </r>
  <r>
    <x v="7"/>
    <x v="3"/>
    <n v="9.0736766866157975E-2"/>
  </r>
  <r>
    <x v="7"/>
    <x v="4"/>
    <n v="8.9069578196090488E-2"/>
  </r>
  <r>
    <x v="7"/>
    <x v="5"/>
    <n v="8.1223098980142114E-2"/>
  </r>
  <r>
    <x v="7"/>
    <x v="6"/>
    <n v="8.8128663942866392E-2"/>
  </r>
  <r>
    <x v="7"/>
    <x v="7"/>
    <n v="9.3019124264728636E-2"/>
  </r>
  <r>
    <x v="7"/>
    <x v="8"/>
    <n v="9.5385188212771199E-2"/>
  </r>
  <r>
    <x v="7"/>
    <x v="9"/>
    <n v="9.6316043971629961E-2"/>
  </r>
  <r>
    <x v="8"/>
    <x v="0"/>
    <n v="6.480987170906978E-2"/>
  </r>
  <r>
    <x v="8"/>
    <x v="1"/>
    <n v="6.7777306120415437E-2"/>
  </r>
  <r>
    <x v="8"/>
    <x v="2"/>
    <n v="6.911552817243094E-2"/>
  </r>
  <r>
    <x v="8"/>
    <x v="3"/>
    <n v="6.8065264710394979E-2"/>
  </r>
  <r>
    <x v="8"/>
    <x v="4"/>
    <n v="6.569649518110024E-2"/>
  </r>
  <r>
    <x v="8"/>
    <x v="5"/>
    <n v="5.9292862255503738E-2"/>
  </r>
  <r>
    <x v="8"/>
    <x v="6"/>
    <n v="6.4333924678292465E-2"/>
  </r>
  <r>
    <x v="8"/>
    <x v="7"/>
    <n v="6.7903960713251901E-2"/>
  </r>
  <r>
    <x v="8"/>
    <x v="8"/>
    <n v="6.9631187395322966E-2"/>
  </r>
  <r>
    <x v="8"/>
    <x v="9"/>
    <n v="7.0310712099289865E-2"/>
  </r>
  <r>
    <x v="9"/>
    <x v="0"/>
    <n v="6.1073654314944596E-2"/>
  </r>
  <r>
    <x v="9"/>
    <x v="1"/>
    <n v="7.3219703303167585E-2"/>
  </r>
  <r>
    <x v="9"/>
    <x v="2"/>
    <n v="8.8826341038011236E-2"/>
  </r>
  <r>
    <x v="9"/>
    <x v="3"/>
    <n v="9.4881108872692757E-2"/>
  </r>
  <r>
    <x v="9"/>
    <x v="4"/>
    <n v="9.2051321275705866E-2"/>
  </r>
  <r>
    <x v="9"/>
    <x v="5"/>
    <n v="8.8348952896149829E-2"/>
  </r>
  <r>
    <x v="9"/>
    <x v="6"/>
    <n v="9.7572862841249358E-2"/>
  </r>
  <r>
    <x v="9"/>
    <x v="7"/>
    <n v="0.10338353869816241"/>
  </r>
  <r>
    <x v="9"/>
    <x v="8"/>
    <n v="0.10567172624586431"/>
  </r>
  <r>
    <x v="9"/>
    <x v="9"/>
    <n v="0.10595664197177874"/>
  </r>
  <r>
    <x v="10"/>
    <x v="0"/>
    <n v="0.1533367454355683"/>
  </r>
  <r>
    <x v="10"/>
    <x v="1"/>
    <n v="0.17650261191604105"/>
  </r>
  <r>
    <x v="10"/>
    <x v="2"/>
    <n v="0.24170563729158143"/>
  </r>
  <r>
    <x v="10"/>
    <x v="3"/>
    <n v="0.24601409483497239"/>
  </r>
  <r>
    <x v="10"/>
    <x v="4"/>
    <n v="0.2570596340676396"/>
  </r>
  <r>
    <x v="10"/>
    <x v="5"/>
    <n v="0.22020808831655525"/>
  </r>
  <r>
    <x v="10"/>
    <x v="6"/>
    <n v="0.22559755762239633"/>
  </r>
  <r>
    <x v="10"/>
    <x v="7"/>
    <n v="0.22336291213143883"/>
  </r>
  <r>
    <x v="10"/>
    <x v="8"/>
    <n v="0.2147545865579594"/>
  </r>
  <r>
    <x v="10"/>
    <x v="9"/>
    <n v="0.20367809206190007"/>
  </r>
  <r>
    <x v="11"/>
    <x v="0"/>
    <n v="0.22019003911717999"/>
  </r>
  <r>
    <x v="11"/>
    <x v="1"/>
    <n v="0.25106884926617778"/>
  </r>
  <r>
    <x v="11"/>
    <x v="2"/>
    <n v="0.31517811135918838"/>
  </r>
  <r>
    <x v="11"/>
    <x v="3"/>
    <n v="0.33151699936833162"/>
  </r>
  <r>
    <x v="11"/>
    <x v="4"/>
    <n v="0.34184576788321014"/>
  </r>
  <r>
    <x v="11"/>
    <x v="5"/>
    <n v="0.30344812664268589"/>
  </r>
  <r>
    <x v="11"/>
    <x v="6"/>
    <n v="0.3114693486854313"/>
  </r>
  <r>
    <x v="11"/>
    <x v="7"/>
    <n v="0.30811734479688058"/>
  </r>
  <r>
    <x v="11"/>
    <x v="8"/>
    <n v="0.29667931516911034"/>
  </r>
  <r>
    <x v="11"/>
    <x v="9"/>
    <n v="0.28163053041890668"/>
  </r>
  <r>
    <x v="12"/>
    <x v="0"/>
    <n v="0.19322943556528027"/>
  </r>
  <r>
    <x v="12"/>
    <x v="1"/>
    <n v="0.13128923728416655"/>
  </r>
  <r>
    <x v="12"/>
    <x v="2"/>
    <n v="0.18522001662939849"/>
  </r>
  <r>
    <x v="12"/>
    <x v="3"/>
    <n v="0.12915907234688406"/>
  </r>
  <r>
    <x v="12"/>
    <x v="4"/>
    <n v="0.13132012842650695"/>
  </r>
  <r>
    <x v="12"/>
    <x v="5"/>
    <n v="0.11426321322013659"/>
  </r>
  <r>
    <x v="12"/>
    <x v="6"/>
    <n v="8.884290872898587E-2"/>
  </r>
  <r>
    <x v="12"/>
    <x v="7"/>
    <n v="7.4268620234480304E-2"/>
  </r>
  <r>
    <x v="12"/>
    <x v="8"/>
    <n v="6.1909182339868758E-2"/>
  </r>
  <r>
    <x v="12"/>
    <x v="9"/>
    <n v="5.1321480561634672E-2"/>
  </r>
  <r>
    <x v="13"/>
    <x v="0"/>
    <n v="5.6414115238186664"/>
  </r>
  <r>
    <x v="13"/>
    <x v="1"/>
    <n v="6.3346356277828324"/>
  </r>
  <r>
    <x v="13"/>
    <x v="2"/>
    <n v="6.7862317920949842"/>
  </r>
  <r>
    <x v="13"/>
    <x v="3"/>
    <n v="8.0714377828495323"/>
  </r>
  <r>
    <x v="13"/>
    <x v="4"/>
    <n v="10.118094509305598"/>
  </r>
  <r>
    <x v="13"/>
    <x v="5"/>
    <n v="9.2721854981249461"/>
  </r>
  <r>
    <x v="13"/>
    <x v="6"/>
    <n v="11.265861158630614"/>
  </r>
  <r>
    <x v="13"/>
    <x v="7"/>
    <n v="13.227226302872683"/>
  </r>
  <r>
    <x v="13"/>
    <x v="8"/>
    <n v="15.101362229328201"/>
  </r>
  <r>
    <x v="13"/>
    <x v="9"/>
    <n v="17.34210610857011"/>
  </r>
  <r>
    <x v="14"/>
    <x v="0"/>
    <n v="1.3934152267485602"/>
  </r>
  <r>
    <x v="14"/>
    <x v="1"/>
    <n v="1.3730570959285424"/>
  </r>
  <r>
    <x v="14"/>
    <x v="2"/>
    <n v="1.2717841656971212"/>
  </r>
  <r>
    <x v="14"/>
    <x v="3"/>
    <n v="1.2734007972024723"/>
  </r>
  <r>
    <x v="14"/>
    <x v="4"/>
    <n v="1.3066202907683195"/>
  </r>
  <r>
    <x v="14"/>
    <x v="5"/>
    <n v="1.4208265150132506"/>
  </r>
  <r>
    <x v="14"/>
    <x v="6"/>
    <n v="1.515769968106514"/>
  </r>
  <r>
    <x v="14"/>
    <x v="7"/>
    <n v="1.6147584888257851"/>
  </r>
  <r>
    <x v="14"/>
    <x v="8"/>
    <n v="1.6930475805286447"/>
  </r>
  <r>
    <x v="14"/>
    <x v="9"/>
    <n v="1.7329266175425355"/>
  </r>
  <r>
    <x v="15"/>
    <x v="0"/>
    <n v="1.3576427002352929"/>
  </r>
  <r>
    <x v="15"/>
    <x v="1"/>
    <n v="1.3352573020074059"/>
  </r>
  <r>
    <x v="15"/>
    <x v="2"/>
    <n v="1.2358658145889321"/>
  </r>
  <r>
    <x v="15"/>
    <x v="3"/>
    <n v="1.2407545510448372"/>
  </r>
  <r>
    <x v="15"/>
    <x v="4"/>
    <n v="1.2764621207707683"/>
  </r>
  <r>
    <x v="15"/>
    <x v="5"/>
    <n v="1.3790992239259396"/>
  </r>
  <r>
    <x v="15"/>
    <x v="6"/>
    <n v="1.4714192554334287"/>
  </r>
  <r>
    <x v="15"/>
    <x v="7"/>
    <n v="1.5679466361036765"/>
  </r>
  <r>
    <x v="15"/>
    <x v="8"/>
    <n v="1.6439499128732833"/>
  </r>
  <r>
    <x v="15"/>
    <x v="9"/>
    <n v="1.6815791940572269"/>
  </r>
  <r>
    <x v="16"/>
    <x v="0"/>
    <n v="7.4211453841083477E-2"/>
  </r>
  <r>
    <x v="16"/>
    <x v="1"/>
    <n v="5.0380174269600814E-2"/>
  </r>
  <r>
    <x v="16"/>
    <x v="2"/>
    <n v="4.8651775198784407E-2"/>
  </r>
  <r>
    <x v="16"/>
    <x v="3"/>
    <n v="4.175054505342763E-2"/>
  </r>
  <r>
    <x v="16"/>
    <x v="4"/>
    <n v="6.1643949225647074E-2"/>
  </r>
  <r>
    <x v="16"/>
    <x v="5"/>
    <n v="6.1223702197267346E-2"/>
  </r>
  <r>
    <x v="16"/>
    <x v="6"/>
    <n v="0.10570985473248816"/>
  </r>
  <r>
    <x v="16"/>
    <x v="7"/>
    <n v="0.1761792213074144"/>
  </r>
  <r>
    <x v="16"/>
    <x v="8"/>
    <n v="0.25698586439164267"/>
  </r>
  <r>
    <x v="16"/>
    <x v="9"/>
    <n v="0.31886878006998431"/>
  </r>
  <r>
    <x v="17"/>
    <x v="0"/>
    <s v="-"/>
  </r>
  <r>
    <x v="17"/>
    <x v="1"/>
    <n v="5.36028942762964"/>
  </r>
  <r>
    <x v="17"/>
    <x v="2"/>
    <n v="6.4258357052993453"/>
  </r>
  <r>
    <x v="17"/>
    <x v="3"/>
    <n v="6.9027307514384368"/>
  </r>
  <r>
    <x v="17"/>
    <x v="4"/>
    <n v="6.9718710674382924"/>
  </r>
  <r>
    <x v="17"/>
    <x v="5"/>
    <n v="6.4573419697393062"/>
  </r>
  <r>
    <x v="17"/>
    <x v="6"/>
    <n v="6.1252013270279368"/>
  </r>
  <r>
    <x v="17"/>
    <x v="7"/>
    <n v="6.1003733917284411"/>
  </r>
  <r>
    <x v="17"/>
    <x v="8"/>
    <n v="6.0753125315976835"/>
  </r>
  <r>
    <x v="17"/>
    <x v="9"/>
    <n v="6.0500154533894097"/>
  </r>
  <r>
    <x v="18"/>
    <x v="0"/>
    <s v="-"/>
  </r>
  <r>
    <x v="18"/>
    <x v="1"/>
    <n v="2.6757143376678747"/>
  </r>
  <r>
    <x v="18"/>
    <x v="2"/>
    <n v="3.5346642187089641"/>
  </r>
  <r>
    <x v="18"/>
    <x v="3"/>
    <n v="4.293518822656095"/>
  </r>
  <r>
    <x v="18"/>
    <x v="4"/>
    <n v="0.73532469452388949"/>
  </r>
  <r>
    <x v="18"/>
    <x v="5"/>
    <n v="3.446051956213835"/>
  </r>
  <r>
    <x v="18"/>
    <x v="6"/>
    <n v="3.2442643027261897"/>
  </r>
  <r>
    <x v="18"/>
    <x v="7"/>
    <n v="3.2311139783691569"/>
  </r>
  <r>
    <x v="18"/>
    <x v="8"/>
    <n v="3.2178402834198869"/>
  </r>
  <r>
    <x v="18"/>
    <x v="9"/>
    <n v="3.2044414735828561"/>
  </r>
  <r>
    <x v="19"/>
    <x v="0"/>
    <s v="-"/>
  </r>
  <r>
    <x v="19"/>
    <x v="1"/>
    <n v="35.547637809076875"/>
  </r>
  <r>
    <x v="19"/>
    <x v="2"/>
    <n v="42.025524028243638"/>
  </r>
  <r>
    <x v="19"/>
    <x v="3"/>
    <n v="49.415989618107041"/>
  </r>
  <r>
    <x v="19"/>
    <x v="4"/>
    <n v="9.1205511101331656"/>
  </r>
  <r>
    <x v="19"/>
    <x v="5"/>
    <n v="44.438433579805093"/>
  </r>
  <r>
    <x v="19"/>
    <x v="6"/>
    <n v="40.861854456992724"/>
  </r>
  <r>
    <x v="19"/>
    <x v="7"/>
    <n v="40.696224721003645"/>
  </r>
  <r>
    <x v="19"/>
    <x v="8"/>
    <n v="40.529041119264477"/>
  </r>
  <r>
    <x v="19"/>
    <x v="9"/>
    <n v="40.360281682187292"/>
  </r>
  <r>
    <x v="20"/>
    <x v="0"/>
    <s v="-"/>
  </r>
  <r>
    <x v="20"/>
    <x v="1"/>
    <n v="21.506429014706519"/>
  </r>
  <r>
    <x v="20"/>
    <x v="2"/>
    <n v="24.129187604802254"/>
  </r>
  <r>
    <x v="20"/>
    <x v="3"/>
    <n v="26.795430348544709"/>
  </r>
  <r>
    <x v="20"/>
    <x v="4"/>
    <n v="26.668395575736319"/>
  </r>
  <r>
    <x v="20"/>
    <x v="5"/>
    <n v="26.28821462552671"/>
  </r>
  <r>
    <x v="20"/>
    <x v="6"/>
    <n v="27.385389311183705"/>
  </r>
  <r>
    <x v="20"/>
    <x v="7"/>
    <n v="28.103841624800385"/>
  </r>
  <r>
    <x v="20"/>
    <x v="8"/>
    <n v="28.117102522587651"/>
  </r>
  <r>
    <x v="20"/>
    <x v="9"/>
    <n v="27.903581245713262"/>
  </r>
  <r>
    <x v="21"/>
    <x v="0"/>
    <n v="1.9828100934961286"/>
  </r>
  <r>
    <x v="21"/>
    <x v="1"/>
    <n v="2.301935644127199"/>
  </r>
  <r>
    <x v="21"/>
    <x v="2"/>
    <n v="2.9506124522215491"/>
  </r>
  <r>
    <x v="21"/>
    <x v="3"/>
    <n v="3.2009531934728259"/>
  </r>
  <r>
    <x v="21"/>
    <x v="4"/>
    <n v="3.458646448903274"/>
  </r>
  <r>
    <x v="21"/>
    <x v="5"/>
    <n v="3.3330594370059856"/>
  </r>
  <r>
    <x v="21"/>
    <x v="6"/>
    <n v="3.2205431342561552"/>
  </r>
  <r>
    <x v="21"/>
    <x v="7"/>
    <n v="3.0619850541050546"/>
  </r>
  <r>
    <x v="21"/>
    <x v="8"/>
    <n v="2.9043655091846916"/>
  </r>
  <r>
    <x v="21"/>
    <x v="9"/>
    <n v="2.7554166836657732"/>
  </r>
  <r>
    <x v="22"/>
    <x v="1"/>
    <n v="68.093338042271668"/>
  </r>
  <r>
    <x v="22"/>
    <x v="2"/>
    <n v="56.801950242672227"/>
  </r>
  <r>
    <x v="22"/>
    <x v="3"/>
    <n v="52.87762381923109"/>
  </r>
  <r>
    <x v="22"/>
    <x v="4"/>
    <n v="52.353234371288174"/>
  </r>
  <r>
    <x v="22"/>
    <x v="5"/>
    <n v="56.524805672439193"/>
  </r>
  <r>
    <x v="22"/>
    <x v="6"/>
    <n v="59.589878032156847"/>
  </r>
  <r>
    <x v="22"/>
    <x v="7"/>
    <n v="59.83240312714419"/>
  </r>
  <r>
    <x v="22"/>
    <x v="8"/>
    <n v="60.079213719728166"/>
  </r>
  <r>
    <x v="22"/>
    <x v="9"/>
    <n v="60.330424411646"/>
  </r>
  <r>
    <x v="23"/>
    <x v="1"/>
    <n v="136.41217033584022"/>
  </r>
  <r>
    <x v="23"/>
    <x v="2"/>
    <n v="103.26299116845567"/>
  </r>
  <r>
    <x v="23"/>
    <x v="3"/>
    <n v="85.011855095164208"/>
  </r>
  <r>
    <x v="23"/>
    <x v="4"/>
    <n v="496.37935828652053"/>
  </r>
  <r>
    <x v="23"/>
    <x v="5"/>
    <n v="105.9183101815517"/>
  </r>
  <r>
    <x v="23"/>
    <x v="6"/>
    <n v="112.50624669922442"/>
  </r>
  <r>
    <x v="23"/>
    <x v="7"/>
    <n v="112.96413634539341"/>
  </r>
  <r>
    <x v="23"/>
    <x v="8"/>
    <n v="113.43011705108056"/>
  </r>
  <r>
    <x v="23"/>
    <x v="9"/>
    <n v="113.90440518543686"/>
  </r>
  <r>
    <x v="24"/>
    <x v="1"/>
    <n v="10.26791152650935"/>
  </r>
  <r>
    <x v="24"/>
    <x v="2"/>
    <n v="8.6851980656968948"/>
  </r>
  <r>
    <x v="24"/>
    <x v="3"/>
    <n v="7.3862732047008617"/>
  </r>
  <r>
    <x v="24"/>
    <x v="4"/>
    <n v="40.019511495799378"/>
  </r>
  <r>
    <x v="24"/>
    <x v="5"/>
    <n v="8.2136108453173087"/>
  </r>
  <r>
    <x v="24"/>
    <x v="6"/>
    <n v="8.9325363435025711"/>
  </r>
  <r>
    <x v="24"/>
    <x v="7"/>
    <n v="8.9688909106996508"/>
  </r>
  <r>
    <x v="24"/>
    <x v="8"/>
    <n v="9.0058878749664348"/>
  </r>
  <r>
    <x v="24"/>
    <x v="9"/>
    <n v="9.0435444151295403"/>
  </r>
  <r>
    <x v="25"/>
    <x v="1"/>
    <n v="-58.050920767059196"/>
  </r>
  <r>
    <x v="25"/>
    <x v="2"/>
    <n v="-37.775842860086556"/>
  </r>
  <r>
    <x v="25"/>
    <x v="3"/>
    <n v="-24.747958071232254"/>
  </r>
  <r>
    <x v="25"/>
    <x v="4"/>
    <n v="-404.00661241943294"/>
  </r>
  <r>
    <x v="25"/>
    <x v="5"/>
    <n v="-41.179893663795198"/>
  </r>
  <r>
    <x v="25"/>
    <x v="6"/>
    <n v="-43.983832323564997"/>
  </r>
  <r>
    <x v="25"/>
    <x v="7"/>
    <n v="-44.162842307549568"/>
  </r>
  <r>
    <x v="25"/>
    <x v="8"/>
    <n v="-44.345015456385951"/>
  </r>
  <r>
    <x v="25"/>
    <x v="9"/>
    <n v="-44.53043635866131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x v="0"/>
    <x v="0"/>
    <n v="158788.31"/>
  </r>
  <r>
    <x v="0"/>
    <x v="1"/>
    <n v="186269.87"/>
  </r>
  <r>
    <x v="0"/>
    <x v="2"/>
    <n v="225270.94"/>
  </r>
  <r>
    <x v="0"/>
    <x v="3"/>
    <n v="259859.27"/>
  </r>
  <r>
    <x v="0"/>
    <x v="4"/>
    <n v="291635.03999999998"/>
  </r>
  <r>
    <x v="0"/>
    <x v="5"/>
    <n v="335917.19709413638"/>
  </r>
  <r>
    <x v="0"/>
    <x v="6"/>
    <n v="386923.20135324233"/>
  </r>
  <r>
    <x v="0"/>
    <x v="7"/>
    <n v="441804.77646388282"/>
  </r>
  <r>
    <x v="0"/>
    <x v="8"/>
    <n v="500052.76149060926"/>
  </r>
  <r>
    <x v="0"/>
    <x v="9"/>
    <n v="560979.69169317046"/>
  </r>
  <r>
    <x v="1"/>
    <x v="0"/>
    <n v="99738.51"/>
  </r>
  <r>
    <x v="1"/>
    <x v="1"/>
    <n v="116615.27"/>
  </r>
  <r>
    <x v="1"/>
    <x v="2"/>
    <n v="146028.82"/>
  </r>
  <r>
    <x v="1"/>
    <x v="3"/>
    <n v="170972.9"/>
  </r>
  <r>
    <x v="1"/>
    <x v="4"/>
    <n v="32330.940000000006"/>
  </r>
  <r>
    <x v="1"/>
    <x v="5"/>
    <n v="196257.57391815539"/>
  </r>
  <r>
    <x v="1"/>
    <x v="6"/>
    <n v="226057.52086265784"/>
  </r>
  <r>
    <x v="1"/>
    <x v="7"/>
    <n v="258121.74644323421"/>
  </r>
  <r>
    <x v="1"/>
    <x v="8"/>
    <n v="292152.77648830455"/>
  </r>
  <r>
    <x v="1"/>
    <x v="9"/>
    <n v="327748.96391566203"/>
  </r>
  <r>
    <x v="2"/>
    <x v="0"/>
    <n v="59049.8"/>
  </r>
  <r>
    <x v="2"/>
    <x v="1"/>
    <n v="69654.599999999991"/>
  </r>
  <r>
    <x v="2"/>
    <x v="2"/>
    <n v="79242.12"/>
  </r>
  <r>
    <x v="2"/>
    <x v="3"/>
    <n v="88886.37"/>
  </r>
  <r>
    <x v="2"/>
    <x v="4"/>
    <n v="259304.09999999998"/>
  </r>
  <r>
    <x v="2"/>
    <x v="5"/>
    <n v="139659.62317598099"/>
  </r>
  <r>
    <x v="2"/>
    <x v="6"/>
    <n v="160865.68049058449"/>
  </r>
  <r>
    <x v="2"/>
    <x v="7"/>
    <n v="183683.03002064861"/>
  </r>
  <r>
    <x v="2"/>
    <x v="8"/>
    <n v="207899.98500230472"/>
  </r>
  <r>
    <x v="2"/>
    <x v="9"/>
    <n v="233230.72777750844"/>
  </r>
  <r>
    <x v="3"/>
    <x v="0"/>
    <n v="29733.53"/>
  </r>
  <r>
    <x v="3"/>
    <x v="1"/>
    <n v="37214.11"/>
  </r>
  <r>
    <x v="3"/>
    <x v="2"/>
    <n v="41171.019999999997"/>
  </r>
  <r>
    <x v="3"/>
    <x v="3"/>
    <n v="46768.68"/>
  </r>
  <r>
    <x v="3"/>
    <x v="4"/>
    <n v="52187.22"/>
  </r>
  <r>
    <x v="3"/>
    <x v="5"/>
    <n v="58417.464130864311"/>
  </r>
  <r>
    <x v="3"/>
    <x v="6"/>
    <n v="65391.490780325497"/>
  </r>
  <r>
    <x v="3"/>
    <x v="7"/>
    <n v="73198.094612501081"/>
  </r>
  <r>
    <x v="3"/>
    <x v="8"/>
    <n v="81936.670826179165"/>
  </r>
  <r>
    <x v="3"/>
    <x v="9"/>
    <n v="91718.480673826984"/>
  </r>
  <r>
    <x v="4"/>
    <x v="0"/>
    <n v="8734.9599999999991"/>
  </r>
  <r>
    <x v="4"/>
    <x v="1"/>
    <n v="8622.0500000000011"/>
  </r>
  <r>
    <x v="4"/>
    <x v="2"/>
    <n v="10325.81"/>
  </r>
  <r>
    <x v="4"/>
    <x v="3"/>
    <n v="11083.349999999999"/>
  </r>
  <r>
    <x v="4"/>
    <x v="4"/>
    <n v="173927.5"/>
  </r>
  <r>
    <x v="4"/>
    <x v="5"/>
    <n v="45511.525461630525"/>
  </r>
  <r>
    <x v="4"/>
    <x v="6"/>
    <n v="52422.041153043028"/>
  </r>
  <r>
    <x v="4"/>
    <x v="7"/>
    <n v="59857.636069376953"/>
  </r>
  <r>
    <x v="4"/>
    <x v="8"/>
    <n v="67749.326868671284"/>
  </r>
  <r>
    <x v="4"/>
    <x v="9"/>
    <n v="76003.972832616346"/>
  </r>
  <r>
    <x v="5"/>
    <x v="0"/>
    <n v="20581.310000000005"/>
  </r>
  <r>
    <x v="5"/>
    <x v="1"/>
    <n v="23818.439999999988"/>
  </r>
  <r>
    <x v="5"/>
    <x v="2"/>
    <n v="27745.29"/>
  </r>
  <r>
    <x v="5"/>
    <x v="3"/>
    <n v="31034.339999999997"/>
  </r>
  <r>
    <x v="5"/>
    <x v="4"/>
    <n v="33189.379999999976"/>
  </r>
  <r>
    <x v="5"/>
    <x v="5"/>
    <n v="35730.63358348616"/>
  </r>
  <r>
    <x v="5"/>
    <x v="6"/>
    <n v="43052.148557215973"/>
  </r>
  <r>
    <x v="5"/>
    <x v="7"/>
    <n v="50627.299338770579"/>
  </r>
  <r>
    <x v="5"/>
    <x v="8"/>
    <n v="58213.98730745427"/>
  </r>
  <r>
    <x v="5"/>
    <x v="9"/>
    <n v="65508.274271065093"/>
  </r>
  <r>
    <x v="6"/>
    <x v="0"/>
    <n v="2947.95"/>
  </r>
  <r>
    <x v="6"/>
    <x v="1"/>
    <n v="3502.25"/>
  </r>
  <r>
    <x v="6"/>
    <x v="2"/>
    <n v="3682.33"/>
  </r>
  <r>
    <x v="6"/>
    <x v="3"/>
    <n v="4121.18"/>
  </r>
  <r>
    <x v="6"/>
    <x v="4"/>
    <n v="4364.75"/>
  </r>
  <r>
    <x v="6"/>
    <x v="5"/>
    <n v="5148.0873997786912"/>
  </r>
  <r>
    <x v="6"/>
    <x v="6"/>
    <n v="5631.5295830777759"/>
  </r>
  <r>
    <x v="6"/>
    <x v="7"/>
    <n v="6169.9580267576011"/>
  </r>
  <r>
    <x v="6"/>
    <x v="8"/>
    <n v="7133.876915597134"/>
  </r>
  <r>
    <x v="6"/>
    <x v="9"/>
    <n v="8170.6639334534175"/>
  </r>
  <r>
    <x v="7"/>
    <x v="0"/>
    <n v="17633.360000000004"/>
  </r>
  <r>
    <x v="7"/>
    <x v="1"/>
    <n v="20316.189999999988"/>
  </r>
  <r>
    <x v="7"/>
    <x v="2"/>
    <n v="24062.959999999999"/>
  </r>
  <r>
    <x v="7"/>
    <x v="3"/>
    <n v="26913.159999999996"/>
  </r>
  <r>
    <x v="7"/>
    <x v="4"/>
    <n v="28824.629999999976"/>
  </r>
  <r>
    <x v="7"/>
    <x v="5"/>
    <n v="30582.546183707469"/>
  </r>
  <r>
    <x v="7"/>
    <x v="6"/>
    <n v="37420.618974138197"/>
  </r>
  <r>
    <x v="7"/>
    <x v="7"/>
    <n v="44457.341312012977"/>
  </r>
  <r>
    <x v="7"/>
    <x v="8"/>
    <n v="51080.110391857139"/>
  </r>
  <r>
    <x v="7"/>
    <x v="9"/>
    <n v="57337.610337611673"/>
  </r>
  <r>
    <x v="8"/>
    <x v="0"/>
    <n v="3125.7"/>
  </r>
  <r>
    <x v="8"/>
    <x v="1"/>
    <n v="3207.16"/>
  </r>
  <r>
    <x v="8"/>
    <x v="2"/>
    <n v="3545.85"/>
  </r>
  <r>
    <x v="8"/>
    <x v="3"/>
    <n v="3334.37"/>
  </r>
  <r>
    <x v="8"/>
    <x v="4"/>
    <n v="2848.82"/>
  </r>
  <r>
    <x v="8"/>
    <x v="5"/>
    <n v="3298.310434998521"/>
  </r>
  <r>
    <x v="8"/>
    <x v="6"/>
    <n v="3321.5941903802709"/>
  </r>
  <r>
    <x v="8"/>
    <x v="7"/>
    <n v="3361.0479093684025"/>
  </r>
  <r>
    <x v="8"/>
    <x v="8"/>
    <n v="3382.4836207593894"/>
  </r>
  <r>
    <x v="8"/>
    <x v="9"/>
    <n v="3306.2656853008534"/>
  </r>
  <r>
    <x v="9"/>
    <x v="0"/>
    <n v="14507.660000000003"/>
  </r>
  <r>
    <x v="9"/>
    <x v="1"/>
    <n v="17109.029999999988"/>
  </r>
  <r>
    <x v="9"/>
    <x v="2"/>
    <n v="20517.11"/>
  </r>
  <r>
    <x v="9"/>
    <x v="3"/>
    <n v="23578.789999999997"/>
  </r>
  <r>
    <x v="9"/>
    <x v="4"/>
    <n v="25975.809999999976"/>
  </r>
  <r>
    <x v="9"/>
    <x v="5"/>
    <n v="27284.235748708947"/>
  </r>
  <r>
    <x v="9"/>
    <x v="6"/>
    <n v="34099.024783757923"/>
  </r>
  <r>
    <x v="9"/>
    <x v="7"/>
    <n v="41096.293402644573"/>
  </r>
  <r>
    <x v="9"/>
    <x v="8"/>
    <n v="47697.626771097748"/>
  </r>
  <r>
    <x v="9"/>
    <x v="9"/>
    <n v="54031.344652310821"/>
  </r>
  <r>
    <x v="10"/>
    <x v="0"/>
    <n v="4216.6099999999997"/>
  </r>
  <r>
    <x v="10"/>
    <x v="1"/>
    <n v="4484.16"/>
  </r>
  <r>
    <x v="10"/>
    <x v="2"/>
    <n v="4947.3900000000003"/>
  </r>
  <r>
    <x v="10"/>
    <x v="3"/>
    <n v="5891.4"/>
  </r>
  <r>
    <x v="10"/>
    <x v="4"/>
    <n v="6816.41"/>
  </r>
  <r>
    <x v="10"/>
    <x v="5"/>
    <n v="7366.7436521514164"/>
  </r>
  <r>
    <x v="10"/>
    <x v="6"/>
    <n v="9206.7366916146402"/>
  </r>
  <r>
    <x v="10"/>
    <x v="7"/>
    <n v="11095.999218714036"/>
  </r>
  <r>
    <x v="10"/>
    <x v="8"/>
    <n v="12878.359228196392"/>
  </r>
  <r>
    <x v="10"/>
    <x v="9"/>
    <n v="14588.463056123923"/>
  </r>
  <r>
    <x v="11"/>
    <x v="0"/>
    <n v="10291.050000000003"/>
  </r>
  <r>
    <x v="11"/>
    <x v="1"/>
    <n v="12624.869999999988"/>
  </r>
  <r>
    <x v="11"/>
    <x v="2"/>
    <n v="15569.720000000001"/>
  </r>
  <r>
    <x v="11"/>
    <x v="3"/>
    <n v="17687.39"/>
  </r>
  <r>
    <x v="11"/>
    <x v="4"/>
    <n v="19159.399999999976"/>
  </r>
  <r>
    <x v="11"/>
    <x v="5"/>
    <n v="19917.492096557529"/>
  </r>
  <r>
    <x v="11"/>
    <x v="6"/>
    <n v="24892.288092143281"/>
  </r>
  <r>
    <x v="11"/>
    <x v="7"/>
    <n v="30000.294183930535"/>
  </r>
  <r>
    <x v="11"/>
    <x v="8"/>
    <n v="34819.267542901354"/>
  </r>
  <r>
    <x v="11"/>
    <x v="9"/>
    <n v="39442.881596186897"/>
  </r>
  <r>
    <x v="12"/>
    <x v="0"/>
    <n v="2528.46"/>
  </r>
  <r>
    <x v="12"/>
    <x v="1"/>
    <n v="3091.42"/>
  </r>
  <r>
    <x v="12"/>
    <x v="2"/>
    <n v="4216.95"/>
  </r>
  <r>
    <x v="12"/>
    <x v="3"/>
    <n v="3849.57"/>
  </r>
  <r>
    <x v="12"/>
    <x v="4"/>
    <n v="3849.57"/>
  </r>
  <r>
    <x v="12"/>
    <x v="5"/>
    <n v="4001.8883707289933"/>
  </r>
  <r>
    <x v="12"/>
    <x v="6"/>
    <n v="5001.4408316999561"/>
  </r>
  <r>
    <x v="12"/>
    <x v="7"/>
    <n v="6027.7583056689473"/>
  </r>
  <r>
    <x v="12"/>
    <x v="8"/>
    <n v="6996.0023672519465"/>
  </r>
  <r>
    <x v="12"/>
    <x v="9"/>
    <n v="7924.9941911663936"/>
  </r>
  <r>
    <x v="13"/>
    <x v="0"/>
    <n v="7762.5900000000029"/>
  </r>
  <r>
    <x v="13"/>
    <x v="1"/>
    <n v="9533.449999999988"/>
  </r>
  <r>
    <x v="13"/>
    <x v="2"/>
    <n v="11352.77"/>
  </r>
  <r>
    <x v="13"/>
    <x v="3"/>
    <n v="13837.82"/>
  </r>
  <r>
    <x v="13"/>
    <x v="4"/>
    <n v="15309.829999999976"/>
  </r>
  <r>
    <x v="13"/>
    <x v="5"/>
    <n v="15915.603725828536"/>
  </r>
  <r>
    <x v="13"/>
    <x v="6"/>
    <n v="19890.847260443326"/>
  </r>
  <r>
    <x v="13"/>
    <x v="7"/>
    <n v="23972.535878261588"/>
  </r>
  <r>
    <x v="13"/>
    <x v="8"/>
    <n v="27823.265175649409"/>
  </r>
  <r>
    <x v="13"/>
    <x v="9"/>
    <n v="31517.8874050205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ABFC07-F8B3-4F22-B993-091EEADE056F}"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4:N7" firstHeaderRow="1" firstDataRow="2" firstDataCol="1"/>
  <pivotFields count="3">
    <pivotField axis="axisRow" showAll="0">
      <items count="15">
        <item h="1" x="1"/>
        <item h="1" x="6"/>
        <item h="1" x="12"/>
        <item x="11"/>
        <item h="1" x="7"/>
        <item h="1" x="5"/>
        <item h="1" x="9"/>
        <item h="1" x="3"/>
        <item h="1" x="2"/>
        <item h="1" x="8"/>
        <item h="1" x="4"/>
        <item h="1" x="10"/>
        <item h="1" x="0"/>
        <item h="1" x="13"/>
        <item t="default"/>
      </items>
    </pivotField>
    <pivotField axis="axisCol" showAll="0">
      <items count="11">
        <item h="1" x="0"/>
        <item h="1" x="1"/>
        <item h="1" x="2"/>
        <item h="1" x="3"/>
        <item h="1" x="4"/>
        <item x="5"/>
        <item h="1" x="6"/>
        <item h="1" x="7"/>
        <item h="1" x="8"/>
        <item h="1" x="9"/>
        <item t="default"/>
      </items>
    </pivotField>
    <pivotField dataField="1" numFmtId="1" showAll="0"/>
  </pivotFields>
  <rowFields count="1">
    <field x="0"/>
  </rowFields>
  <rowItems count="2">
    <i>
      <x v="3"/>
    </i>
    <i t="grand">
      <x/>
    </i>
  </rowItems>
  <colFields count="1">
    <field x="1"/>
  </colFields>
  <colItems count="2">
    <i>
      <x v="5"/>
    </i>
    <i t="grand">
      <x/>
    </i>
  </colItems>
  <dataFields count="1">
    <dataField name="Sum of Amount" fld="2" baseField="0" baseItem="0" numFmtId="1"/>
  </dataFields>
  <chartFormats count="10">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54B6C1-9194-4D67-A486-3C59166E3BC6}"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G11" firstHeaderRow="1" firstDataRow="2" firstDataCol="1"/>
  <pivotFields count="3">
    <pivotField axis="axisRow" showAll="0">
      <items count="15">
        <item x="1"/>
        <item x="6"/>
        <item h="1" x="12"/>
        <item x="11"/>
        <item h="1" x="7"/>
        <item x="5"/>
        <item h="1" x="9"/>
        <item h="1" x="3"/>
        <item x="2"/>
        <item x="8"/>
        <item h="1" x="4"/>
        <item x="10"/>
        <item x="0"/>
        <item h="1" x="13"/>
        <item t="default"/>
      </items>
    </pivotField>
    <pivotField axis="axisCol" showAll="0">
      <items count="11">
        <item h="1" x="0"/>
        <item h="1" x="1"/>
        <item h="1" x="2"/>
        <item h="1" x="3"/>
        <item h="1" x="4"/>
        <item x="5"/>
        <item h="1" x="6"/>
        <item h="1" x="7"/>
        <item h="1" x="8"/>
        <item h="1" x="9"/>
        <item t="default"/>
      </items>
    </pivotField>
    <pivotField dataField="1" numFmtId="1" showAll="0"/>
  </pivotFields>
  <rowFields count="1">
    <field x="0"/>
  </rowFields>
  <rowItems count="9">
    <i>
      <x/>
    </i>
    <i>
      <x v="1"/>
    </i>
    <i>
      <x v="3"/>
    </i>
    <i>
      <x v="5"/>
    </i>
    <i>
      <x v="8"/>
    </i>
    <i>
      <x v="9"/>
    </i>
    <i>
      <x v="11"/>
    </i>
    <i>
      <x v="12"/>
    </i>
    <i t="grand">
      <x/>
    </i>
  </rowItems>
  <colFields count="1">
    <field x="1"/>
  </colFields>
  <colItems count="2">
    <i>
      <x v="5"/>
    </i>
    <i t="grand">
      <x/>
    </i>
  </colItems>
  <dataFields count="1">
    <dataField name="Sum of Amount" fld="2"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362818A-96F7-4C2B-99A5-39CB0E0D2608}"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28:P31" firstHeaderRow="1" firstDataRow="2" firstDataCol="1"/>
  <pivotFields count="3">
    <pivotField axis="axisRow" showAll="0">
      <items count="15">
        <item h="1" x="1"/>
        <item h="1" x="6"/>
        <item h="1" x="12"/>
        <item x="11"/>
        <item h="1" x="7"/>
        <item h="1" x="5"/>
        <item h="1" x="9"/>
        <item h="1" x="3"/>
        <item h="1" x="2"/>
        <item h="1" x="8"/>
        <item h="1" x="4"/>
        <item h="1" x="10"/>
        <item h="1" x="0"/>
        <item h="1" x="13"/>
        <item t="default"/>
      </items>
    </pivotField>
    <pivotField axis="axisCol" showAll="0">
      <items count="11">
        <item x="0"/>
        <item x="1"/>
        <item x="2"/>
        <item x="3"/>
        <item x="4"/>
        <item x="5"/>
        <item x="6"/>
        <item x="7"/>
        <item x="8"/>
        <item x="9"/>
        <item t="default"/>
      </items>
    </pivotField>
    <pivotField dataField="1" numFmtId="1" showAll="0"/>
  </pivotFields>
  <rowFields count="1">
    <field x="0"/>
  </rowFields>
  <rowItems count="2">
    <i>
      <x v="3"/>
    </i>
    <i t="grand">
      <x/>
    </i>
  </rowItems>
  <colFields count="1">
    <field x="1"/>
  </colFields>
  <colItems count="11">
    <i>
      <x/>
    </i>
    <i>
      <x v="1"/>
    </i>
    <i>
      <x v="2"/>
    </i>
    <i>
      <x v="3"/>
    </i>
    <i>
      <x v="4"/>
    </i>
    <i>
      <x v="5"/>
    </i>
    <i>
      <x v="6"/>
    </i>
    <i>
      <x v="7"/>
    </i>
    <i>
      <x v="8"/>
    </i>
    <i>
      <x v="9"/>
    </i>
    <i t="grand">
      <x/>
    </i>
  </colItems>
  <dataFields count="1">
    <dataField name="Sum of Amount" fld="2" baseField="0" baseItem="0" numFmtId="1"/>
  </dataFields>
  <formats count="1">
    <format dxfId="7">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BA42B22-2503-4D4F-872E-D1A7BA6923C0}"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22:M25" firstHeaderRow="1" firstDataRow="2" firstDataCol="1"/>
  <pivotFields count="3">
    <pivotField axis="axisCol" showAll="0">
      <items count="15">
        <item h="1" x="1"/>
        <item h="1" x="6"/>
        <item h="1" x="12"/>
        <item x="11"/>
        <item h="1" x="7"/>
        <item h="1" x="5"/>
        <item h="1" x="9"/>
        <item h="1" x="3"/>
        <item h="1" x="2"/>
        <item h="1" x="8"/>
        <item h="1" x="4"/>
        <item h="1" x="10"/>
        <item x="0"/>
        <item h="1" x="13"/>
        <item t="default"/>
      </items>
    </pivotField>
    <pivotField axis="axisRow" showAll="0">
      <items count="11">
        <item h="1" x="0"/>
        <item h="1" x="1"/>
        <item h="1" x="2"/>
        <item h="1" x="3"/>
        <item h="1" x="4"/>
        <item h="1" x="5"/>
        <item x="6"/>
        <item h="1" x="7"/>
        <item h="1" x="8"/>
        <item h="1" x="9"/>
        <item t="default"/>
      </items>
    </pivotField>
    <pivotField dataField="1" numFmtId="1" showAll="0"/>
  </pivotFields>
  <rowFields count="1">
    <field x="1"/>
  </rowFields>
  <rowItems count="2">
    <i>
      <x v="6"/>
    </i>
    <i t="grand">
      <x/>
    </i>
  </rowItems>
  <colFields count="1">
    <field x="0"/>
  </colFields>
  <colItems count="3">
    <i>
      <x v="3"/>
    </i>
    <i>
      <x v="12"/>
    </i>
    <i t="grand">
      <x/>
    </i>
  </colItems>
  <dataFields count="1">
    <dataField name="Sum of Amount" fld="2"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270A791-8D3C-425B-B65B-C49BD460F69F}"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13:M16" firstHeaderRow="1" firstDataRow="2" firstDataCol="1"/>
  <pivotFields count="3">
    <pivotField axis="axisCol" showAll="0">
      <items count="15">
        <item h="1" x="1"/>
        <item h="1" x="6"/>
        <item h="1" x="12"/>
        <item x="11"/>
        <item h="1" x="7"/>
        <item h="1" x="5"/>
        <item h="1" x="9"/>
        <item h="1" x="3"/>
        <item h="1" x="2"/>
        <item h="1" x="8"/>
        <item h="1" x="4"/>
        <item h="1" x="10"/>
        <item x="0"/>
        <item h="1" x="13"/>
        <item t="default"/>
      </items>
    </pivotField>
    <pivotField axis="axisRow" showAll="0">
      <items count="11">
        <item h="1" x="0"/>
        <item h="1" x="1"/>
        <item h="1" x="2"/>
        <item h="1" x="3"/>
        <item h="1" x="4"/>
        <item x="5"/>
        <item h="1" x="6"/>
        <item h="1" x="7"/>
        <item h="1" x="8"/>
        <item h="1" x="9"/>
        <item t="default"/>
      </items>
    </pivotField>
    <pivotField dataField="1" numFmtId="1" showAll="0"/>
  </pivotFields>
  <rowFields count="1">
    <field x="1"/>
  </rowFields>
  <rowItems count="2">
    <i>
      <x v="5"/>
    </i>
    <i t="grand">
      <x/>
    </i>
  </rowItems>
  <colFields count="1">
    <field x="0"/>
  </colFields>
  <colItems count="3">
    <i>
      <x v="3"/>
    </i>
    <i>
      <x v="12"/>
    </i>
    <i t="grand">
      <x/>
    </i>
  </colItems>
  <dataFields count="1">
    <dataField name="Sum of Amount" fld="2"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134458E-1051-4A02-B8AD-96EADB414CCC}"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5:G18" firstHeaderRow="1" firstDataRow="2" firstDataCol="1"/>
  <pivotFields count="3">
    <pivotField axis="axisRow" showAll="0">
      <items count="15">
        <item h="1" x="1"/>
        <item h="1" x="6"/>
        <item h="1" x="12"/>
        <item h="1" x="11"/>
        <item h="1" x="7"/>
        <item h="1" x="5"/>
        <item h="1" x="9"/>
        <item h="1" x="3"/>
        <item h="1" x="2"/>
        <item h="1" x="8"/>
        <item h="1" x="4"/>
        <item h="1" x="10"/>
        <item x="0"/>
        <item h="1" x="13"/>
        <item t="default"/>
      </items>
    </pivotField>
    <pivotField axis="axisCol" showAll="0">
      <items count="11">
        <item h="1" x="0"/>
        <item h="1" x="1"/>
        <item h="1" x="2"/>
        <item h="1" x="3"/>
        <item h="1" x="4"/>
        <item x="5"/>
        <item h="1" x="6"/>
        <item h="1" x="7"/>
        <item h="1" x="8"/>
        <item h="1" x="9"/>
        <item t="default"/>
      </items>
    </pivotField>
    <pivotField dataField="1" numFmtId="1" showAll="0"/>
  </pivotFields>
  <rowFields count="1">
    <field x="0"/>
  </rowFields>
  <rowItems count="2">
    <i>
      <x v="12"/>
    </i>
    <i t="grand">
      <x/>
    </i>
  </rowItems>
  <colFields count="1">
    <field x="1"/>
  </colFields>
  <colItems count="2">
    <i>
      <x v="5"/>
    </i>
    <i t="grand">
      <x/>
    </i>
  </colItems>
  <dataFields count="1">
    <dataField name="Sum of Amount" fld="2"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3803A75-B62A-45EF-8BBC-2FD2F3FDC9AF}"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K10" firstHeaderRow="1" firstDataRow="2" firstDataCol="1"/>
  <pivotFields count="3">
    <pivotField axis="axisRow" showAll="0">
      <items count="27">
        <item h="1" x="21"/>
        <item h="1" x="25"/>
        <item h="1" x="16"/>
        <item h="1" x="18"/>
        <item h="1" x="14"/>
        <item x="12"/>
        <item h="1" x="22"/>
        <item h="1" x="17"/>
        <item h="1" x="2"/>
        <item h="1" x="6"/>
        <item h="1" x="1"/>
        <item h="1" x="5"/>
        <item h="1" x="7"/>
        <item h="1" x="20"/>
        <item x="4"/>
        <item h="1" x="13"/>
        <item h="1" x="24"/>
        <item h="1" x="19"/>
        <item x="8"/>
        <item x="3"/>
        <item h="1" x="23"/>
        <item h="1" x="15"/>
        <item x="9"/>
        <item h="1" x="11"/>
        <item x="10"/>
        <item x="0"/>
        <item t="default"/>
      </items>
    </pivotField>
    <pivotField axis="axisCol" showAll="0">
      <items count="11">
        <item h="1" x="0"/>
        <item h="1" x="1"/>
        <item h="1" x="2"/>
        <item h="1" x="3"/>
        <item h="1" x="4"/>
        <item x="5"/>
        <item x="6"/>
        <item x="7"/>
        <item x="8"/>
        <item x="9"/>
        <item t="default"/>
      </items>
    </pivotField>
    <pivotField dataField="1" showAll="0"/>
  </pivotFields>
  <rowFields count="1">
    <field x="0"/>
  </rowFields>
  <rowItems count="8">
    <i>
      <x v="5"/>
    </i>
    <i>
      <x v="14"/>
    </i>
    <i>
      <x v="18"/>
    </i>
    <i>
      <x v="19"/>
    </i>
    <i>
      <x v="22"/>
    </i>
    <i>
      <x v="24"/>
    </i>
    <i>
      <x v="25"/>
    </i>
    <i t="grand">
      <x/>
    </i>
  </rowItems>
  <colFields count="1">
    <field x="1"/>
  </colFields>
  <colItems count="6">
    <i>
      <x v="5"/>
    </i>
    <i>
      <x v="6"/>
    </i>
    <i>
      <x v="7"/>
    </i>
    <i>
      <x v="8"/>
    </i>
    <i>
      <x v="9"/>
    </i>
    <i t="grand">
      <x/>
    </i>
  </colItems>
  <dataFields count="1">
    <dataField name="Average of Ratio" fld="2" subtotal="average" baseField="0" baseItem="5" numFmtId="2"/>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0D7CD76-F10A-4839-8EF2-D5AFE926E36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E1:L6" firstHeaderRow="1" firstDataRow="2" firstDataCol="1"/>
  <pivotFields count="3">
    <pivotField axis="axisRow" showAll="0">
      <items count="23">
        <item h="1" x="6"/>
        <item h="1" x="18"/>
        <item h="1" x="8"/>
        <item h="1" x="9"/>
        <item h="1" x="17"/>
        <item h="1" x="2"/>
        <item h="1" x="10"/>
        <item h="1" x="11"/>
        <item h="1" x="4"/>
        <item h="1" x="21"/>
        <item x="20"/>
        <item x="13"/>
        <item x="7"/>
        <item h="1" x="19"/>
        <item h="1" x="12"/>
        <item h="1" x="3"/>
        <item h="1" x="15"/>
        <item h="1" x="14"/>
        <item h="1" x="0"/>
        <item h="1" x="1"/>
        <item h="1" x="16"/>
        <item h="1" x="5"/>
        <item t="default"/>
      </items>
    </pivotField>
    <pivotField axis="axisCol" showAll="0">
      <items count="11">
        <item h="1" x="0"/>
        <item h="1" x="1"/>
        <item h="1" x="2"/>
        <item h="1" x="3"/>
        <item x="4"/>
        <item x="5"/>
        <item x="6"/>
        <item x="7"/>
        <item x="8"/>
        <item x="9"/>
        <item t="default"/>
      </items>
    </pivotField>
    <pivotField dataField="1" numFmtId="1" showAll="0"/>
  </pivotFields>
  <rowFields count="1">
    <field x="0"/>
  </rowFields>
  <rowItems count="4">
    <i>
      <x v="10"/>
    </i>
    <i>
      <x v="11"/>
    </i>
    <i>
      <x v="12"/>
    </i>
    <i t="grand">
      <x/>
    </i>
  </rowItems>
  <colFields count="1">
    <field x="1"/>
  </colFields>
  <colItems count="7">
    <i>
      <x v="4"/>
    </i>
    <i>
      <x v="5"/>
    </i>
    <i>
      <x v="6"/>
    </i>
    <i>
      <x v="7"/>
    </i>
    <i>
      <x v="8"/>
    </i>
    <i>
      <x v="9"/>
    </i>
    <i t="grand">
      <x/>
    </i>
  </colItems>
  <dataFields count="1">
    <dataField name="Sum of Amount" fld="2" baseField="0" baseItem="0" numFmtId="172"/>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F08291F0-445F-4DB8-A39F-94E12A5A2996}" sourceName="Years">
  <pivotTables>
    <pivotTable tabId="31" name="PivotTable2"/>
    <pivotTable tabId="31" name="PivotTable6"/>
    <pivotTable tabId="31" name="PivotTable1"/>
    <pivotTable tabId="31" name="PivotTable9"/>
  </pivotTables>
  <data>
    <tabular pivotCacheId="1399887454">
      <items count="10">
        <i x="0"/>
        <i x="1"/>
        <i x="2"/>
        <i x="3"/>
        <i x="4"/>
        <i x="5" s="1"/>
        <i x="6"/>
        <i x="7"/>
        <i x="8"/>
        <i x="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F4E5160E-481A-45ED-88EC-74B0540C2940}" cache="Slicer_Years" caption="Years" columnCount="10" style="SlicerStyleDark5"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hyperlink" Target="https://www.screener.in/company/AMBUJACEM/consolidated/" TargetMode="External"/><Relationship Id="rId7" Type="http://schemas.openxmlformats.org/officeDocument/2006/relationships/hyperlink" Target="https://www.screener.in/company/ACC/consolidated/" TargetMode="External"/><Relationship Id="rId2" Type="http://schemas.openxmlformats.org/officeDocument/2006/relationships/hyperlink" Target="https://www.screener.in/company/GRASIM/consolidated/" TargetMode="External"/><Relationship Id="rId1" Type="http://schemas.openxmlformats.org/officeDocument/2006/relationships/hyperlink" Target="https://www.screener.in/company/ULTRACEMCO/consolidated/" TargetMode="External"/><Relationship Id="rId6" Type="http://schemas.openxmlformats.org/officeDocument/2006/relationships/hyperlink" Target="https://www.screener.in/company/DALBHARAT/consolidated/" TargetMode="External"/><Relationship Id="rId5" Type="http://schemas.openxmlformats.org/officeDocument/2006/relationships/hyperlink" Target="https://www.screener.in/company/JKCEMENT/consolidated/" TargetMode="External"/><Relationship Id="rId4" Type="http://schemas.openxmlformats.org/officeDocument/2006/relationships/hyperlink" Target="https://www.screener.in/company/SHREECEM/consolidated/"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1084B-E254-4269-9045-9CBB979FF356}">
  <sheetPr codeName="Sheet1"/>
  <dimension ref="D3:H32"/>
  <sheetViews>
    <sheetView showGridLines="0" tabSelected="1" topLeftCell="A9" zoomScale="102" zoomScaleNormal="102" workbookViewId="0">
      <selection activeCell="K11" sqref="K11"/>
    </sheetView>
  </sheetViews>
  <sheetFormatPr defaultRowHeight="14.4" x14ac:dyDescent="0.3"/>
  <cols>
    <col min="1" max="1" width="5.6640625" customWidth="1"/>
    <col min="2" max="2" width="5.109375" customWidth="1"/>
    <col min="3" max="3" width="2.6640625" customWidth="1"/>
    <col min="5" max="5" width="2" customWidth="1"/>
    <col min="6" max="6" width="38.5546875" customWidth="1"/>
    <col min="7" max="7" width="17.5546875" customWidth="1"/>
    <col min="8" max="8" width="24.44140625" customWidth="1"/>
  </cols>
  <sheetData>
    <row r="3" spans="4:8" ht="16.8" customHeight="1" x14ac:dyDescent="0.3">
      <c r="G3" s="425" t="s">
        <v>645</v>
      </c>
      <c r="H3" s="425"/>
    </row>
    <row r="4" spans="4:8" x14ac:dyDescent="0.3">
      <c r="G4" s="425"/>
      <c r="H4" s="425"/>
    </row>
    <row r="5" spans="4:8" x14ac:dyDescent="0.3">
      <c r="G5" s="425"/>
      <c r="H5" s="425"/>
    </row>
    <row r="6" spans="4:8" x14ac:dyDescent="0.3">
      <c r="G6" s="425"/>
      <c r="H6" s="425"/>
    </row>
    <row r="7" spans="4:8" x14ac:dyDescent="0.3">
      <c r="G7" s="425"/>
      <c r="H7" s="425"/>
    </row>
    <row r="11" spans="4:8" x14ac:dyDescent="0.3">
      <c r="D11" s="173" t="s">
        <v>167</v>
      </c>
      <c r="F11" s="58" t="s">
        <v>379</v>
      </c>
      <c r="G11" s="174" t="s">
        <v>171</v>
      </c>
      <c r="H11" t="s">
        <v>178</v>
      </c>
    </row>
    <row r="12" spans="4:8" ht="28.8" x14ac:dyDescent="0.3">
      <c r="D12" s="288" t="s">
        <v>647</v>
      </c>
      <c r="F12" s="287" t="s">
        <v>648</v>
      </c>
      <c r="G12" s="39" t="s">
        <v>172</v>
      </c>
      <c r="H12" t="s">
        <v>177</v>
      </c>
    </row>
    <row r="13" spans="4:8" x14ac:dyDescent="0.3">
      <c r="D13" s="173" t="s">
        <v>168</v>
      </c>
      <c r="F13" s="58" t="s">
        <v>170</v>
      </c>
      <c r="G13" s="175" t="s">
        <v>173</v>
      </c>
      <c r="H13" t="s">
        <v>176</v>
      </c>
    </row>
    <row r="14" spans="4:8" x14ac:dyDescent="0.3">
      <c r="D14" s="173" t="s">
        <v>169</v>
      </c>
      <c r="F14" s="58" t="s">
        <v>646</v>
      </c>
      <c r="G14" s="176" t="s">
        <v>174</v>
      </c>
      <c r="H14" t="s">
        <v>175</v>
      </c>
    </row>
    <row r="17" spans="4:7" x14ac:dyDescent="0.3">
      <c r="D17" s="173" t="s">
        <v>179</v>
      </c>
      <c r="F17" s="144" t="s">
        <v>180</v>
      </c>
      <c r="G17" s="39" t="s">
        <v>181</v>
      </c>
    </row>
    <row r="18" spans="4:7" x14ac:dyDescent="0.3">
      <c r="D18">
        <v>1</v>
      </c>
      <c r="F18" t="s">
        <v>182</v>
      </c>
      <c r="G18" s="210" t="s">
        <v>190</v>
      </c>
    </row>
    <row r="19" spans="4:7" x14ac:dyDescent="0.3">
      <c r="D19">
        <v>2</v>
      </c>
      <c r="F19" t="s">
        <v>183</v>
      </c>
      <c r="G19" s="210" t="s">
        <v>183</v>
      </c>
    </row>
    <row r="20" spans="4:7" x14ac:dyDescent="0.3">
      <c r="D20">
        <v>3</v>
      </c>
      <c r="F20" t="s">
        <v>184</v>
      </c>
      <c r="G20" s="210" t="s">
        <v>191</v>
      </c>
    </row>
    <row r="21" spans="4:7" x14ac:dyDescent="0.3">
      <c r="D21">
        <v>4</v>
      </c>
      <c r="F21" t="s">
        <v>185</v>
      </c>
      <c r="G21" s="210" t="s">
        <v>185</v>
      </c>
    </row>
    <row r="22" spans="4:7" x14ac:dyDescent="0.3">
      <c r="D22">
        <v>5</v>
      </c>
      <c r="F22" t="s">
        <v>186</v>
      </c>
      <c r="G22" s="210" t="s">
        <v>86</v>
      </c>
    </row>
    <row r="23" spans="4:7" x14ac:dyDescent="0.3">
      <c r="D23">
        <v>6</v>
      </c>
      <c r="F23" t="s">
        <v>52</v>
      </c>
      <c r="G23" s="210" t="s">
        <v>192</v>
      </c>
    </row>
    <row r="24" spans="4:7" x14ac:dyDescent="0.3">
      <c r="D24">
        <v>7</v>
      </c>
      <c r="F24" t="s">
        <v>5</v>
      </c>
      <c r="G24" s="210" t="s">
        <v>5</v>
      </c>
    </row>
    <row r="25" spans="4:7" x14ac:dyDescent="0.3">
      <c r="D25">
        <v>8</v>
      </c>
      <c r="F25" t="s">
        <v>77</v>
      </c>
      <c r="G25" s="210" t="s">
        <v>193</v>
      </c>
    </row>
    <row r="26" spans="4:7" x14ac:dyDescent="0.3">
      <c r="D26">
        <v>9</v>
      </c>
      <c r="F26" t="s">
        <v>67</v>
      </c>
      <c r="G26" s="210" t="s">
        <v>194</v>
      </c>
    </row>
    <row r="27" spans="4:7" x14ac:dyDescent="0.3">
      <c r="D27">
        <v>10</v>
      </c>
      <c r="F27" t="s">
        <v>118</v>
      </c>
      <c r="G27" s="210" t="s">
        <v>195</v>
      </c>
    </row>
    <row r="28" spans="4:7" x14ac:dyDescent="0.3">
      <c r="D28">
        <v>11</v>
      </c>
      <c r="F28" t="s">
        <v>134</v>
      </c>
      <c r="G28" s="210" t="s">
        <v>148</v>
      </c>
    </row>
    <row r="29" spans="4:7" x14ac:dyDescent="0.3">
      <c r="D29">
        <v>12</v>
      </c>
      <c r="F29" t="s">
        <v>149</v>
      </c>
      <c r="G29" s="210" t="s">
        <v>196</v>
      </c>
    </row>
    <row r="30" spans="4:7" x14ac:dyDescent="0.3">
      <c r="D30">
        <v>13</v>
      </c>
      <c r="F30" t="s">
        <v>187</v>
      </c>
      <c r="G30" s="210" t="s">
        <v>197</v>
      </c>
    </row>
    <row r="31" spans="4:7" x14ac:dyDescent="0.3">
      <c r="D31">
        <v>14</v>
      </c>
      <c r="F31" t="s">
        <v>188</v>
      </c>
      <c r="G31" s="210" t="s">
        <v>270</v>
      </c>
    </row>
    <row r="32" spans="4:7" x14ac:dyDescent="0.3">
      <c r="D32">
        <v>15</v>
      </c>
      <c r="F32" t="s">
        <v>189</v>
      </c>
      <c r="G32" s="210" t="s">
        <v>198</v>
      </c>
    </row>
  </sheetData>
  <mergeCells count="1">
    <mergeCell ref="G3:H7"/>
  </mergeCells>
  <hyperlinks>
    <hyperlink ref="G18" location="Index!A1" display="Index" xr:uid="{A7F38C35-6E45-41DA-9FAF-885FDB1500F5}"/>
    <hyperlink ref="G19" location="Overview!A1" display="Overview" xr:uid="{6F6AAE74-BDB5-4FA7-BAB7-372433647751}"/>
    <hyperlink ref="G20" location="Comparative!A1" display="Comparative" xr:uid="{F75CC134-9829-4851-BE7E-EB635028EC34}"/>
    <hyperlink ref="G21" location="Ratios!A1" display="Ratios" xr:uid="{D5A85333-5018-4EE0-99DA-8A35EF52F98A}"/>
    <hyperlink ref="G22" location="Drivers!A1" display="Drivers" xr:uid="{E29675ED-1162-4089-BCB6-DFF948FA83F1}"/>
    <hyperlink ref="G23" location="'P&amp;L'!A1" display="P&amp;L" xr:uid="{FF64E17B-DE99-4FE0-A7DD-1E39A4AF2223}"/>
    <hyperlink ref="G24" location="'Balance Sheet'!A1" display="Balance Sheet" xr:uid="{4383A07F-2EE5-471A-856A-5F791621C545}"/>
    <hyperlink ref="G25" location="'Cash Flow'!A1" display="Cash Flow" xr:uid="{E0B42ACB-B6BB-4065-A60F-612A2314CCB8}"/>
    <hyperlink ref="G26" location="PPE!A1" display="PPE" xr:uid="{7C0FD657-98A5-4FC5-9FF3-54C669332CD8}"/>
    <hyperlink ref="G27" location="WC!A1" display="WC" xr:uid="{E54C8D63-688B-4354-820A-781583A3F66B}"/>
    <hyperlink ref="G28" location="WACC!A1" display="WACC" xr:uid="{D0F1E67D-E5F1-4B0F-9AD4-43AA6C5A86C1}"/>
    <hyperlink ref="G29" location="DCF!A1" display="DCF" xr:uid="{A618F92D-2B79-44DA-A25D-FBC7AE9A5578}"/>
    <hyperlink ref="G30" location="'(IS)'!A1" display="(IS)" xr:uid="{A5F6CA86-981C-4F30-82B9-5939C84004D2}"/>
    <hyperlink ref="G31" location="'(BS)'!A1" display="(BS)" xr:uid="{06BEB6FD-16A8-4CC9-BB10-34C7F8F74DD5}"/>
    <hyperlink ref="G32" location="'(CFS)'!A1" display="(CFS)" xr:uid="{FE03E63B-6785-43F6-B428-720866F60641}"/>
  </hyperlinks>
  <pageMargins left="0.25" right="0.25"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C135D-1258-48C1-850C-79C73D5F323F}">
  <sheetPr codeName="Sheet2"/>
  <dimension ref="A1"/>
  <sheetViews>
    <sheetView showGridLines="0" zoomScale="94" zoomScaleNormal="99" workbookViewId="0">
      <selection activeCell="N42" sqref="N42"/>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2A02F-A187-4B30-B1C0-77E7E75A1E91}">
  <sheetPr codeName="Sheet3"/>
  <dimension ref="A1:W141"/>
  <sheetViews>
    <sheetView topLeftCell="A18" zoomScale="79" workbookViewId="0">
      <selection activeCell="Q39" sqref="Q39"/>
    </sheetView>
  </sheetViews>
  <sheetFormatPr defaultRowHeight="14.4" x14ac:dyDescent="0.3"/>
  <cols>
    <col min="1" max="1" width="24.5546875" bestFit="1" customWidth="1"/>
    <col min="2" max="2" width="7.6640625" bestFit="1" customWidth="1"/>
    <col min="5" max="5" width="26.44140625" bestFit="1" customWidth="1"/>
    <col min="6" max="6" width="16.5546875" bestFit="1" customWidth="1"/>
    <col min="7" max="7" width="11.109375" bestFit="1" customWidth="1"/>
    <col min="8" max="9" width="6" bestFit="1" customWidth="1"/>
    <col min="10" max="10" width="14.5546875" bestFit="1" customWidth="1"/>
    <col min="11" max="11" width="16.5546875" bestFit="1" customWidth="1"/>
    <col min="12" max="12" width="14.5546875" bestFit="1" customWidth="1"/>
    <col min="13" max="13" width="16.5546875" bestFit="1" customWidth="1"/>
    <col min="14" max="14" width="11.109375" bestFit="1" customWidth="1"/>
    <col min="15" max="15" width="6" bestFit="1" customWidth="1"/>
    <col min="16" max="16" width="11.109375" bestFit="1" customWidth="1"/>
    <col min="17" max="22" width="6.21875" bestFit="1" customWidth="1"/>
    <col min="23" max="23" width="10.77734375" bestFit="1" customWidth="1"/>
    <col min="24" max="24" width="9.88671875" bestFit="1" customWidth="1"/>
    <col min="25" max="25" width="7.33203125" bestFit="1" customWidth="1"/>
    <col min="26" max="26" width="9.88671875" bestFit="1" customWidth="1"/>
    <col min="27" max="27" width="7.33203125" bestFit="1" customWidth="1"/>
    <col min="28" max="28" width="9.88671875" bestFit="1" customWidth="1"/>
    <col min="29" max="29" width="7.33203125" bestFit="1" customWidth="1"/>
    <col min="30" max="30" width="9.88671875" bestFit="1" customWidth="1"/>
    <col min="31" max="31" width="7.33203125" bestFit="1" customWidth="1"/>
    <col min="32" max="32" width="9.88671875" bestFit="1" customWidth="1"/>
    <col min="33" max="33" width="10.77734375" bestFit="1" customWidth="1"/>
    <col min="34" max="37" width="6" bestFit="1" customWidth="1"/>
    <col min="38" max="38" width="18.5546875" bestFit="1" customWidth="1"/>
    <col min="39" max="39" width="9.109375" bestFit="1" customWidth="1"/>
    <col min="40" max="47" width="6" bestFit="1" customWidth="1"/>
    <col min="48" max="48" width="7" bestFit="1" customWidth="1"/>
    <col min="49" max="49" width="11.77734375" bestFit="1" customWidth="1"/>
    <col min="50" max="50" width="12.6640625" bestFit="1" customWidth="1"/>
    <col min="51" max="53" width="6" bestFit="1" customWidth="1"/>
    <col min="54" max="59" width="7" bestFit="1" customWidth="1"/>
    <col min="60" max="60" width="15.44140625" bestFit="1" customWidth="1"/>
    <col min="61" max="61" width="9.44140625" bestFit="1" customWidth="1"/>
    <col min="62" max="70" width="5" bestFit="1" customWidth="1"/>
    <col min="71" max="71" width="12.109375" bestFit="1" customWidth="1"/>
    <col min="72" max="72" width="7.6640625" bestFit="1" customWidth="1"/>
    <col min="73" max="76" width="5" bestFit="1" customWidth="1"/>
    <col min="77" max="81" width="6" bestFit="1" customWidth="1"/>
    <col min="82" max="82" width="10.33203125" bestFit="1" customWidth="1"/>
    <col min="83" max="83" width="15.109375" bestFit="1" customWidth="1"/>
    <col min="84" max="92" width="7" bestFit="1" customWidth="1"/>
    <col min="93" max="93" width="17.88671875" bestFit="1" customWidth="1"/>
    <col min="94" max="94" width="10.77734375" bestFit="1" customWidth="1"/>
  </cols>
  <sheetData>
    <row r="1" spans="1:23" x14ac:dyDescent="0.3">
      <c r="A1" s="302" t="s">
        <v>659</v>
      </c>
      <c r="B1" s="303" t="s">
        <v>660</v>
      </c>
      <c r="C1" s="304" t="s">
        <v>661</v>
      </c>
      <c r="E1" s="311" t="s">
        <v>665</v>
      </c>
      <c r="F1" s="311" t="s">
        <v>662</v>
      </c>
    </row>
    <row r="2" spans="1:23" x14ac:dyDescent="0.3">
      <c r="A2" s="305" t="s">
        <v>55</v>
      </c>
      <c r="B2" s="306" t="s">
        <v>649</v>
      </c>
      <c r="C2" s="22">
        <f>VLOOKUP(A2,'P&amp;L'!$B$5:$L$18,2,FALSE)</f>
        <v>158788.31</v>
      </c>
      <c r="E2" s="311" t="s">
        <v>664</v>
      </c>
      <c r="F2" t="s">
        <v>654</v>
      </c>
      <c r="G2" t="s">
        <v>663</v>
      </c>
    </row>
    <row r="3" spans="1:23" x14ac:dyDescent="0.3">
      <c r="A3" s="307" t="s">
        <v>55</v>
      </c>
      <c r="B3" s="308" t="s">
        <v>650</v>
      </c>
      <c r="C3" s="22">
        <f>VLOOKUP(A3,'P&amp;L'!$B$5:$L$18,3,FALSE)</f>
        <v>186269.87</v>
      </c>
      <c r="E3" s="58" t="s">
        <v>56</v>
      </c>
      <c r="F3" s="22">
        <v>196257.57391815539</v>
      </c>
      <c r="G3" s="22">
        <v>196257.57391815539</v>
      </c>
      <c r="I3" t="s">
        <v>90</v>
      </c>
      <c r="J3" s="313">
        <f>F10</f>
        <v>335917.19709413638</v>
      </c>
    </row>
    <row r="4" spans="1:23" x14ac:dyDescent="0.3">
      <c r="A4" s="305" t="s">
        <v>55</v>
      </c>
      <c r="B4" s="306" t="s">
        <v>651</v>
      </c>
      <c r="C4" s="22">
        <f>VLOOKUP(A4,'P&amp;L'!$B$5:$L$18,4,FALSE)</f>
        <v>225270.94</v>
      </c>
      <c r="E4" s="58" t="s">
        <v>59</v>
      </c>
      <c r="F4" s="22">
        <v>5148.0873997786912</v>
      </c>
      <c r="G4" s="22">
        <v>5148.0873997786912</v>
      </c>
      <c r="I4" t="s">
        <v>56</v>
      </c>
      <c r="J4" s="313">
        <f>F3</f>
        <v>196257.57391815539</v>
      </c>
      <c r="L4" s="311" t="s">
        <v>665</v>
      </c>
      <c r="M4" s="311" t="s">
        <v>662</v>
      </c>
    </row>
    <row r="5" spans="1:23" x14ac:dyDescent="0.3">
      <c r="A5" s="307" t="s">
        <v>55</v>
      </c>
      <c r="B5" s="308" t="s">
        <v>652</v>
      </c>
      <c r="C5" s="22">
        <f>VLOOKUP(A5,'P&amp;L'!$B$5:$L$18,5,FALSE)</f>
        <v>259859.27</v>
      </c>
      <c r="E5" s="58" t="s">
        <v>63</v>
      </c>
      <c r="F5" s="22">
        <v>19917.492096557529</v>
      </c>
      <c r="G5" s="22">
        <v>19917.492096557529</v>
      </c>
      <c r="I5" t="s">
        <v>57</v>
      </c>
      <c r="J5" s="313">
        <f>F7</f>
        <v>139659.62317598099</v>
      </c>
      <c r="L5" s="311" t="s">
        <v>664</v>
      </c>
      <c r="M5" t="s">
        <v>654</v>
      </c>
      <c r="N5" t="s">
        <v>663</v>
      </c>
    </row>
    <row r="6" spans="1:23" x14ac:dyDescent="0.3">
      <c r="A6" s="305" t="s">
        <v>55</v>
      </c>
      <c r="B6" s="306" t="s">
        <v>653</v>
      </c>
      <c r="C6" s="22">
        <f>VLOOKUP(A6,'P&amp;L'!$B$5:$L$18,6,FALSE)</f>
        <v>291635.03999999998</v>
      </c>
      <c r="E6" s="58" t="s">
        <v>58</v>
      </c>
      <c r="F6" s="22">
        <v>35730.63358348616</v>
      </c>
      <c r="G6" s="22">
        <v>35730.63358348616</v>
      </c>
      <c r="I6" t="s">
        <v>58</v>
      </c>
      <c r="J6" s="313">
        <f>F6</f>
        <v>35730.63358348616</v>
      </c>
      <c r="L6" s="58" t="s">
        <v>63</v>
      </c>
      <c r="M6" s="22">
        <v>19917.492096557529</v>
      </c>
      <c r="N6" s="22">
        <v>19917.492096557529</v>
      </c>
    </row>
    <row r="7" spans="1:23" x14ac:dyDescent="0.3">
      <c r="A7" s="307" t="s">
        <v>55</v>
      </c>
      <c r="B7" s="308" t="s">
        <v>654</v>
      </c>
      <c r="C7" s="22">
        <f>VLOOKUP(A7,'P&amp;L'!$B$5:$L$18,7,FALSE)</f>
        <v>335917.19709413638</v>
      </c>
      <c r="E7" s="58" t="s">
        <v>57</v>
      </c>
      <c r="F7" s="22">
        <v>139659.62317598099</v>
      </c>
      <c r="G7" s="22">
        <v>139659.62317598099</v>
      </c>
      <c r="I7" t="s">
        <v>4</v>
      </c>
      <c r="J7" s="313">
        <f>F8</f>
        <v>3298.310434998521</v>
      </c>
      <c r="L7" s="58" t="s">
        <v>663</v>
      </c>
      <c r="M7" s="22">
        <v>19917.492096557529</v>
      </c>
      <c r="N7" s="22">
        <v>19917.492096557529</v>
      </c>
    </row>
    <row r="8" spans="1:23" x14ac:dyDescent="0.3">
      <c r="A8" s="305" t="s">
        <v>55</v>
      </c>
      <c r="B8" s="306" t="s">
        <v>655</v>
      </c>
      <c r="C8" s="22">
        <f>VLOOKUP(A8,'P&amp;L'!$B$5:$L$18,8,FALSE)</f>
        <v>386923.20135324233</v>
      </c>
      <c r="E8" s="58" t="s">
        <v>4</v>
      </c>
      <c r="F8" s="22">
        <v>3298.310434998521</v>
      </c>
      <c r="G8" s="22">
        <v>3298.310434998521</v>
      </c>
      <c r="I8" t="s">
        <v>62</v>
      </c>
      <c r="J8" s="313">
        <f>F9</f>
        <v>7366.7436521514164</v>
      </c>
    </row>
    <row r="9" spans="1:23" x14ac:dyDescent="0.3">
      <c r="A9" s="307" t="s">
        <v>55</v>
      </c>
      <c r="B9" s="308" t="s">
        <v>656</v>
      </c>
      <c r="C9" s="22">
        <f>VLOOKUP(A9,'P&amp;L'!$B$5:$L$18,9,FALSE)</f>
        <v>441804.77646388282</v>
      </c>
      <c r="E9" s="58" t="s">
        <v>62</v>
      </c>
      <c r="F9" s="22">
        <v>7366.7436521514164</v>
      </c>
      <c r="G9" s="22">
        <v>7366.7436521514164</v>
      </c>
      <c r="I9" t="s">
        <v>129</v>
      </c>
      <c r="J9" s="313">
        <f>F5</f>
        <v>19917.492096557529</v>
      </c>
    </row>
    <row r="10" spans="1:23" x14ac:dyDescent="0.3">
      <c r="A10" s="305" t="s">
        <v>55</v>
      </c>
      <c r="B10" s="306" t="s">
        <v>657</v>
      </c>
      <c r="C10" s="22">
        <f>VLOOKUP(A10,'P&amp;L'!$B$5:$L$18,10,FALSE)</f>
        <v>500052.76149060926</v>
      </c>
      <c r="E10" s="58" t="s">
        <v>55</v>
      </c>
      <c r="F10" s="22">
        <v>335917.19709413638</v>
      </c>
      <c r="G10" s="22">
        <v>335917.19709413638</v>
      </c>
      <c r="M10" t="s">
        <v>660</v>
      </c>
      <c r="N10" s="312" t="s">
        <v>649</v>
      </c>
      <c r="O10" s="312" t="s">
        <v>650</v>
      </c>
      <c r="P10" s="312" t="s">
        <v>651</v>
      </c>
      <c r="Q10" s="312" t="s">
        <v>652</v>
      </c>
      <c r="R10" s="312" t="s">
        <v>653</v>
      </c>
      <c r="S10" s="312" t="s">
        <v>654</v>
      </c>
      <c r="T10" s="312" t="s">
        <v>655</v>
      </c>
      <c r="U10" s="312" t="s">
        <v>656</v>
      </c>
      <c r="V10" s="312" t="s">
        <v>657</v>
      </c>
      <c r="W10" s="312" t="s">
        <v>658</v>
      </c>
    </row>
    <row r="11" spans="1:23" x14ac:dyDescent="0.3">
      <c r="A11" s="307" t="s">
        <v>55</v>
      </c>
      <c r="B11" s="308" t="s">
        <v>658</v>
      </c>
      <c r="C11" s="22">
        <f>VLOOKUP(A11,'P&amp;L'!$B$5:$L$18,11,FALSE)</f>
        <v>560979.69169317046</v>
      </c>
      <c r="E11" s="58" t="s">
        <v>663</v>
      </c>
      <c r="F11" s="22">
        <v>743295.66135524516</v>
      </c>
      <c r="G11" s="22">
        <v>743295.66135524516</v>
      </c>
      <c r="M11" t="s">
        <v>129</v>
      </c>
      <c r="N11" s="22">
        <v>10291.050000000003</v>
      </c>
      <c r="O11" s="22">
        <v>12624.869999999988</v>
      </c>
      <c r="P11" s="22">
        <v>15569.720000000001</v>
      </c>
      <c r="Q11" s="22">
        <v>17687.39</v>
      </c>
      <c r="R11" s="22">
        <v>19159.399999999976</v>
      </c>
      <c r="S11" s="22">
        <v>34504.853889212274</v>
      </c>
      <c r="T11" s="22">
        <v>43441.103009369748</v>
      </c>
      <c r="U11" s="22">
        <v>53207.295473591977</v>
      </c>
      <c r="V11" s="22">
        <v>63414.64872193725</v>
      </c>
      <c r="W11" s="22">
        <v>74187.884978496673</v>
      </c>
    </row>
    <row r="12" spans="1:23" x14ac:dyDescent="0.3">
      <c r="A12" s="305" t="s">
        <v>56</v>
      </c>
      <c r="B12" s="306" t="s">
        <v>649</v>
      </c>
      <c r="C12" s="22">
        <f>VLOOKUP(A12,'P&amp;L'!$B$5:$L$18,2,FALSE)</f>
        <v>99738.51</v>
      </c>
    </row>
    <row r="13" spans="1:23" x14ac:dyDescent="0.3">
      <c r="A13" s="307" t="s">
        <v>56</v>
      </c>
      <c r="B13" s="308" t="s">
        <v>650</v>
      </c>
      <c r="C13" s="22">
        <f>VLOOKUP(A13,'P&amp;L'!$B$5:$L$18,3,FALSE)</f>
        <v>116615.27</v>
      </c>
      <c r="J13" s="311" t="s">
        <v>665</v>
      </c>
      <c r="K13" s="311" t="s">
        <v>662</v>
      </c>
    </row>
    <row r="14" spans="1:23" x14ac:dyDescent="0.3">
      <c r="A14" s="305" t="s">
        <v>56</v>
      </c>
      <c r="B14" s="306" t="s">
        <v>651</v>
      </c>
      <c r="C14" s="22">
        <f>VLOOKUP(A14,'P&amp;L'!$B$5:$L$18,4,FALSE)</f>
        <v>146028.82</v>
      </c>
      <c r="J14" s="311" t="s">
        <v>664</v>
      </c>
      <c r="K14" t="s">
        <v>63</v>
      </c>
      <c r="L14" t="s">
        <v>55</v>
      </c>
      <c r="M14" t="s">
        <v>663</v>
      </c>
    </row>
    <row r="15" spans="1:23" x14ac:dyDescent="0.3">
      <c r="A15" s="307" t="s">
        <v>56</v>
      </c>
      <c r="B15" s="308" t="s">
        <v>652</v>
      </c>
      <c r="C15" s="22">
        <f>VLOOKUP(A15,'P&amp;L'!$B$5:$L$18,5,FALSE)</f>
        <v>170972.9</v>
      </c>
      <c r="E15" s="311" t="s">
        <v>665</v>
      </c>
      <c r="F15" s="311" t="s">
        <v>662</v>
      </c>
      <c r="J15" s="58" t="s">
        <v>654</v>
      </c>
      <c r="K15" s="22">
        <v>19917.492096557529</v>
      </c>
      <c r="L15" s="22">
        <v>335917.19709413638</v>
      </c>
      <c r="M15" s="22">
        <v>355834.6891906939</v>
      </c>
    </row>
    <row r="16" spans="1:23" x14ac:dyDescent="0.3">
      <c r="A16" s="305" t="s">
        <v>56</v>
      </c>
      <c r="B16" s="306" t="s">
        <v>653</v>
      </c>
      <c r="C16" s="22">
        <f>VLOOKUP(A16,'P&amp;L'!$B$5:$L$18,6,FALSE)</f>
        <v>32330.940000000006</v>
      </c>
      <c r="E16" s="311" t="s">
        <v>664</v>
      </c>
      <c r="F16" t="s">
        <v>654</v>
      </c>
      <c r="G16" t="s">
        <v>663</v>
      </c>
      <c r="J16" s="58" t="s">
        <v>663</v>
      </c>
      <c r="K16" s="22">
        <v>19917.492096557529</v>
      </c>
      <c r="L16" s="22">
        <v>335917.19709413638</v>
      </c>
      <c r="M16" s="22">
        <v>355834.6891906939</v>
      </c>
    </row>
    <row r="17" spans="1:16" x14ac:dyDescent="0.3">
      <c r="A17" s="307" t="s">
        <v>56</v>
      </c>
      <c r="B17" s="308" t="s">
        <v>654</v>
      </c>
      <c r="C17" s="22">
        <f>VLOOKUP(A17,'P&amp;L'!$B$5:$L$18,7,FALSE)</f>
        <v>196257.57391815539</v>
      </c>
      <c r="E17" s="58" t="s">
        <v>55</v>
      </c>
      <c r="F17" s="22">
        <v>335917.19709413638</v>
      </c>
      <c r="G17" s="22">
        <v>335917.19709413638</v>
      </c>
    </row>
    <row r="18" spans="1:16" x14ac:dyDescent="0.3">
      <c r="A18" s="305" t="s">
        <v>56</v>
      </c>
      <c r="B18" s="306" t="s">
        <v>655</v>
      </c>
      <c r="C18" s="22">
        <f>VLOOKUP(A18,'P&amp;L'!$B$5:$L$18,8,FALSE)</f>
        <v>226057.52086265784</v>
      </c>
      <c r="E18" s="58" t="s">
        <v>663</v>
      </c>
      <c r="F18" s="22">
        <v>335917.19709413638</v>
      </c>
      <c r="G18" s="22">
        <v>335917.19709413638</v>
      </c>
      <c r="J18" t="s">
        <v>365</v>
      </c>
      <c r="K18" t="s">
        <v>90</v>
      </c>
      <c r="L18" t="s">
        <v>129</v>
      </c>
    </row>
    <row r="19" spans="1:16" x14ac:dyDescent="0.3">
      <c r="A19" s="307" t="s">
        <v>56</v>
      </c>
      <c r="B19" s="308" t="s">
        <v>656</v>
      </c>
      <c r="C19" s="22">
        <f>VLOOKUP(A19,'P&amp;L'!$B$5:$L$18,9,FALSE)</f>
        <v>258121.74644323421</v>
      </c>
      <c r="J19" s="58" t="str">
        <f>J15</f>
        <v>2027</v>
      </c>
      <c r="K19" s="22">
        <f>L15</f>
        <v>335917.19709413638</v>
      </c>
      <c r="L19" s="22">
        <f>K15</f>
        <v>19917.492096557529</v>
      </c>
    </row>
    <row r="20" spans="1:16" x14ac:dyDescent="0.3">
      <c r="A20" s="305" t="s">
        <v>56</v>
      </c>
      <c r="B20" s="306" t="s">
        <v>657</v>
      </c>
      <c r="C20" s="22">
        <f>VLOOKUP(A20,'P&amp;L'!$B$5:$L$18,10,FALSE)</f>
        <v>292152.77648830455</v>
      </c>
    </row>
    <row r="21" spans="1:16" x14ac:dyDescent="0.3">
      <c r="A21" s="307" t="s">
        <v>56</v>
      </c>
      <c r="B21" s="308" t="s">
        <v>658</v>
      </c>
      <c r="C21" s="22">
        <f>VLOOKUP(A21,'P&amp;L'!$B$5:$L$18,11,FALSE)</f>
        <v>327748.96391566203</v>
      </c>
    </row>
    <row r="22" spans="1:16" x14ac:dyDescent="0.3">
      <c r="A22" s="305" t="s">
        <v>57</v>
      </c>
      <c r="B22" s="306" t="s">
        <v>649</v>
      </c>
      <c r="C22" s="22">
        <f>VLOOKUP(A22,'P&amp;L'!$B$5:$L$18,2,FALSE)</f>
        <v>59049.8</v>
      </c>
      <c r="J22" s="311" t="s">
        <v>665</v>
      </c>
      <c r="K22" s="311" t="s">
        <v>662</v>
      </c>
    </row>
    <row r="23" spans="1:16" x14ac:dyDescent="0.3">
      <c r="A23" s="307" t="s">
        <v>57</v>
      </c>
      <c r="B23" s="308" t="s">
        <v>650</v>
      </c>
      <c r="C23" s="22">
        <f>VLOOKUP(A23,'P&amp;L'!$B$5:$L$18,3,FALSE)</f>
        <v>69654.599999999991</v>
      </c>
      <c r="J23" s="311" t="s">
        <v>664</v>
      </c>
      <c r="K23" t="s">
        <v>63</v>
      </c>
      <c r="L23" t="s">
        <v>55</v>
      </c>
      <c r="M23" t="s">
        <v>663</v>
      </c>
    </row>
    <row r="24" spans="1:16" x14ac:dyDescent="0.3">
      <c r="A24" s="305" t="s">
        <v>57</v>
      </c>
      <c r="B24" s="306" t="s">
        <v>651</v>
      </c>
      <c r="C24" s="22">
        <f>VLOOKUP(A24,'P&amp;L'!$B$5:$L$18,4,FALSE)</f>
        <v>79242.12</v>
      </c>
      <c r="J24" s="58" t="s">
        <v>655</v>
      </c>
      <c r="K24" s="22">
        <v>24892.288092143281</v>
      </c>
      <c r="L24" s="22">
        <v>386923.20135324233</v>
      </c>
      <c r="M24" s="22">
        <v>411815.48944538564</v>
      </c>
    </row>
    <row r="25" spans="1:16" x14ac:dyDescent="0.3">
      <c r="A25" s="307" t="s">
        <v>57</v>
      </c>
      <c r="B25" s="308" t="s">
        <v>652</v>
      </c>
      <c r="C25" s="22">
        <f>VLOOKUP(A25,'P&amp;L'!$B$5:$L$18,5,FALSE)</f>
        <v>88886.37</v>
      </c>
      <c r="J25" s="58" t="s">
        <v>663</v>
      </c>
      <c r="K25" s="22">
        <v>24892.288092143281</v>
      </c>
      <c r="L25" s="22">
        <v>386923.20135324233</v>
      </c>
      <c r="M25" s="22">
        <v>411815.48944538564</v>
      </c>
    </row>
    <row r="26" spans="1:16" x14ac:dyDescent="0.3">
      <c r="A26" s="305" t="s">
        <v>57</v>
      </c>
      <c r="B26" s="306" t="s">
        <v>653</v>
      </c>
      <c r="C26" s="22">
        <f>VLOOKUP(A26,'P&amp;L'!$B$5:$L$18,6,FALSE)</f>
        <v>259304.09999999998</v>
      </c>
    </row>
    <row r="27" spans="1:16" x14ac:dyDescent="0.3">
      <c r="A27" s="307" t="s">
        <v>57</v>
      </c>
      <c r="B27" s="308" t="s">
        <v>654</v>
      </c>
      <c r="C27" s="22">
        <f>VLOOKUP(A27,'P&amp;L'!$B$5:$L$18,7,FALSE)</f>
        <v>139659.62317598099</v>
      </c>
    </row>
    <row r="28" spans="1:16" x14ac:dyDescent="0.3">
      <c r="A28" s="305" t="s">
        <v>57</v>
      </c>
      <c r="B28" s="306" t="s">
        <v>655</v>
      </c>
      <c r="C28" s="22">
        <f>VLOOKUP(A28,'P&amp;L'!$B$5:$L$18,8,FALSE)</f>
        <v>160865.68049058449</v>
      </c>
      <c r="E28" s="311" t="s">
        <v>665</v>
      </c>
      <c r="F28" s="311" t="s">
        <v>662</v>
      </c>
    </row>
    <row r="29" spans="1:16" x14ac:dyDescent="0.3">
      <c r="A29" s="307" t="s">
        <v>57</v>
      </c>
      <c r="B29" s="308" t="s">
        <v>656</v>
      </c>
      <c r="C29" s="22">
        <f>VLOOKUP(A29,'P&amp;L'!$B$5:$L$18,9,FALSE)</f>
        <v>183683.03002064861</v>
      </c>
      <c r="E29" s="311" t="s">
        <v>664</v>
      </c>
      <c r="F29" t="s">
        <v>649</v>
      </c>
      <c r="G29" t="s">
        <v>650</v>
      </c>
      <c r="H29" t="s">
        <v>651</v>
      </c>
      <c r="I29" t="s">
        <v>652</v>
      </c>
      <c r="J29" t="s">
        <v>653</v>
      </c>
      <c r="K29" t="s">
        <v>654</v>
      </c>
      <c r="L29" t="s">
        <v>655</v>
      </c>
      <c r="M29" t="s">
        <v>656</v>
      </c>
      <c r="N29" t="s">
        <v>657</v>
      </c>
      <c r="O29" t="s">
        <v>658</v>
      </c>
      <c r="P29" t="s">
        <v>663</v>
      </c>
    </row>
    <row r="30" spans="1:16" x14ac:dyDescent="0.3">
      <c r="A30" s="305" t="s">
        <v>57</v>
      </c>
      <c r="B30" s="306" t="s">
        <v>657</v>
      </c>
      <c r="C30" s="22">
        <f>VLOOKUP(A30,'P&amp;L'!$B$5:$L$18,10,FALSE)</f>
        <v>207899.98500230472</v>
      </c>
      <c r="E30" s="58" t="s">
        <v>63</v>
      </c>
      <c r="F30" s="313">
        <v>10291.050000000003</v>
      </c>
      <c r="G30" s="313">
        <v>12624.869999999988</v>
      </c>
      <c r="H30" s="313">
        <v>15569.720000000001</v>
      </c>
      <c r="I30" s="313">
        <v>17687.39</v>
      </c>
      <c r="J30" s="313">
        <v>19159.399999999976</v>
      </c>
      <c r="K30" s="313">
        <v>19917.492096557529</v>
      </c>
      <c r="L30" s="313">
        <v>24892.288092143281</v>
      </c>
      <c r="M30" s="313">
        <v>30000.294183930535</v>
      </c>
      <c r="N30" s="313">
        <v>34819.267542901354</v>
      </c>
      <c r="O30" s="313">
        <v>39442.881596186897</v>
      </c>
      <c r="P30" s="313">
        <v>224404.65351171957</v>
      </c>
    </row>
    <row r="31" spans="1:16" x14ac:dyDescent="0.3">
      <c r="A31" s="307" t="s">
        <v>57</v>
      </c>
      <c r="B31" s="308" t="s">
        <v>658</v>
      </c>
      <c r="C31" s="22">
        <f>VLOOKUP(A31,'P&amp;L'!$B$5:$L$18,11,FALSE)</f>
        <v>233230.72777750844</v>
      </c>
      <c r="E31" s="58" t="s">
        <v>663</v>
      </c>
      <c r="F31" s="22">
        <v>10291.050000000003</v>
      </c>
      <c r="G31" s="22">
        <v>12624.869999999988</v>
      </c>
      <c r="H31" s="22">
        <v>15569.720000000001</v>
      </c>
      <c r="I31" s="22">
        <v>17687.39</v>
      </c>
      <c r="J31" s="22">
        <v>19159.399999999976</v>
      </c>
      <c r="K31" s="22">
        <v>19917.492096557529</v>
      </c>
      <c r="L31" s="22">
        <v>24892.288092143281</v>
      </c>
      <c r="M31" s="22">
        <v>30000.294183930535</v>
      </c>
      <c r="N31" s="22">
        <v>34819.267542901354</v>
      </c>
      <c r="O31" s="22">
        <v>39442.881596186897</v>
      </c>
      <c r="P31" s="22">
        <v>224404.65351171957</v>
      </c>
    </row>
    <row r="32" spans="1:16" x14ac:dyDescent="0.3">
      <c r="A32" s="305" t="s">
        <v>1</v>
      </c>
      <c r="B32" s="306" t="s">
        <v>649</v>
      </c>
      <c r="C32" s="22">
        <f>VLOOKUP(A32,'P&amp;L'!$B$5:$L$18,2,FALSE)</f>
        <v>29733.53</v>
      </c>
    </row>
    <row r="33" spans="1:15" x14ac:dyDescent="0.3">
      <c r="A33" s="307" t="s">
        <v>1</v>
      </c>
      <c r="B33" s="308" t="s">
        <v>650</v>
      </c>
      <c r="C33" s="22">
        <f>VLOOKUP(A33,'P&amp;L'!$B$5:$L$18,3,FALSE)</f>
        <v>37214.11</v>
      </c>
      <c r="F33" s="312" t="s">
        <v>649</v>
      </c>
      <c r="G33" s="312" t="s">
        <v>650</v>
      </c>
      <c r="H33" s="312" t="s">
        <v>651</v>
      </c>
      <c r="I33" s="312" t="s">
        <v>652</v>
      </c>
      <c r="J33" s="312" t="s">
        <v>653</v>
      </c>
      <c r="K33" s="312" t="s">
        <v>654</v>
      </c>
      <c r="L33" s="312" t="s">
        <v>655</v>
      </c>
      <c r="M33" s="312" t="s">
        <v>656</v>
      </c>
      <c r="N33" s="312" t="s">
        <v>657</v>
      </c>
      <c r="O33" s="312" t="s">
        <v>658</v>
      </c>
    </row>
    <row r="34" spans="1:15" x14ac:dyDescent="0.3">
      <c r="A34" s="305" t="s">
        <v>1</v>
      </c>
      <c r="B34" s="306" t="s">
        <v>651</v>
      </c>
      <c r="C34" s="22">
        <f>VLOOKUP(A34,'P&amp;L'!$B$5:$L$18,4,FALSE)</f>
        <v>41171.019999999997</v>
      </c>
      <c r="E34" t="s">
        <v>129</v>
      </c>
      <c r="F34" s="313">
        <f>F30</f>
        <v>10291.050000000003</v>
      </c>
      <c r="G34" s="313">
        <f>G30</f>
        <v>12624.869999999988</v>
      </c>
      <c r="H34" s="313">
        <f t="shared" ref="H34:O34" si="0">H30</f>
        <v>15569.720000000001</v>
      </c>
      <c r="I34" s="313">
        <f t="shared" si="0"/>
        <v>17687.39</v>
      </c>
      <c r="J34" s="313">
        <f t="shared" si="0"/>
        <v>19159.399999999976</v>
      </c>
      <c r="K34" s="313">
        <f t="shared" si="0"/>
        <v>19917.492096557529</v>
      </c>
      <c r="L34" s="313">
        <f t="shared" si="0"/>
        <v>24892.288092143281</v>
      </c>
      <c r="M34" s="313">
        <f t="shared" si="0"/>
        <v>30000.294183930535</v>
      </c>
      <c r="N34" s="313">
        <f t="shared" si="0"/>
        <v>34819.267542901354</v>
      </c>
      <c r="O34" s="313">
        <f t="shared" si="0"/>
        <v>39442.881596186897</v>
      </c>
    </row>
    <row r="35" spans="1:15" x14ac:dyDescent="0.3">
      <c r="A35" s="307" t="s">
        <v>1</v>
      </c>
      <c r="B35" s="308" t="s">
        <v>652</v>
      </c>
      <c r="C35" s="22">
        <f>VLOOKUP(A35,'P&amp;L'!$B$5:$L$18,5,FALSE)</f>
        <v>46768.68</v>
      </c>
    </row>
    <row r="36" spans="1:15" x14ac:dyDescent="0.3">
      <c r="A36" s="305" t="s">
        <v>1</v>
      </c>
      <c r="B36" s="306" t="s">
        <v>653</v>
      </c>
      <c r="C36" s="22">
        <f>VLOOKUP(A36,'P&amp;L'!$B$5:$L$18,6,FALSE)</f>
        <v>52187.22</v>
      </c>
    </row>
    <row r="37" spans="1:15" x14ac:dyDescent="0.3">
      <c r="A37" s="307" t="s">
        <v>1</v>
      </c>
      <c r="B37" s="308" t="s">
        <v>654</v>
      </c>
      <c r="C37" s="22">
        <f>VLOOKUP(A37,'P&amp;L'!$B$5:$L$18,7,FALSE)</f>
        <v>58417.464130864311</v>
      </c>
    </row>
    <row r="38" spans="1:15" x14ac:dyDescent="0.3">
      <c r="A38" s="305" t="s">
        <v>1</v>
      </c>
      <c r="B38" s="306" t="s">
        <v>655</v>
      </c>
      <c r="C38" s="22">
        <f>VLOOKUP(A38,'P&amp;L'!$B$5:$L$18,8,FALSE)</f>
        <v>65391.490780325497</v>
      </c>
    </row>
    <row r="39" spans="1:15" x14ac:dyDescent="0.3">
      <c r="A39" s="307" t="s">
        <v>1</v>
      </c>
      <c r="B39" s="308" t="s">
        <v>656</v>
      </c>
      <c r="C39" s="22">
        <f>VLOOKUP(A39,'P&amp;L'!$B$5:$L$18,9,FALSE)</f>
        <v>73198.094612501081</v>
      </c>
    </row>
    <row r="40" spans="1:15" x14ac:dyDescent="0.3">
      <c r="A40" s="305" t="s">
        <v>1</v>
      </c>
      <c r="B40" s="306" t="s">
        <v>657</v>
      </c>
      <c r="C40" s="22">
        <f>VLOOKUP(A40,'P&amp;L'!$B$5:$L$18,10,FALSE)</f>
        <v>81936.670826179165</v>
      </c>
    </row>
    <row r="41" spans="1:15" x14ac:dyDescent="0.3">
      <c r="A41" s="307" t="s">
        <v>1</v>
      </c>
      <c r="B41" s="308" t="s">
        <v>658</v>
      </c>
      <c r="C41" s="22">
        <f>VLOOKUP(A41,'P&amp;L'!$B$5:$L$18,11,FALSE)</f>
        <v>91718.480673826984</v>
      </c>
    </row>
    <row r="42" spans="1:15" x14ac:dyDescent="0.3">
      <c r="A42" s="305" t="s">
        <v>2</v>
      </c>
      <c r="B42" s="306" t="s">
        <v>649</v>
      </c>
      <c r="C42" s="22">
        <f>VLOOKUP(A42,'P&amp;L'!$B$5:$L$18,2,FALSE)</f>
        <v>8734.9599999999991</v>
      </c>
    </row>
    <row r="43" spans="1:15" x14ac:dyDescent="0.3">
      <c r="A43" s="307" t="s">
        <v>2</v>
      </c>
      <c r="B43" s="308" t="s">
        <v>650</v>
      </c>
      <c r="C43" s="22">
        <f>VLOOKUP(A43,'P&amp;L'!$B$5:$L$18,3,FALSE)</f>
        <v>8622.0500000000011</v>
      </c>
    </row>
    <row r="44" spans="1:15" x14ac:dyDescent="0.3">
      <c r="A44" s="305" t="s">
        <v>2</v>
      </c>
      <c r="B44" s="306" t="s">
        <v>651</v>
      </c>
      <c r="C44" s="22">
        <f>VLOOKUP(A44,'P&amp;L'!$B$5:$L$18,4,FALSE)</f>
        <v>10325.81</v>
      </c>
    </row>
    <row r="45" spans="1:15" x14ac:dyDescent="0.3">
      <c r="A45" s="307" t="s">
        <v>2</v>
      </c>
      <c r="B45" s="308" t="s">
        <v>652</v>
      </c>
      <c r="C45" s="22">
        <f>VLOOKUP(A45,'P&amp;L'!$B$5:$L$18,5,FALSE)</f>
        <v>11083.349999999999</v>
      </c>
    </row>
    <row r="46" spans="1:15" x14ac:dyDescent="0.3">
      <c r="A46" s="305" t="s">
        <v>2</v>
      </c>
      <c r="B46" s="306" t="s">
        <v>653</v>
      </c>
      <c r="C46" s="22">
        <f>VLOOKUP(A46,'P&amp;L'!$B$5:$L$18,6,FALSE)</f>
        <v>173927.5</v>
      </c>
    </row>
    <row r="47" spans="1:15" x14ac:dyDescent="0.3">
      <c r="A47" s="307" t="s">
        <v>2</v>
      </c>
      <c r="B47" s="308" t="s">
        <v>654</v>
      </c>
      <c r="C47" s="22">
        <f>VLOOKUP(A47,'P&amp;L'!$B$5:$L$18,7,FALSE)</f>
        <v>45511.525461630525</v>
      </c>
    </row>
    <row r="48" spans="1:15" x14ac:dyDescent="0.3">
      <c r="A48" s="305" t="s">
        <v>2</v>
      </c>
      <c r="B48" s="306" t="s">
        <v>655</v>
      </c>
      <c r="C48" s="22">
        <f>VLOOKUP(A48,'P&amp;L'!$B$5:$L$18,8,FALSE)</f>
        <v>52422.041153043028</v>
      </c>
    </row>
    <row r="49" spans="1:3" x14ac:dyDescent="0.3">
      <c r="A49" s="307" t="s">
        <v>2</v>
      </c>
      <c r="B49" s="308" t="s">
        <v>656</v>
      </c>
      <c r="C49" s="22">
        <f>VLOOKUP(A49,'P&amp;L'!$B$5:$L$18,9,FALSE)</f>
        <v>59857.636069376953</v>
      </c>
    </row>
    <row r="50" spans="1:3" x14ac:dyDescent="0.3">
      <c r="A50" s="305" t="s">
        <v>2</v>
      </c>
      <c r="B50" s="306" t="s">
        <v>657</v>
      </c>
      <c r="C50" s="22">
        <f>VLOOKUP(A50,'P&amp;L'!$B$5:$L$18,10,FALSE)</f>
        <v>67749.326868671284</v>
      </c>
    </row>
    <row r="51" spans="1:3" x14ac:dyDescent="0.3">
      <c r="A51" s="307" t="s">
        <v>2</v>
      </c>
      <c r="B51" s="308" t="s">
        <v>658</v>
      </c>
      <c r="C51" s="22">
        <f>VLOOKUP(A51,'P&amp;L'!$B$5:$L$18,11,FALSE)</f>
        <v>76003.972832616346</v>
      </c>
    </row>
    <row r="52" spans="1:3" x14ac:dyDescent="0.3">
      <c r="A52" s="305" t="s">
        <v>58</v>
      </c>
      <c r="B52" s="306" t="s">
        <v>649</v>
      </c>
      <c r="C52" s="22">
        <f>VLOOKUP(A52,'P&amp;L'!$B$5:$L$18,2,FALSE)</f>
        <v>20581.310000000005</v>
      </c>
    </row>
    <row r="53" spans="1:3" x14ac:dyDescent="0.3">
      <c r="A53" s="307" t="s">
        <v>58</v>
      </c>
      <c r="B53" s="308" t="s">
        <v>650</v>
      </c>
      <c r="C53" s="22">
        <f>VLOOKUP(A53,'P&amp;L'!$B$5:$L$18,3,FALSE)</f>
        <v>23818.439999999988</v>
      </c>
    </row>
    <row r="54" spans="1:3" x14ac:dyDescent="0.3">
      <c r="A54" s="305" t="s">
        <v>58</v>
      </c>
      <c r="B54" s="306" t="s">
        <v>651</v>
      </c>
      <c r="C54" s="22">
        <f>VLOOKUP(A54,'P&amp;L'!$B$5:$L$18,4,FALSE)</f>
        <v>27745.29</v>
      </c>
    </row>
    <row r="55" spans="1:3" x14ac:dyDescent="0.3">
      <c r="A55" s="307" t="s">
        <v>58</v>
      </c>
      <c r="B55" s="308" t="s">
        <v>652</v>
      </c>
      <c r="C55" s="22">
        <f>VLOOKUP(A55,'P&amp;L'!$B$5:$L$18,5,FALSE)</f>
        <v>31034.339999999997</v>
      </c>
    </row>
    <row r="56" spans="1:3" x14ac:dyDescent="0.3">
      <c r="A56" s="305" t="s">
        <v>58</v>
      </c>
      <c r="B56" s="306" t="s">
        <v>653</v>
      </c>
      <c r="C56" s="22">
        <f>VLOOKUP(A56,'P&amp;L'!$B$5:$L$18,6,FALSE)</f>
        <v>33189.379999999976</v>
      </c>
    </row>
    <row r="57" spans="1:3" x14ac:dyDescent="0.3">
      <c r="A57" s="307" t="s">
        <v>58</v>
      </c>
      <c r="B57" s="308" t="s">
        <v>654</v>
      </c>
      <c r="C57" s="22">
        <f>VLOOKUP(A57,'P&amp;L'!$B$5:$L$18,7,FALSE)</f>
        <v>35730.63358348616</v>
      </c>
    </row>
    <row r="58" spans="1:3" x14ac:dyDescent="0.3">
      <c r="A58" s="305" t="s">
        <v>58</v>
      </c>
      <c r="B58" s="306" t="s">
        <v>655</v>
      </c>
      <c r="C58" s="22">
        <f>VLOOKUP(A58,'P&amp;L'!$B$5:$L$18,8,FALSE)</f>
        <v>43052.148557215973</v>
      </c>
    </row>
    <row r="59" spans="1:3" x14ac:dyDescent="0.3">
      <c r="A59" s="307" t="s">
        <v>58</v>
      </c>
      <c r="B59" s="308" t="s">
        <v>656</v>
      </c>
      <c r="C59" s="22">
        <f>VLOOKUP(A59,'P&amp;L'!$B$5:$L$18,9,FALSE)</f>
        <v>50627.299338770579</v>
      </c>
    </row>
    <row r="60" spans="1:3" x14ac:dyDescent="0.3">
      <c r="A60" s="305" t="s">
        <v>58</v>
      </c>
      <c r="B60" s="306" t="s">
        <v>657</v>
      </c>
      <c r="C60" s="22">
        <f>VLOOKUP(A60,'P&amp;L'!$B$5:$L$18,10,FALSE)</f>
        <v>58213.98730745427</v>
      </c>
    </row>
    <row r="61" spans="1:3" x14ac:dyDescent="0.3">
      <c r="A61" s="307" t="s">
        <v>58</v>
      </c>
      <c r="B61" s="308" t="s">
        <v>658</v>
      </c>
      <c r="C61" s="22">
        <f>VLOOKUP(A61,'P&amp;L'!$B$5:$L$18,11,FALSE)</f>
        <v>65508.274271065093</v>
      </c>
    </row>
    <row r="62" spans="1:3" x14ac:dyDescent="0.3">
      <c r="A62" s="305" t="s">
        <v>59</v>
      </c>
      <c r="B62" s="306" t="s">
        <v>649</v>
      </c>
      <c r="C62" s="22">
        <f>VLOOKUP(A62,'P&amp;L'!$B$5:$L$18,2,FALSE)</f>
        <v>2947.95</v>
      </c>
    </row>
    <row r="63" spans="1:3" x14ac:dyDescent="0.3">
      <c r="A63" s="307" t="s">
        <v>59</v>
      </c>
      <c r="B63" s="308" t="s">
        <v>650</v>
      </c>
      <c r="C63" s="22">
        <f>VLOOKUP(A63,'P&amp;L'!$B$5:$L$18,3,FALSE)</f>
        <v>3502.25</v>
      </c>
    </row>
    <row r="64" spans="1:3" x14ac:dyDescent="0.3">
      <c r="A64" s="305" t="s">
        <v>59</v>
      </c>
      <c r="B64" s="306" t="s">
        <v>651</v>
      </c>
      <c r="C64" s="22">
        <f>VLOOKUP(A64,'P&amp;L'!$B$5:$L$18,4,FALSE)</f>
        <v>3682.33</v>
      </c>
    </row>
    <row r="65" spans="1:3" x14ac:dyDescent="0.3">
      <c r="A65" s="307" t="s">
        <v>59</v>
      </c>
      <c r="B65" s="308" t="s">
        <v>652</v>
      </c>
      <c r="C65" s="22">
        <f>VLOOKUP(A65,'P&amp;L'!$B$5:$L$18,5,FALSE)</f>
        <v>4121.18</v>
      </c>
    </row>
    <row r="66" spans="1:3" x14ac:dyDescent="0.3">
      <c r="A66" s="305" t="s">
        <v>59</v>
      </c>
      <c r="B66" s="306" t="s">
        <v>653</v>
      </c>
      <c r="C66" s="22">
        <f>VLOOKUP(A66,'P&amp;L'!$B$5:$L$18,6,FALSE)</f>
        <v>4364.75</v>
      </c>
    </row>
    <row r="67" spans="1:3" x14ac:dyDescent="0.3">
      <c r="A67" s="307" t="s">
        <v>59</v>
      </c>
      <c r="B67" s="308" t="s">
        <v>654</v>
      </c>
      <c r="C67" s="22">
        <f>VLOOKUP(A67,'P&amp;L'!$B$5:$L$18,7,FALSE)</f>
        <v>5148.0873997786912</v>
      </c>
    </row>
    <row r="68" spans="1:3" x14ac:dyDescent="0.3">
      <c r="A68" s="305" t="s">
        <v>59</v>
      </c>
      <c r="B68" s="306" t="s">
        <v>655</v>
      </c>
      <c r="C68" s="22">
        <f>VLOOKUP(A68,'P&amp;L'!$B$5:$L$18,8,FALSE)</f>
        <v>5631.5295830777759</v>
      </c>
    </row>
    <row r="69" spans="1:3" x14ac:dyDescent="0.3">
      <c r="A69" s="307" t="s">
        <v>59</v>
      </c>
      <c r="B69" s="308" t="s">
        <v>656</v>
      </c>
      <c r="C69" s="22">
        <f>VLOOKUP(A69,'P&amp;L'!$B$5:$L$18,9,FALSE)</f>
        <v>6169.9580267576011</v>
      </c>
    </row>
    <row r="70" spans="1:3" x14ac:dyDescent="0.3">
      <c r="A70" s="305" t="s">
        <v>59</v>
      </c>
      <c r="B70" s="306" t="s">
        <v>657</v>
      </c>
      <c r="C70" s="22">
        <f>VLOOKUP(A70,'P&amp;L'!$B$5:$L$18,10,FALSE)</f>
        <v>7133.876915597134</v>
      </c>
    </row>
    <row r="71" spans="1:3" x14ac:dyDescent="0.3">
      <c r="A71" s="307" t="s">
        <v>59</v>
      </c>
      <c r="B71" s="308" t="s">
        <v>658</v>
      </c>
      <c r="C71" s="22">
        <f>VLOOKUP(A71,'P&amp;L'!$B$5:$L$18,11,FALSE)</f>
        <v>8170.6639334534175</v>
      </c>
    </row>
    <row r="72" spans="1:3" x14ac:dyDescent="0.3">
      <c r="A72" s="305" t="s">
        <v>60</v>
      </c>
      <c r="B72" s="306" t="s">
        <v>649</v>
      </c>
      <c r="C72" s="22">
        <f>VLOOKUP(A72,'P&amp;L'!$B$5:$L$18,2,FALSE)</f>
        <v>17633.360000000004</v>
      </c>
    </row>
    <row r="73" spans="1:3" x14ac:dyDescent="0.3">
      <c r="A73" s="307" t="s">
        <v>60</v>
      </c>
      <c r="B73" s="308" t="s">
        <v>650</v>
      </c>
      <c r="C73" s="22">
        <f>VLOOKUP(A73,'P&amp;L'!$B$5:$L$18,3,FALSE)</f>
        <v>20316.189999999988</v>
      </c>
    </row>
    <row r="74" spans="1:3" x14ac:dyDescent="0.3">
      <c r="A74" s="305" t="s">
        <v>60</v>
      </c>
      <c r="B74" s="306" t="s">
        <v>651</v>
      </c>
      <c r="C74" s="22">
        <f>VLOOKUP(A74,'P&amp;L'!$B$5:$L$18,4,FALSE)</f>
        <v>24062.959999999999</v>
      </c>
    </row>
    <row r="75" spans="1:3" x14ac:dyDescent="0.3">
      <c r="A75" s="307" t="s">
        <v>60</v>
      </c>
      <c r="B75" s="308" t="s">
        <v>652</v>
      </c>
      <c r="C75" s="22">
        <f>VLOOKUP(A75,'P&amp;L'!$B$5:$L$18,5,FALSE)</f>
        <v>26913.159999999996</v>
      </c>
    </row>
    <row r="76" spans="1:3" x14ac:dyDescent="0.3">
      <c r="A76" s="305" t="s">
        <v>60</v>
      </c>
      <c r="B76" s="306" t="s">
        <v>653</v>
      </c>
      <c r="C76" s="22">
        <f>VLOOKUP(A76,'P&amp;L'!$B$5:$L$18,6,FALSE)</f>
        <v>28824.629999999976</v>
      </c>
    </row>
    <row r="77" spans="1:3" x14ac:dyDescent="0.3">
      <c r="A77" s="307" t="s">
        <v>60</v>
      </c>
      <c r="B77" s="308" t="s">
        <v>654</v>
      </c>
      <c r="C77" s="22">
        <f>VLOOKUP(A77,'P&amp;L'!$B$5:$L$18,7,FALSE)</f>
        <v>30582.546183707469</v>
      </c>
    </row>
    <row r="78" spans="1:3" x14ac:dyDescent="0.3">
      <c r="A78" s="305" t="s">
        <v>60</v>
      </c>
      <c r="B78" s="306" t="s">
        <v>655</v>
      </c>
      <c r="C78" s="22">
        <f>VLOOKUP(A78,'P&amp;L'!$B$5:$L$18,8,FALSE)</f>
        <v>37420.618974138197</v>
      </c>
    </row>
    <row r="79" spans="1:3" x14ac:dyDescent="0.3">
      <c r="A79" s="307" t="s">
        <v>60</v>
      </c>
      <c r="B79" s="308" t="s">
        <v>656</v>
      </c>
      <c r="C79" s="22">
        <f>VLOOKUP(A79,'P&amp;L'!$B$5:$L$18,9,FALSE)</f>
        <v>44457.341312012977</v>
      </c>
    </row>
    <row r="80" spans="1:3" x14ac:dyDescent="0.3">
      <c r="A80" s="305" t="s">
        <v>60</v>
      </c>
      <c r="B80" s="306" t="s">
        <v>657</v>
      </c>
      <c r="C80" s="22">
        <f>VLOOKUP(A80,'P&amp;L'!$B$5:$L$18,10,FALSE)</f>
        <v>51080.110391857139</v>
      </c>
    </row>
    <row r="81" spans="1:3" x14ac:dyDescent="0.3">
      <c r="A81" s="307" t="s">
        <v>60</v>
      </c>
      <c r="B81" s="308" t="s">
        <v>658</v>
      </c>
      <c r="C81" s="22">
        <f>VLOOKUP(A81,'P&amp;L'!$B$5:$L$18,11,FALSE)</f>
        <v>57337.610337611673</v>
      </c>
    </row>
    <row r="82" spans="1:3" x14ac:dyDescent="0.3">
      <c r="A82" s="305" t="s">
        <v>4</v>
      </c>
      <c r="B82" s="306" t="s">
        <v>649</v>
      </c>
      <c r="C82" s="22">
        <f>VLOOKUP(A82,'P&amp;L'!$B$5:$L$18,2,FALSE)</f>
        <v>3125.7</v>
      </c>
    </row>
    <row r="83" spans="1:3" x14ac:dyDescent="0.3">
      <c r="A83" s="307" t="s">
        <v>4</v>
      </c>
      <c r="B83" s="308" t="s">
        <v>650</v>
      </c>
      <c r="C83" s="22">
        <f>VLOOKUP(A83,'P&amp;L'!$B$5:$L$18,3,FALSE)</f>
        <v>3207.16</v>
      </c>
    </row>
    <row r="84" spans="1:3" x14ac:dyDescent="0.3">
      <c r="A84" s="305" t="s">
        <v>4</v>
      </c>
      <c r="B84" s="306" t="s">
        <v>651</v>
      </c>
      <c r="C84" s="22">
        <f>VLOOKUP(A84,'P&amp;L'!$B$5:$L$18,4,FALSE)</f>
        <v>3545.85</v>
      </c>
    </row>
    <row r="85" spans="1:3" x14ac:dyDescent="0.3">
      <c r="A85" s="307" t="s">
        <v>4</v>
      </c>
      <c r="B85" s="308" t="s">
        <v>652</v>
      </c>
      <c r="C85" s="22">
        <f>VLOOKUP(A85,'P&amp;L'!$B$5:$L$18,5,FALSE)</f>
        <v>3334.37</v>
      </c>
    </row>
    <row r="86" spans="1:3" x14ac:dyDescent="0.3">
      <c r="A86" s="305" t="s">
        <v>4</v>
      </c>
      <c r="B86" s="306" t="s">
        <v>653</v>
      </c>
      <c r="C86" s="22">
        <f>VLOOKUP(A86,'P&amp;L'!$B$5:$L$18,6,FALSE)</f>
        <v>2848.82</v>
      </c>
    </row>
    <row r="87" spans="1:3" x14ac:dyDescent="0.3">
      <c r="A87" s="307" t="s">
        <v>4</v>
      </c>
      <c r="B87" s="308" t="s">
        <v>654</v>
      </c>
      <c r="C87" s="22">
        <f>VLOOKUP(A87,'P&amp;L'!$B$5:$L$18,7,FALSE)</f>
        <v>3298.310434998521</v>
      </c>
    </row>
    <row r="88" spans="1:3" x14ac:dyDescent="0.3">
      <c r="A88" s="305" t="s">
        <v>4</v>
      </c>
      <c r="B88" s="306" t="s">
        <v>655</v>
      </c>
      <c r="C88" s="22">
        <f>VLOOKUP(A88,'P&amp;L'!$B$5:$L$18,8,FALSE)</f>
        <v>3321.5941903802709</v>
      </c>
    </row>
    <row r="89" spans="1:3" x14ac:dyDescent="0.3">
      <c r="A89" s="307" t="s">
        <v>4</v>
      </c>
      <c r="B89" s="308" t="s">
        <v>656</v>
      </c>
      <c r="C89" s="22">
        <f>VLOOKUP(A89,'P&amp;L'!$B$5:$L$18,9,FALSE)</f>
        <v>3361.0479093684025</v>
      </c>
    </row>
    <row r="90" spans="1:3" x14ac:dyDescent="0.3">
      <c r="A90" s="305" t="s">
        <v>4</v>
      </c>
      <c r="B90" s="306" t="s">
        <v>657</v>
      </c>
      <c r="C90" s="22">
        <f>VLOOKUP(A90,'P&amp;L'!$B$5:$L$18,10,FALSE)</f>
        <v>3382.4836207593894</v>
      </c>
    </row>
    <row r="91" spans="1:3" x14ac:dyDescent="0.3">
      <c r="A91" s="307" t="s">
        <v>4</v>
      </c>
      <c r="B91" s="308" t="s">
        <v>658</v>
      </c>
      <c r="C91" s="22">
        <f>VLOOKUP(A91,'P&amp;L'!$B$5:$L$18,11,FALSE)</f>
        <v>3306.2656853008534</v>
      </c>
    </row>
    <row r="92" spans="1:3" x14ac:dyDescent="0.3">
      <c r="A92" s="305" t="s">
        <v>61</v>
      </c>
      <c r="B92" s="306" t="s">
        <v>649</v>
      </c>
      <c r="C92" s="22">
        <f>VLOOKUP(A92,'P&amp;L'!$B$5:$L$18,2,FALSE)</f>
        <v>14507.660000000003</v>
      </c>
    </row>
    <row r="93" spans="1:3" x14ac:dyDescent="0.3">
      <c r="A93" s="307" t="s">
        <v>61</v>
      </c>
      <c r="B93" s="308" t="s">
        <v>650</v>
      </c>
      <c r="C93" s="22">
        <f>VLOOKUP(A93,'P&amp;L'!$B$5:$L$18,3,FALSE)</f>
        <v>17109.029999999988</v>
      </c>
    </row>
    <row r="94" spans="1:3" x14ac:dyDescent="0.3">
      <c r="A94" s="305" t="s">
        <v>61</v>
      </c>
      <c r="B94" s="306" t="s">
        <v>651</v>
      </c>
      <c r="C94" s="22">
        <f>VLOOKUP(A94,'P&amp;L'!$B$5:$L$18,4,FALSE)</f>
        <v>20517.11</v>
      </c>
    </row>
    <row r="95" spans="1:3" x14ac:dyDescent="0.3">
      <c r="A95" s="307" t="s">
        <v>61</v>
      </c>
      <c r="B95" s="308" t="s">
        <v>652</v>
      </c>
      <c r="C95" s="22">
        <f>VLOOKUP(A95,'P&amp;L'!$B$5:$L$18,5,FALSE)</f>
        <v>23578.789999999997</v>
      </c>
    </row>
    <row r="96" spans="1:3" x14ac:dyDescent="0.3">
      <c r="A96" s="305" t="s">
        <v>61</v>
      </c>
      <c r="B96" s="306" t="s">
        <v>653</v>
      </c>
      <c r="C96" s="22">
        <f>VLOOKUP(A96,'P&amp;L'!$B$5:$L$18,6,FALSE)</f>
        <v>25975.809999999976</v>
      </c>
    </row>
    <row r="97" spans="1:3" x14ac:dyDescent="0.3">
      <c r="A97" s="307" t="s">
        <v>61</v>
      </c>
      <c r="B97" s="308" t="s">
        <v>654</v>
      </c>
      <c r="C97" s="22">
        <f>VLOOKUP(A97,'P&amp;L'!$B$5:$L$18,7,FALSE)</f>
        <v>27284.235748708947</v>
      </c>
    </row>
    <row r="98" spans="1:3" x14ac:dyDescent="0.3">
      <c r="A98" s="305" t="s">
        <v>61</v>
      </c>
      <c r="B98" s="306" t="s">
        <v>655</v>
      </c>
      <c r="C98" s="22">
        <f>VLOOKUP(A98,'P&amp;L'!$B$5:$L$18,8,FALSE)</f>
        <v>34099.024783757923</v>
      </c>
    </row>
    <row r="99" spans="1:3" x14ac:dyDescent="0.3">
      <c r="A99" s="307" t="s">
        <v>61</v>
      </c>
      <c r="B99" s="308" t="s">
        <v>656</v>
      </c>
      <c r="C99" s="22">
        <f>VLOOKUP(A99,'P&amp;L'!$B$5:$L$18,9,FALSE)</f>
        <v>41096.293402644573</v>
      </c>
    </row>
    <row r="100" spans="1:3" x14ac:dyDescent="0.3">
      <c r="A100" s="305" t="s">
        <v>61</v>
      </c>
      <c r="B100" s="306" t="s">
        <v>657</v>
      </c>
      <c r="C100" s="22">
        <f>VLOOKUP(A100,'P&amp;L'!$B$5:$L$18,10,FALSE)</f>
        <v>47697.626771097748</v>
      </c>
    </row>
    <row r="101" spans="1:3" x14ac:dyDescent="0.3">
      <c r="A101" s="307" t="s">
        <v>61</v>
      </c>
      <c r="B101" s="308" t="s">
        <v>658</v>
      </c>
      <c r="C101" s="22">
        <f>VLOOKUP(A101,'P&amp;L'!$B$5:$L$18,11,FALSE)</f>
        <v>54031.344652310821</v>
      </c>
    </row>
    <row r="102" spans="1:3" x14ac:dyDescent="0.3">
      <c r="A102" s="305" t="s">
        <v>62</v>
      </c>
      <c r="B102" s="306" t="s">
        <v>649</v>
      </c>
      <c r="C102" s="22">
        <f>VLOOKUP(A102,'P&amp;L'!$B$5:$L$18,2,FALSE)</f>
        <v>4216.6099999999997</v>
      </c>
    </row>
    <row r="103" spans="1:3" x14ac:dyDescent="0.3">
      <c r="A103" s="307" t="s">
        <v>62</v>
      </c>
      <c r="B103" s="308" t="s">
        <v>650</v>
      </c>
      <c r="C103" s="22">
        <f>VLOOKUP(A103,'P&amp;L'!$B$5:$L$18,3,FALSE)</f>
        <v>4484.16</v>
      </c>
    </row>
    <row r="104" spans="1:3" x14ac:dyDescent="0.3">
      <c r="A104" s="305" t="s">
        <v>62</v>
      </c>
      <c r="B104" s="306" t="s">
        <v>651</v>
      </c>
      <c r="C104" s="22">
        <f>VLOOKUP(A104,'P&amp;L'!$B$5:$L$18,4,FALSE)</f>
        <v>4947.3900000000003</v>
      </c>
    </row>
    <row r="105" spans="1:3" x14ac:dyDescent="0.3">
      <c r="A105" s="307" t="s">
        <v>62</v>
      </c>
      <c r="B105" s="308" t="s">
        <v>652</v>
      </c>
      <c r="C105" s="22">
        <f>VLOOKUP(A105,'P&amp;L'!$B$5:$L$18,5,FALSE)</f>
        <v>5891.4</v>
      </c>
    </row>
    <row r="106" spans="1:3" x14ac:dyDescent="0.3">
      <c r="A106" s="305" t="s">
        <v>62</v>
      </c>
      <c r="B106" s="306" t="s">
        <v>653</v>
      </c>
      <c r="C106" s="22">
        <f>VLOOKUP(A106,'P&amp;L'!$B$5:$L$18,6,FALSE)</f>
        <v>6816.41</v>
      </c>
    </row>
    <row r="107" spans="1:3" x14ac:dyDescent="0.3">
      <c r="A107" s="307" t="s">
        <v>62</v>
      </c>
      <c r="B107" s="308" t="s">
        <v>654</v>
      </c>
      <c r="C107" s="22">
        <f>VLOOKUP(A107,'P&amp;L'!$B$5:$L$18,7,FALSE)</f>
        <v>7366.7436521514164</v>
      </c>
    </row>
    <row r="108" spans="1:3" x14ac:dyDescent="0.3">
      <c r="A108" s="305" t="s">
        <v>62</v>
      </c>
      <c r="B108" s="306" t="s">
        <v>655</v>
      </c>
      <c r="C108" s="22">
        <f>VLOOKUP(A108,'P&amp;L'!$B$5:$L$18,8,FALSE)</f>
        <v>9206.7366916146402</v>
      </c>
    </row>
    <row r="109" spans="1:3" x14ac:dyDescent="0.3">
      <c r="A109" s="307" t="s">
        <v>62</v>
      </c>
      <c r="B109" s="308" t="s">
        <v>656</v>
      </c>
      <c r="C109" s="22">
        <f>VLOOKUP(A109,'P&amp;L'!$B$5:$L$18,9,FALSE)</f>
        <v>11095.999218714036</v>
      </c>
    </row>
    <row r="110" spans="1:3" x14ac:dyDescent="0.3">
      <c r="A110" s="305" t="s">
        <v>62</v>
      </c>
      <c r="B110" s="306" t="s">
        <v>657</v>
      </c>
      <c r="C110" s="22">
        <f>VLOOKUP(A110,'P&amp;L'!$B$5:$L$18,10,FALSE)</f>
        <v>12878.359228196392</v>
      </c>
    </row>
    <row r="111" spans="1:3" x14ac:dyDescent="0.3">
      <c r="A111" s="307" t="s">
        <v>62</v>
      </c>
      <c r="B111" s="308" t="s">
        <v>658</v>
      </c>
      <c r="C111" s="22">
        <f>VLOOKUP(A111,'P&amp;L'!$B$5:$L$18,11,FALSE)</f>
        <v>14588.463056123923</v>
      </c>
    </row>
    <row r="112" spans="1:3" x14ac:dyDescent="0.3">
      <c r="A112" s="305" t="s">
        <v>63</v>
      </c>
      <c r="B112" s="306" t="s">
        <v>649</v>
      </c>
      <c r="C112" s="22">
        <f>VLOOKUP(A112,'P&amp;L'!$B$5:$L$18,2,FALSE)</f>
        <v>10291.050000000003</v>
      </c>
    </row>
    <row r="113" spans="1:3" x14ac:dyDescent="0.3">
      <c r="A113" s="307" t="s">
        <v>63</v>
      </c>
      <c r="B113" s="308" t="s">
        <v>650</v>
      </c>
      <c r="C113" s="22">
        <f>VLOOKUP(A113,'P&amp;L'!$B$5:$L$18,3,FALSE)</f>
        <v>12624.869999999988</v>
      </c>
    </row>
    <row r="114" spans="1:3" x14ac:dyDescent="0.3">
      <c r="A114" s="305" t="s">
        <v>63</v>
      </c>
      <c r="B114" s="306" t="s">
        <v>651</v>
      </c>
      <c r="C114" s="22">
        <f>VLOOKUP(A114,'P&amp;L'!$B$5:$L$18,4,FALSE)</f>
        <v>15569.720000000001</v>
      </c>
    </row>
    <row r="115" spans="1:3" x14ac:dyDescent="0.3">
      <c r="A115" s="307" t="s">
        <v>63</v>
      </c>
      <c r="B115" s="308" t="s">
        <v>652</v>
      </c>
      <c r="C115" s="22">
        <f>VLOOKUP(A115,'P&amp;L'!$B$5:$L$18,5,FALSE)</f>
        <v>17687.39</v>
      </c>
    </row>
    <row r="116" spans="1:3" x14ac:dyDescent="0.3">
      <c r="A116" s="305" t="s">
        <v>63</v>
      </c>
      <c r="B116" s="306" t="s">
        <v>653</v>
      </c>
      <c r="C116" s="22">
        <f>VLOOKUP(A116,'P&amp;L'!$B$5:$L$18,6,FALSE)</f>
        <v>19159.399999999976</v>
      </c>
    </row>
    <row r="117" spans="1:3" x14ac:dyDescent="0.3">
      <c r="A117" s="307" t="s">
        <v>63</v>
      </c>
      <c r="B117" s="308" t="s">
        <v>654</v>
      </c>
      <c r="C117" s="22">
        <f>VLOOKUP(A117,'P&amp;L'!$B$5:$L$18,7,FALSE)</f>
        <v>19917.492096557529</v>
      </c>
    </row>
    <row r="118" spans="1:3" x14ac:dyDescent="0.3">
      <c r="A118" s="305" t="s">
        <v>63</v>
      </c>
      <c r="B118" s="306" t="s">
        <v>655</v>
      </c>
      <c r="C118" s="22">
        <f>VLOOKUP(A118,'P&amp;L'!$B$5:$L$18,8,FALSE)</f>
        <v>24892.288092143281</v>
      </c>
    </row>
    <row r="119" spans="1:3" x14ac:dyDescent="0.3">
      <c r="A119" s="307" t="s">
        <v>63</v>
      </c>
      <c r="B119" s="308" t="s">
        <v>656</v>
      </c>
      <c r="C119" s="22">
        <f>VLOOKUP(A119,'P&amp;L'!$B$5:$L$18,9,FALSE)</f>
        <v>30000.294183930535</v>
      </c>
    </row>
    <row r="120" spans="1:3" x14ac:dyDescent="0.3">
      <c r="A120" s="305" t="s">
        <v>63</v>
      </c>
      <c r="B120" s="306" t="s">
        <v>657</v>
      </c>
      <c r="C120" s="22">
        <f>VLOOKUP(A120,'P&amp;L'!$B$5:$L$18,10,FALSE)</f>
        <v>34819.267542901354</v>
      </c>
    </row>
    <row r="121" spans="1:3" x14ac:dyDescent="0.3">
      <c r="A121" s="307" t="s">
        <v>63</v>
      </c>
      <c r="B121" s="308" t="s">
        <v>658</v>
      </c>
      <c r="C121" s="22">
        <f>VLOOKUP(A121,'P&amp;L'!$B$5:$L$18,11,FALSE)</f>
        <v>39442.881596186897</v>
      </c>
    </row>
    <row r="122" spans="1:3" x14ac:dyDescent="0.3">
      <c r="A122" s="305" t="s">
        <v>64</v>
      </c>
      <c r="B122" s="306" t="s">
        <v>649</v>
      </c>
      <c r="C122" s="22">
        <f>VLOOKUP(A122,'P&amp;L'!$B$5:$L$18,2,FALSE)</f>
        <v>2528.46</v>
      </c>
    </row>
    <row r="123" spans="1:3" x14ac:dyDescent="0.3">
      <c r="A123" s="307" t="s">
        <v>64</v>
      </c>
      <c r="B123" s="308" t="s">
        <v>650</v>
      </c>
      <c r="C123" s="22">
        <f>VLOOKUP(A123,'P&amp;L'!$B$5:$L$18,3,FALSE)</f>
        <v>3091.42</v>
      </c>
    </row>
    <row r="124" spans="1:3" x14ac:dyDescent="0.3">
      <c r="A124" s="305" t="s">
        <v>64</v>
      </c>
      <c r="B124" s="306" t="s">
        <v>651</v>
      </c>
      <c r="C124" s="22">
        <f>VLOOKUP(A124,'P&amp;L'!$B$5:$L$18,4,FALSE)</f>
        <v>4216.95</v>
      </c>
    </row>
    <row r="125" spans="1:3" x14ac:dyDescent="0.3">
      <c r="A125" s="307" t="s">
        <v>64</v>
      </c>
      <c r="B125" s="308" t="s">
        <v>652</v>
      </c>
      <c r="C125" s="22">
        <f>VLOOKUP(A125,'P&amp;L'!$B$5:$L$18,5,FALSE)</f>
        <v>3849.57</v>
      </c>
    </row>
    <row r="126" spans="1:3" x14ac:dyDescent="0.3">
      <c r="A126" s="305" t="s">
        <v>64</v>
      </c>
      <c r="B126" s="306" t="s">
        <v>653</v>
      </c>
      <c r="C126" s="22">
        <f>VLOOKUP(A126,'P&amp;L'!$B$5:$L$18,6,FALSE)</f>
        <v>3849.57</v>
      </c>
    </row>
    <row r="127" spans="1:3" x14ac:dyDescent="0.3">
      <c r="A127" s="307" t="s">
        <v>64</v>
      </c>
      <c r="B127" s="308" t="s">
        <v>654</v>
      </c>
      <c r="C127" s="22">
        <f>VLOOKUP(A127,'P&amp;L'!$B$5:$L$18,7,FALSE)</f>
        <v>4001.8883707289933</v>
      </c>
    </row>
    <row r="128" spans="1:3" x14ac:dyDescent="0.3">
      <c r="A128" s="305" t="s">
        <v>64</v>
      </c>
      <c r="B128" s="306" t="s">
        <v>655</v>
      </c>
      <c r="C128" s="22">
        <f>VLOOKUP(A128,'P&amp;L'!$B$5:$L$18,8,FALSE)</f>
        <v>5001.4408316999561</v>
      </c>
    </row>
    <row r="129" spans="1:3" x14ac:dyDescent="0.3">
      <c r="A129" s="307" t="s">
        <v>64</v>
      </c>
      <c r="B129" s="308" t="s">
        <v>656</v>
      </c>
      <c r="C129" s="22">
        <f>VLOOKUP(A129,'P&amp;L'!$B$5:$L$18,9,FALSE)</f>
        <v>6027.7583056689473</v>
      </c>
    </row>
    <row r="130" spans="1:3" x14ac:dyDescent="0.3">
      <c r="A130" s="305" t="s">
        <v>64</v>
      </c>
      <c r="B130" s="306" t="s">
        <v>657</v>
      </c>
      <c r="C130" s="22">
        <f>VLOOKUP(A130,'P&amp;L'!$B$5:$L$18,10,FALSE)</f>
        <v>6996.0023672519465</v>
      </c>
    </row>
    <row r="131" spans="1:3" x14ac:dyDescent="0.3">
      <c r="A131" s="307" t="s">
        <v>64</v>
      </c>
      <c r="B131" s="308" t="s">
        <v>658</v>
      </c>
      <c r="C131" s="22">
        <f>VLOOKUP(A131,'P&amp;L'!$B$5:$L$18,11,FALSE)</f>
        <v>7924.9941911663936</v>
      </c>
    </row>
    <row r="132" spans="1:3" x14ac:dyDescent="0.3">
      <c r="A132" s="305" t="s">
        <v>65</v>
      </c>
      <c r="B132" s="306" t="s">
        <v>649</v>
      </c>
      <c r="C132" s="22">
        <f>VLOOKUP(A132,'P&amp;L'!$B$5:$L$18,2,FALSE)</f>
        <v>7762.5900000000029</v>
      </c>
    </row>
    <row r="133" spans="1:3" x14ac:dyDescent="0.3">
      <c r="A133" s="307" t="s">
        <v>65</v>
      </c>
      <c r="B133" s="308" t="s">
        <v>650</v>
      </c>
      <c r="C133" s="22">
        <f>VLOOKUP(A133,'P&amp;L'!$B$5:$L$18,3,FALSE)</f>
        <v>9533.449999999988</v>
      </c>
    </row>
    <row r="134" spans="1:3" x14ac:dyDescent="0.3">
      <c r="A134" s="305" t="s">
        <v>65</v>
      </c>
      <c r="B134" s="306" t="s">
        <v>651</v>
      </c>
      <c r="C134" s="22">
        <f>VLOOKUP(A134,'P&amp;L'!$B$5:$L$18,4,FALSE)</f>
        <v>11352.77</v>
      </c>
    </row>
    <row r="135" spans="1:3" x14ac:dyDescent="0.3">
      <c r="A135" s="307" t="s">
        <v>65</v>
      </c>
      <c r="B135" s="308" t="s">
        <v>652</v>
      </c>
      <c r="C135" s="22">
        <f>VLOOKUP(A135,'P&amp;L'!$B$5:$L$18,5,FALSE)</f>
        <v>13837.82</v>
      </c>
    </row>
    <row r="136" spans="1:3" x14ac:dyDescent="0.3">
      <c r="A136" s="305" t="s">
        <v>65</v>
      </c>
      <c r="B136" s="306" t="s">
        <v>653</v>
      </c>
      <c r="C136" s="22">
        <f>VLOOKUP(A136,'P&amp;L'!$B$5:$L$18,6,FALSE)</f>
        <v>15309.829999999976</v>
      </c>
    </row>
    <row r="137" spans="1:3" x14ac:dyDescent="0.3">
      <c r="A137" s="307" t="s">
        <v>65</v>
      </c>
      <c r="B137" s="308" t="s">
        <v>654</v>
      </c>
      <c r="C137" s="22">
        <f>VLOOKUP(A137,'P&amp;L'!$B$5:$L$18,7,FALSE)</f>
        <v>15915.603725828536</v>
      </c>
    </row>
    <row r="138" spans="1:3" x14ac:dyDescent="0.3">
      <c r="A138" s="305" t="s">
        <v>65</v>
      </c>
      <c r="B138" s="306" t="s">
        <v>655</v>
      </c>
      <c r="C138" s="22">
        <f>VLOOKUP(A138,'P&amp;L'!$B$5:$L$18,8,FALSE)</f>
        <v>19890.847260443326</v>
      </c>
    </row>
    <row r="139" spans="1:3" x14ac:dyDescent="0.3">
      <c r="A139" s="307" t="s">
        <v>65</v>
      </c>
      <c r="B139" s="308" t="s">
        <v>656</v>
      </c>
      <c r="C139" s="22">
        <f>VLOOKUP(A139,'P&amp;L'!$B$5:$L$18,9,FALSE)</f>
        <v>23972.535878261588</v>
      </c>
    </row>
    <row r="140" spans="1:3" x14ac:dyDescent="0.3">
      <c r="A140" s="305" t="s">
        <v>65</v>
      </c>
      <c r="B140" s="306" t="s">
        <v>657</v>
      </c>
      <c r="C140" s="22">
        <f>VLOOKUP(A140,'P&amp;L'!$B$5:$L$18,10,FALSE)</f>
        <v>27823.265175649409</v>
      </c>
    </row>
    <row r="141" spans="1:3" x14ac:dyDescent="0.3">
      <c r="A141" s="309" t="s">
        <v>65</v>
      </c>
      <c r="B141" s="310" t="s">
        <v>658</v>
      </c>
      <c r="C141" s="22">
        <f>VLOOKUP(A141,'P&amp;L'!$B$5:$L$18,11,FALSE)</f>
        <v>31517.887405020505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CE65F-0DAE-4764-B3A5-EDA22D23FB0B}">
  <sheetPr codeName="Sheet4"/>
  <dimension ref="A1:M257"/>
  <sheetViews>
    <sheetView showGridLines="0" topLeftCell="A4" workbookViewId="0">
      <selection activeCell="P28" sqref="P28"/>
    </sheetView>
  </sheetViews>
  <sheetFormatPr defaultRowHeight="14.4" x14ac:dyDescent="0.3"/>
  <cols>
    <col min="1" max="1" width="26.77734375" bestFit="1" customWidth="1"/>
    <col min="2" max="2" width="6.88671875" bestFit="1" customWidth="1"/>
    <col min="5" max="5" width="18.33203125" bestFit="1" customWidth="1"/>
    <col min="6" max="6" width="15.5546875" bestFit="1" customWidth="1"/>
    <col min="7" max="10" width="5" bestFit="1" customWidth="1"/>
    <col min="11" max="11" width="10.77734375" bestFit="1" customWidth="1"/>
  </cols>
  <sheetData>
    <row r="1" spans="1:13" x14ac:dyDescent="0.3">
      <c r="A1" s="302" t="s">
        <v>659</v>
      </c>
      <c r="B1" s="303" t="s">
        <v>365</v>
      </c>
      <c r="C1" s="304" t="s">
        <v>666</v>
      </c>
      <c r="E1" s="311" t="s">
        <v>667</v>
      </c>
      <c r="F1" s="311" t="s">
        <v>662</v>
      </c>
    </row>
    <row r="2" spans="1:13" x14ac:dyDescent="0.3">
      <c r="A2" s="305" t="s">
        <v>199</v>
      </c>
      <c r="B2" s="306" t="s">
        <v>649</v>
      </c>
      <c r="C2" t="str">
        <f>VLOOKUP(A2,Ratios!$B$4:$L$35,2,0)</f>
        <v>-</v>
      </c>
      <c r="E2" s="311" t="s">
        <v>664</v>
      </c>
      <c r="F2" t="s">
        <v>654</v>
      </c>
      <c r="G2" t="s">
        <v>655</v>
      </c>
      <c r="H2" t="s">
        <v>656</v>
      </c>
      <c r="I2" t="s">
        <v>657</v>
      </c>
      <c r="J2" t="s">
        <v>658</v>
      </c>
      <c r="K2" t="s">
        <v>663</v>
      </c>
    </row>
    <row r="3" spans="1:13" x14ac:dyDescent="0.3">
      <c r="A3" s="307" t="s">
        <v>199</v>
      </c>
      <c r="B3" s="308" t="s">
        <v>650</v>
      </c>
      <c r="C3" s="25">
        <f>VLOOKUP(A3,Ratios!$B$4:$L$35,3,0)</f>
        <v>0.17307042313127452</v>
      </c>
      <c r="E3" s="58" t="s">
        <v>211</v>
      </c>
      <c r="F3" s="25">
        <v>0.11426321322013659</v>
      </c>
      <c r="G3" s="25">
        <v>8.884290872898587E-2</v>
      </c>
      <c r="H3" s="25">
        <v>7.4268620234480304E-2</v>
      </c>
      <c r="I3" s="25">
        <v>6.1909182339868758E-2</v>
      </c>
      <c r="J3" s="25">
        <v>5.1321480561634672E-2</v>
      </c>
      <c r="K3" s="25">
        <v>7.8121081017021241E-2</v>
      </c>
    </row>
    <row r="4" spans="1:13" x14ac:dyDescent="0.3">
      <c r="A4" s="305" t="s">
        <v>199</v>
      </c>
      <c r="B4" s="306" t="s">
        <v>651</v>
      </c>
      <c r="C4" s="25">
        <f>VLOOKUP(A4,Ratios!$B$4:$L$35,4,0)</f>
        <v>0.20937938057292893</v>
      </c>
      <c r="E4" s="58" t="s">
        <v>203</v>
      </c>
      <c r="F4" s="25">
        <v>0.41575609818166948</v>
      </c>
      <c r="G4" s="25">
        <v>0.41575609818166948</v>
      </c>
      <c r="H4" s="25">
        <v>0.41575609818166948</v>
      </c>
      <c r="I4" s="25">
        <v>0.41575609818166953</v>
      </c>
      <c r="J4" s="25">
        <v>0.41575609818166948</v>
      </c>
      <c r="K4" s="25">
        <v>0.41575609818166948</v>
      </c>
    </row>
    <row r="5" spans="1:13" x14ac:dyDescent="0.3">
      <c r="A5" s="307" t="s">
        <v>199</v>
      </c>
      <c r="B5" s="308" t="s">
        <v>652</v>
      </c>
      <c r="C5" s="25">
        <f>VLOOKUP(A5,Ratios!$B$4:$L$35,5,0)</f>
        <v>0.15354102042633633</v>
      </c>
      <c r="E5" s="58" t="s">
        <v>207</v>
      </c>
      <c r="F5" s="25">
        <v>5.9292862255503738E-2</v>
      </c>
      <c r="G5" s="25">
        <v>6.4333924678292465E-2</v>
      </c>
      <c r="H5" s="25">
        <v>6.7903960713251901E-2</v>
      </c>
      <c r="I5" s="25">
        <v>6.9631187395322966E-2</v>
      </c>
      <c r="J5" s="25">
        <v>7.0310712099289865E-2</v>
      </c>
      <c r="K5" s="25">
        <v>6.629452942833218E-2</v>
      </c>
    </row>
    <row r="6" spans="1:13" x14ac:dyDescent="0.3">
      <c r="A6" s="305" t="s">
        <v>199</v>
      </c>
      <c r="B6" s="306" t="s">
        <v>653</v>
      </c>
      <c r="C6" s="25">
        <f>VLOOKUP(A6,Ratios!$B$4:$L$35,6,0)</f>
        <v>0.12228068677326775</v>
      </c>
      <c r="E6" s="58" t="s">
        <v>202</v>
      </c>
      <c r="F6" s="25">
        <v>3.9567632418423981E-2</v>
      </c>
      <c r="G6" s="25">
        <v>0.24977020055881316</v>
      </c>
      <c r="H6" s="25">
        <v>0.205204361803907</v>
      </c>
      <c r="I6" s="25">
        <v>0.16063087013166921</v>
      </c>
      <c r="J6" s="25">
        <v>0.13278895219690412</v>
      </c>
      <c r="K6" s="25">
        <v>0.1575924034219435</v>
      </c>
    </row>
    <row r="7" spans="1:13" x14ac:dyDescent="0.3">
      <c r="A7" s="307" t="s">
        <v>199</v>
      </c>
      <c r="B7" s="308" t="s">
        <v>654</v>
      </c>
      <c r="C7" s="25">
        <f>VLOOKUP(A7,Ratios!$B$4:$L$35,7,0)</f>
        <v>0.15184100337921125</v>
      </c>
      <c r="E7" s="58" t="s">
        <v>208</v>
      </c>
      <c r="F7" s="25">
        <v>8.8348952896149829E-2</v>
      </c>
      <c r="G7" s="25">
        <v>9.7572862841249358E-2</v>
      </c>
      <c r="H7" s="25">
        <v>0.10338353869816241</v>
      </c>
      <c r="I7" s="25">
        <v>0.10567172624586431</v>
      </c>
      <c r="J7" s="25">
        <v>0.10595664197177874</v>
      </c>
      <c r="K7" s="25">
        <v>0.10018674453064094</v>
      </c>
    </row>
    <row r="8" spans="1:13" x14ac:dyDescent="0.3">
      <c r="A8" s="305" t="s">
        <v>199</v>
      </c>
      <c r="B8" s="306" t="s">
        <v>655</v>
      </c>
      <c r="C8" s="25">
        <f>VLOOKUP(A8,Ratios!$B$4:$L$35,8,0)</f>
        <v>0.15184100337921125</v>
      </c>
      <c r="E8" s="58" t="s">
        <v>209</v>
      </c>
      <c r="F8" s="25">
        <v>0.22020808831655525</v>
      </c>
      <c r="G8" s="25">
        <v>0.22559755762239633</v>
      </c>
      <c r="H8" s="25">
        <v>0.22336291213143883</v>
      </c>
      <c r="I8" s="25">
        <v>0.2147545865579594</v>
      </c>
      <c r="J8" s="25">
        <v>0.20367809206190007</v>
      </c>
      <c r="K8" s="25">
        <v>0.21752024733804998</v>
      </c>
    </row>
    <row r="9" spans="1:13" x14ac:dyDescent="0.3">
      <c r="A9" s="307" t="s">
        <v>199</v>
      </c>
      <c r="B9" s="308" t="s">
        <v>656</v>
      </c>
      <c r="C9" s="25">
        <f>VLOOKUP(A9,Ratios!$B$4:$L$35,9,0)</f>
        <v>0.14184100337921124</v>
      </c>
      <c r="E9" s="58" t="s">
        <v>199</v>
      </c>
      <c r="F9" s="25">
        <v>0.15184100337921125</v>
      </c>
      <c r="G9" s="25">
        <v>0.15184100337921125</v>
      </c>
      <c r="H9" s="25">
        <v>0.14184100337921124</v>
      </c>
      <c r="I9" s="25">
        <v>0.13184100337921123</v>
      </c>
      <c r="J9" s="25">
        <v>0.12184100337921122</v>
      </c>
      <c r="K9" s="25">
        <v>0.13984100337921124</v>
      </c>
    </row>
    <row r="10" spans="1:13" x14ac:dyDescent="0.3">
      <c r="A10" s="305" t="s">
        <v>199</v>
      </c>
      <c r="B10" s="306" t="s">
        <v>657</v>
      </c>
      <c r="C10" s="25">
        <f>VLOOKUP(A10,Ratios!$B$4:$L$35,10,0)</f>
        <v>0.13184100337921123</v>
      </c>
      <c r="E10" s="58" t="s">
        <v>663</v>
      </c>
      <c r="F10" s="25">
        <v>0.15561112152395001</v>
      </c>
      <c r="G10" s="25">
        <v>0.18481636514151686</v>
      </c>
      <c r="H10" s="25">
        <v>0.17596007073458875</v>
      </c>
      <c r="I10" s="25">
        <v>0.1657420934616522</v>
      </c>
      <c r="J10" s="25">
        <v>0.15737899720748402</v>
      </c>
      <c r="K10" s="25">
        <v>0.16790172961383837</v>
      </c>
    </row>
    <row r="11" spans="1:13" x14ac:dyDescent="0.3">
      <c r="A11" s="307" t="s">
        <v>199</v>
      </c>
      <c r="B11" s="308" t="s">
        <v>658</v>
      </c>
      <c r="C11" s="25">
        <f>VLOOKUP(A11,Ratios!$B$4:$L$35,11,0)</f>
        <v>0.12184100337921122</v>
      </c>
    </row>
    <row r="12" spans="1:13" x14ac:dyDescent="0.3">
      <c r="A12" s="305" t="s">
        <v>200</v>
      </c>
      <c r="B12" s="306" t="s">
        <v>649</v>
      </c>
      <c r="C12" t="str">
        <f>VLOOKUP(A12,Ratios!$B$4:$L$35,2,0)</f>
        <v>-</v>
      </c>
      <c r="F12" s="414" t="s">
        <v>668</v>
      </c>
      <c r="G12" s="365" t="s">
        <v>225</v>
      </c>
    </row>
    <row r="13" spans="1:13" x14ac:dyDescent="0.3">
      <c r="A13" s="307" t="s">
        <v>200</v>
      </c>
      <c r="B13" s="308" t="s">
        <v>650</v>
      </c>
      <c r="C13" s="25">
        <f>VLOOKUP(A13,Ratios!$B$4:$L$35,3,0)</f>
        <v>0.15728493472961547</v>
      </c>
      <c r="E13" s="363" t="s">
        <v>211</v>
      </c>
      <c r="F13" s="364">
        <v>6.1297353275255331E-2</v>
      </c>
      <c r="G13" s="362"/>
      <c r="K13" s="58" t="s">
        <v>211</v>
      </c>
      <c r="M13" s="25">
        <f>K3</f>
        <v>7.8121081017021241E-2</v>
      </c>
    </row>
    <row r="14" spans="1:13" x14ac:dyDescent="0.3">
      <c r="A14" s="305" t="s">
        <v>200</v>
      </c>
      <c r="B14" s="306" t="s">
        <v>651</v>
      </c>
      <c r="C14" s="25">
        <f>VLOOKUP(A14,Ratios!$B$4:$L$35,4,0)</f>
        <v>0.16486596099492723</v>
      </c>
      <c r="E14" s="363" t="s">
        <v>203</v>
      </c>
      <c r="F14" s="172">
        <v>0.46575609818166946</v>
      </c>
      <c r="K14" s="58" t="s">
        <v>203</v>
      </c>
      <c r="M14" s="413">
        <f>K4</f>
        <v>0.41575609818166948</v>
      </c>
    </row>
    <row r="15" spans="1:13" x14ac:dyDescent="0.3">
      <c r="A15" s="307" t="s">
        <v>200</v>
      </c>
      <c r="B15" s="308" t="s">
        <v>652</v>
      </c>
      <c r="C15" s="25">
        <f>VLOOKUP(A15,Ratios!$B$4:$L$35,5,0)</f>
        <v>0.11854444484090787</v>
      </c>
      <c r="E15" s="363" t="s">
        <v>207</v>
      </c>
      <c r="F15" s="172">
        <v>0.11266921654448243</v>
      </c>
      <c r="K15" s="58" t="s">
        <v>207</v>
      </c>
      <c r="M15" s="413">
        <f t="shared" ref="M15:M19" si="0">K5</f>
        <v>6.629452942833218E-2</v>
      </c>
    </row>
    <row r="16" spans="1:13" x14ac:dyDescent="0.3">
      <c r="A16" s="305" t="s">
        <v>200</v>
      </c>
      <c r="B16" s="306" t="s">
        <v>653</v>
      </c>
      <c r="C16" s="25">
        <f>VLOOKUP(A16,Ratios!$B$4:$L$35,6,0)</f>
        <v>6.9440497204064311E-2</v>
      </c>
      <c r="E16" s="363" t="s">
        <v>202</v>
      </c>
      <c r="F16" s="172">
        <v>0.32929254333061458</v>
      </c>
      <c r="K16" s="58" t="s">
        <v>202</v>
      </c>
      <c r="M16" s="413">
        <f t="shared" si="0"/>
        <v>0.1575924034219435</v>
      </c>
    </row>
    <row r="17" spans="1:13" x14ac:dyDescent="0.3">
      <c r="A17" s="307" t="s">
        <v>200</v>
      </c>
      <c r="B17" s="308" t="s">
        <v>654</v>
      </c>
      <c r="C17" s="25">
        <f>VLOOKUP(A17,Ratios!$B$4:$L$35,7,0)</f>
        <v>7.6568275258115381E-2</v>
      </c>
      <c r="E17" s="363" t="s">
        <v>208</v>
      </c>
      <c r="F17" s="172">
        <v>0.15671820192462405</v>
      </c>
      <c r="K17" s="58" t="s">
        <v>208</v>
      </c>
      <c r="M17" s="413">
        <f t="shared" si="0"/>
        <v>0.10018674453064094</v>
      </c>
    </row>
    <row r="18" spans="1:13" x14ac:dyDescent="0.3">
      <c r="A18" s="305" t="s">
        <v>200</v>
      </c>
      <c r="B18" s="306" t="s">
        <v>655</v>
      </c>
      <c r="C18" s="25">
        <f>VLOOKUP(A18,Ratios!$B$4:$L$35,8,0)</f>
        <v>0.2049086243215581</v>
      </c>
      <c r="E18" s="363" t="s">
        <v>209</v>
      </c>
      <c r="F18" s="172">
        <v>0.29685895216978836</v>
      </c>
      <c r="K18" s="58" t="s">
        <v>209</v>
      </c>
      <c r="M18" s="413">
        <f t="shared" si="0"/>
        <v>0.21752024733804998</v>
      </c>
    </row>
    <row r="19" spans="1:13" x14ac:dyDescent="0.3">
      <c r="A19" s="307" t="s">
        <v>200</v>
      </c>
      <c r="B19" s="308" t="s">
        <v>656</v>
      </c>
      <c r="C19" s="25">
        <f>VLOOKUP(A19,Ratios!$B$4:$L$35,9,0)</f>
        <v>0.17595290909784178</v>
      </c>
      <c r="E19" s="363" t="s">
        <v>199</v>
      </c>
      <c r="F19" s="172">
        <v>0.15984100337921126</v>
      </c>
      <c r="K19" s="58" t="s">
        <v>199</v>
      </c>
      <c r="M19" s="413">
        <f t="shared" si="0"/>
        <v>0.13984100337921124</v>
      </c>
    </row>
    <row r="20" spans="1:13" x14ac:dyDescent="0.3">
      <c r="A20" s="305" t="s">
        <v>200</v>
      </c>
      <c r="B20" s="306" t="s">
        <v>657</v>
      </c>
      <c r="C20" s="25">
        <f>VLOOKUP(A20,Ratios!$B$4:$L$35,10,0)</f>
        <v>0.14985369687444061</v>
      </c>
    </row>
    <row r="21" spans="1:13" x14ac:dyDescent="0.3">
      <c r="A21" s="307" t="s">
        <v>200</v>
      </c>
      <c r="B21" s="308" t="s">
        <v>658</v>
      </c>
      <c r="C21" s="25">
        <f>VLOOKUP(A21,Ratios!$B$4:$L$35,11,0)</f>
        <v>0.12530127725294626</v>
      </c>
    </row>
    <row r="22" spans="1:13" x14ac:dyDescent="0.3">
      <c r="A22" s="305" t="s">
        <v>201</v>
      </c>
      <c r="B22" s="306" t="s">
        <v>649</v>
      </c>
      <c r="C22" t="str">
        <f>VLOOKUP(A22,Ratios!$B$4:$L$35,2,0)</f>
        <v>-</v>
      </c>
    </row>
    <row r="23" spans="1:13" x14ac:dyDescent="0.3">
      <c r="A23" s="307" t="s">
        <v>201</v>
      </c>
      <c r="B23" s="308" t="s">
        <v>650</v>
      </c>
      <c r="C23" s="25">
        <f>VLOOKUP(A23,Ratios!$B$4:$L$35,3,0)</f>
        <v>0.15214513853287071</v>
      </c>
    </row>
    <row r="24" spans="1:13" x14ac:dyDescent="0.3">
      <c r="A24" s="305" t="s">
        <v>201</v>
      </c>
      <c r="B24" s="306" t="s">
        <v>651</v>
      </c>
      <c r="C24" s="25">
        <f>VLOOKUP(A24,Ratios!$B$4:$L$35,4,0)</f>
        <v>0.1844228666890797</v>
      </c>
    </row>
    <row r="25" spans="1:13" x14ac:dyDescent="0.3">
      <c r="A25" s="307" t="s">
        <v>201</v>
      </c>
      <c r="B25" s="308" t="s">
        <v>652</v>
      </c>
      <c r="C25" s="25">
        <f>VLOOKUP(A25,Ratios!$B$4:$L$35,5,0)</f>
        <v>0.1184476057808348</v>
      </c>
    </row>
    <row r="26" spans="1:13" x14ac:dyDescent="0.3">
      <c r="A26" s="305" t="s">
        <v>201</v>
      </c>
      <c r="B26" s="306" t="s">
        <v>653</v>
      </c>
      <c r="C26" s="25">
        <f>VLOOKUP(A26,Ratios!$B$4:$L$35,6,0)</f>
        <v>7.102361818530345E-2</v>
      </c>
    </row>
    <row r="27" spans="1:13" x14ac:dyDescent="0.3">
      <c r="A27" s="307" t="s">
        <v>201</v>
      </c>
      <c r="B27" s="308" t="s">
        <v>654</v>
      </c>
      <c r="C27" s="25">
        <f>VLOOKUP(A27,Ratios!$B$4:$L$35,7,0)</f>
        <v>6.0986600130079616E-2</v>
      </c>
    </row>
    <row r="28" spans="1:13" x14ac:dyDescent="0.3">
      <c r="A28" s="305" t="s">
        <v>201</v>
      </c>
      <c r="B28" s="306" t="s">
        <v>655</v>
      </c>
      <c r="C28" s="25">
        <f>VLOOKUP(A28,Ratios!$B$4:$L$35,8,0)</f>
        <v>0.22359396596198522</v>
      </c>
    </row>
    <row r="29" spans="1:13" x14ac:dyDescent="0.3">
      <c r="A29" s="307" t="s">
        <v>201</v>
      </c>
      <c r="B29" s="308" t="s">
        <v>656</v>
      </c>
      <c r="C29" s="25">
        <f>VLOOKUP(A29,Ratios!$B$4:$L$35,9,0)</f>
        <v>0.18804398566303604</v>
      </c>
    </row>
    <row r="30" spans="1:13" x14ac:dyDescent="0.3">
      <c r="A30" s="305" t="s">
        <v>201</v>
      </c>
      <c r="B30" s="306" t="s">
        <v>657</v>
      </c>
      <c r="C30" s="25">
        <f>VLOOKUP(A30,Ratios!$B$4:$L$35,10,0)</f>
        <v>0.14896907652133029</v>
      </c>
    </row>
    <row r="31" spans="1:13" x14ac:dyDescent="0.3">
      <c r="A31" s="307" t="s">
        <v>201</v>
      </c>
      <c r="B31" s="308" t="s">
        <v>658</v>
      </c>
      <c r="C31" s="25">
        <f>VLOOKUP(A31,Ratios!$B$4:$L$35,11,0)</f>
        <v>0.1225036496152927</v>
      </c>
    </row>
    <row r="32" spans="1:13" x14ac:dyDescent="0.3">
      <c r="A32" s="305" t="s">
        <v>202</v>
      </c>
      <c r="B32" s="306" t="s">
        <v>649</v>
      </c>
      <c r="C32" t="str">
        <f>VLOOKUP(A32,Ratios!$B$4:$L$35,2,0)</f>
        <v>-</v>
      </c>
    </row>
    <row r="33" spans="1:3" x14ac:dyDescent="0.3">
      <c r="A33" s="307" t="s">
        <v>202</v>
      </c>
      <c r="B33" s="308" t="s">
        <v>650</v>
      </c>
      <c r="C33" s="25">
        <f>VLOOKUP(A33,Ratios!$B$4:$L$35,3,0)</f>
        <v>0.22678152375121918</v>
      </c>
    </row>
    <row r="34" spans="1:3" x14ac:dyDescent="0.3">
      <c r="A34" s="305" t="s">
        <v>202</v>
      </c>
      <c r="B34" s="306" t="s">
        <v>651</v>
      </c>
      <c r="C34" s="25">
        <f>VLOOKUP(A34,Ratios!$B$4:$L$35,4,0)</f>
        <v>0.23325784740753885</v>
      </c>
    </row>
    <row r="35" spans="1:3" x14ac:dyDescent="0.3">
      <c r="A35" s="307" t="s">
        <v>202</v>
      </c>
      <c r="B35" s="308" t="s">
        <v>652</v>
      </c>
      <c r="C35" s="25">
        <f>VLOOKUP(A35,Ratios!$B$4:$L$35,5,0)</f>
        <v>0.13601207985756947</v>
      </c>
    </row>
    <row r="36" spans="1:3" x14ac:dyDescent="0.3">
      <c r="A36" s="305" t="s">
        <v>202</v>
      </c>
      <c r="B36" s="306" t="s">
        <v>653</v>
      </c>
      <c r="C36" s="25">
        <f>VLOOKUP(A36,Ratios!$B$4:$L$35,6,0)</f>
        <v>8.3223697786953155E-2</v>
      </c>
    </row>
    <row r="37" spans="1:3" x14ac:dyDescent="0.3">
      <c r="A37" s="307" t="s">
        <v>202</v>
      </c>
      <c r="B37" s="308" t="s">
        <v>654</v>
      </c>
      <c r="C37" s="25">
        <f>VLOOKUP(A37,Ratios!$B$4:$L$35,7,0)</f>
        <v>3.9567632418423981E-2</v>
      </c>
    </row>
    <row r="38" spans="1:3" x14ac:dyDescent="0.3">
      <c r="A38" s="305" t="s">
        <v>202</v>
      </c>
      <c r="B38" s="306" t="s">
        <v>655</v>
      </c>
      <c r="C38" s="25">
        <f>VLOOKUP(A38,Ratios!$B$4:$L$35,8,0)</f>
        <v>0.24977020055881316</v>
      </c>
    </row>
    <row r="39" spans="1:3" x14ac:dyDescent="0.3">
      <c r="A39" s="307" t="s">
        <v>202</v>
      </c>
      <c r="B39" s="308" t="s">
        <v>656</v>
      </c>
      <c r="C39" s="25">
        <f>VLOOKUP(A39,Ratios!$B$4:$L$35,9,0)</f>
        <v>0.205204361803907</v>
      </c>
    </row>
    <row r="40" spans="1:3" x14ac:dyDescent="0.3">
      <c r="A40" s="305" t="s">
        <v>202</v>
      </c>
      <c r="B40" s="306" t="s">
        <v>657</v>
      </c>
      <c r="C40" s="25">
        <f>VLOOKUP(A40,Ratios!$B$4:$L$35,10,0)</f>
        <v>0.16063087013166921</v>
      </c>
    </row>
    <row r="41" spans="1:3" x14ac:dyDescent="0.3">
      <c r="A41" s="307" t="s">
        <v>202</v>
      </c>
      <c r="B41" s="308" t="s">
        <v>658</v>
      </c>
      <c r="C41" s="25">
        <f>VLOOKUP(A41,Ratios!$B$4:$L$35,11,0)</f>
        <v>0.13278895219690412</v>
      </c>
    </row>
    <row r="42" spans="1:3" x14ac:dyDescent="0.3">
      <c r="A42" s="305" t="s">
        <v>203</v>
      </c>
      <c r="B42" s="306" t="s">
        <v>649</v>
      </c>
      <c r="C42" s="25">
        <f>VLOOKUP(A42,Ratios!$B$4:$L$35,2,0)</f>
        <v>0.37187750156167038</v>
      </c>
    </row>
    <row r="43" spans="1:3" x14ac:dyDescent="0.3">
      <c r="A43" s="307" t="s">
        <v>203</v>
      </c>
      <c r="B43" s="308" t="s">
        <v>650</v>
      </c>
      <c r="C43" s="25">
        <f>VLOOKUP(A43,Ratios!$B$4:$L$35,3,0)</f>
        <v>0.3739445354205701</v>
      </c>
    </row>
    <row r="44" spans="1:3" x14ac:dyDescent="0.3">
      <c r="A44" s="305" t="s">
        <v>203</v>
      </c>
      <c r="B44" s="306" t="s">
        <v>651</v>
      </c>
      <c r="C44" s="25">
        <f>VLOOKUP(A44,Ratios!$B$4:$L$35,4,0)</f>
        <v>0.35176361407290258</v>
      </c>
    </row>
    <row r="45" spans="1:3" x14ac:dyDescent="0.3">
      <c r="A45" s="307" t="s">
        <v>203</v>
      </c>
      <c r="B45" s="308" t="s">
        <v>652</v>
      </c>
      <c r="C45" s="25">
        <f>VLOOKUP(A45,Ratios!$B$4:$L$35,5,0)</f>
        <v>0.34205579812488507</v>
      </c>
    </row>
    <row r="46" spans="1:3" x14ac:dyDescent="0.3">
      <c r="A46" s="305" t="s">
        <v>203</v>
      </c>
      <c r="B46" s="306" t="s">
        <v>653</v>
      </c>
      <c r="C46" s="25">
        <f>VLOOKUP(A46,Ratios!$B$4:$L$35,6,0)</f>
        <v>0.88913904172831904</v>
      </c>
    </row>
    <row r="47" spans="1:3" x14ac:dyDescent="0.3">
      <c r="A47" s="307" t="s">
        <v>203</v>
      </c>
      <c r="B47" s="308" t="s">
        <v>654</v>
      </c>
      <c r="C47" s="25">
        <f>VLOOKUP(A47,Ratios!$B$4:$L$35,7,0)</f>
        <v>0.41575609818166948</v>
      </c>
    </row>
    <row r="48" spans="1:3" x14ac:dyDescent="0.3">
      <c r="A48" s="305" t="s">
        <v>203</v>
      </c>
      <c r="B48" s="306" t="s">
        <v>655</v>
      </c>
      <c r="C48" s="25">
        <f>VLOOKUP(A48,Ratios!$B$4:$L$35,8,0)</f>
        <v>0.41575609818166948</v>
      </c>
    </row>
    <row r="49" spans="1:3" x14ac:dyDescent="0.3">
      <c r="A49" s="307" t="s">
        <v>203</v>
      </c>
      <c r="B49" s="308" t="s">
        <v>656</v>
      </c>
      <c r="C49" s="25">
        <f>VLOOKUP(A49,Ratios!$B$4:$L$35,9,0)</f>
        <v>0.41575609818166948</v>
      </c>
    </row>
    <row r="50" spans="1:3" x14ac:dyDescent="0.3">
      <c r="A50" s="305" t="s">
        <v>203</v>
      </c>
      <c r="B50" s="306" t="s">
        <v>657</v>
      </c>
      <c r="C50" s="25">
        <f>VLOOKUP(A50,Ratios!$B$4:$L$35,10,0)</f>
        <v>0.41575609818166953</v>
      </c>
    </row>
    <row r="51" spans="1:3" x14ac:dyDescent="0.3">
      <c r="A51" s="307" t="s">
        <v>203</v>
      </c>
      <c r="B51" s="308" t="s">
        <v>658</v>
      </c>
      <c r="C51" s="25">
        <f>VLOOKUP(A51,Ratios!$B$4:$L$35,11,0)</f>
        <v>0.41575609818166948</v>
      </c>
    </row>
    <row r="52" spans="1:3" x14ac:dyDescent="0.3">
      <c r="A52" s="305" t="s">
        <v>204</v>
      </c>
      <c r="B52" s="306" t="s">
        <v>649</v>
      </c>
      <c r="C52" s="25">
        <f>VLOOKUP(A52,Ratios!$B$4:$L$35,2,0)</f>
        <v>0.1296147682408107</v>
      </c>
    </row>
    <row r="53" spans="1:3" x14ac:dyDescent="0.3">
      <c r="A53" s="307" t="s">
        <v>204</v>
      </c>
      <c r="B53" s="308" t="s">
        <v>650</v>
      </c>
      <c r="C53" s="25">
        <f>VLOOKUP(A53,Ratios!$B$4:$L$35,3,0)</f>
        <v>0.12787059979158191</v>
      </c>
    </row>
    <row r="54" spans="1:3" x14ac:dyDescent="0.3">
      <c r="A54" s="305" t="s">
        <v>204</v>
      </c>
      <c r="B54" s="306" t="s">
        <v>651</v>
      </c>
      <c r="C54" s="25">
        <f>VLOOKUP(A54,Ratios!$B$4:$L$35,4,0)</f>
        <v>0.123164088541558</v>
      </c>
    </row>
    <row r="55" spans="1:3" x14ac:dyDescent="0.3">
      <c r="A55" s="307" t="s">
        <v>204</v>
      </c>
      <c r="B55" s="308" t="s">
        <v>652</v>
      </c>
      <c r="C55" s="25">
        <f>VLOOKUP(A55,Ratios!$B$4:$L$35,5,0)</f>
        <v>0.11942748857872185</v>
      </c>
    </row>
    <row r="56" spans="1:3" x14ac:dyDescent="0.3">
      <c r="A56" s="305" t="s">
        <v>204</v>
      </c>
      <c r="B56" s="306" t="s">
        <v>653</v>
      </c>
      <c r="C56" s="25">
        <f>VLOOKUP(A56,Ratios!$B$4:$L$35,6,0)</f>
        <v>0.11380450030970207</v>
      </c>
    </row>
    <row r="57" spans="1:3" x14ac:dyDescent="0.3">
      <c r="A57" s="307" t="s">
        <v>204</v>
      </c>
      <c r="B57" s="308" t="s">
        <v>654</v>
      </c>
      <c r="C57" s="25">
        <f>VLOOKUP(A57,Ratios!$B$4:$L$35,7,0)</f>
        <v>0.10636738426188141</v>
      </c>
    </row>
    <row r="58" spans="1:3" x14ac:dyDescent="0.3">
      <c r="A58" s="305" t="s">
        <v>204</v>
      </c>
      <c r="B58" s="306" t="s">
        <v>655</v>
      </c>
      <c r="C58" s="25">
        <f>VLOOKUP(A58,Ratios!$B$4:$L$35,8,0)</f>
        <v>0.1112679425959557</v>
      </c>
    </row>
    <row r="59" spans="1:3" x14ac:dyDescent="0.3">
      <c r="A59" s="307" t="s">
        <v>204</v>
      </c>
      <c r="B59" s="308" t="s">
        <v>656</v>
      </c>
      <c r="C59" s="25">
        <f>VLOOKUP(A59,Ratios!$B$4:$L$35,9,0)</f>
        <v>0.11459201447295651</v>
      </c>
    </row>
    <row r="60" spans="1:3" x14ac:dyDescent="0.3">
      <c r="A60" s="305" t="s">
        <v>204</v>
      </c>
      <c r="B60" s="306" t="s">
        <v>657</v>
      </c>
      <c r="C60" s="25">
        <f>VLOOKUP(A60,Ratios!$B$4:$L$35,10,0)</f>
        <v>0.11641569008423024</v>
      </c>
    </row>
    <row r="61" spans="1:3" x14ac:dyDescent="0.3">
      <c r="A61" s="307" t="s">
        <v>204</v>
      </c>
      <c r="B61" s="308" t="s">
        <v>658</v>
      </c>
      <c r="C61" s="25">
        <f>VLOOKUP(A61,Ratios!$B$4:$L$35,11,0)</f>
        <v>0.11677476964156314</v>
      </c>
    </row>
    <row r="62" spans="1:3" x14ac:dyDescent="0.3">
      <c r="A62" s="305" t="s">
        <v>205</v>
      </c>
      <c r="B62" s="306" t="s">
        <v>649</v>
      </c>
      <c r="C62" s="25">
        <f>VLOOKUP(A62,Ratios!$B$4:$L$35,2,0)</f>
        <v>0.11104948468813608</v>
      </c>
    </row>
    <row r="63" spans="1:3" x14ac:dyDescent="0.3">
      <c r="A63" s="307" t="s">
        <v>205</v>
      </c>
      <c r="B63" s="308" t="s">
        <v>650</v>
      </c>
      <c r="C63" s="25">
        <f>VLOOKUP(A63,Ratios!$B$4:$L$35,3,0)</f>
        <v>0.10906857883134824</v>
      </c>
    </row>
    <row r="64" spans="1:3" x14ac:dyDescent="0.3">
      <c r="A64" s="305" t="s">
        <v>205</v>
      </c>
      <c r="B64" s="306" t="s">
        <v>651</v>
      </c>
      <c r="C64" s="25">
        <f>VLOOKUP(A64,Ratios!$B$4:$L$35,4,0)</f>
        <v>0.10681786119416911</v>
      </c>
    </row>
    <row r="65" spans="1:3" x14ac:dyDescent="0.3">
      <c r="A65" s="307" t="s">
        <v>205</v>
      </c>
      <c r="B65" s="308" t="s">
        <v>652</v>
      </c>
      <c r="C65" s="25">
        <f>VLOOKUP(A65,Ratios!$B$4:$L$35,5,0)</f>
        <v>0.10356821213266702</v>
      </c>
    </row>
    <row r="66" spans="1:3" x14ac:dyDescent="0.3">
      <c r="A66" s="305" t="s">
        <v>205</v>
      </c>
      <c r="B66" s="306" t="s">
        <v>653</v>
      </c>
      <c r="C66" s="25">
        <f>VLOOKUP(A66,Ratios!$B$4:$L$35,6,0)</f>
        <v>9.883802028727405E-2</v>
      </c>
    </row>
    <row r="67" spans="1:3" x14ac:dyDescent="0.3">
      <c r="A67" s="307" t="s">
        <v>205</v>
      </c>
      <c r="B67" s="308" t="s">
        <v>654</v>
      </c>
      <c r="C67" s="25">
        <f>VLOOKUP(A67,Ratios!$B$4:$L$35,7,0)</f>
        <v>9.1041918806964536E-2</v>
      </c>
    </row>
    <row r="68" spans="1:3" x14ac:dyDescent="0.3">
      <c r="A68" s="305" t="s">
        <v>205</v>
      </c>
      <c r="B68" s="306" t="s">
        <v>655</v>
      </c>
      <c r="C68" s="25">
        <f>VLOOKUP(A68,Ratios!$B$4:$L$35,8,0)</f>
        <v>9.6713298254696711E-2</v>
      </c>
    </row>
    <row r="69" spans="1:3" x14ac:dyDescent="0.3">
      <c r="A69" s="307" t="s">
        <v>205</v>
      </c>
      <c r="B69" s="308" t="s">
        <v>656</v>
      </c>
      <c r="C69" s="25">
        <f>VLOOKUP(A69,Ratios!$B$4:$L$35,9,0)</f>
        <v>0.10062666517062277</v>
      </c>
    </row>
    <row r="70" spans="1:3" x14ac:dyDescent="0.3">
      <c r="A70" s="305" t="s">
        <v>205</v>
      </c>
      <c r="B70" s="306" t="s">
        <v>657</v>
      </c>
      <c r="C70" s="25">
        <f>VLOOKUP(A70,Ratios!$B$4:$L$35,10,0)</f>
        <v>0.10214944167009944</v>
      </c>
    </row>
    <row r="71" spans="1:3" x14ac:dyDescent="0.3">
      <c r="A71" s="307" t="s">
        <v>205</v>
      </c>
      <c r="B71" s="308" t="s">
        <v>658</v>
      </c>
      <c r="C71" s="25">
        <f>VLOOKUP(A71,Ratios!$B$4:$L$35,11,0)</f>
        <v>0.10220977904664087</v>
      </c>
    </row>
    <row r="72" spans="1:3" x14ac:dyDescent="0.3">
      <c r="A72" s="305" t="s">
        <v>206</v>
      </c>
      <c r="B72" s="306" t="s">
        <v>649</v>
      </c>
      <c r="C72" s="25">
        <f>VLOOKUP(A72,Ratios!$B$4:$L$35,2,0)</f>
        <v>9.1364786236467932E-2</v>
      </c>
    </row>
    <row r="73" spans="1:3" x14ac:dyDescent="0.3">
      <c r="A73" s="307" t="s">
        <v>206</v>
      </c>
      <c r="B73" s="308" t="s">
        <v>650</v>
      </c>
      <c r="C73" s="25">
        <f>VLOOKUP(A73,Ratios!$B$4:$L$35,3,0)</f>
        <v>9.1850764699626344E-2</v>
      </c>
    </row>
    <row r="74" spans="1:3" x14ac:dyDescent="0.3">
      <c r="A74" s="305" t="s">
        <v>206</v>
      </c>
      <c r="B74" s="306" t="s">
        <v>651</v>
      </c>
      <c r="C74" s="25">
        <f>VLOOKUP(A74,Ratios!$B$4:$L$35,4,0)</f>
        <v>9.1077482075584179E-2</v>
      </c>
    </row>
    <row r="75" spans="1:3" x14ac:dyDescent="0.3">
      <c r="A75" s="307" t="s">
        <v>206</v>
      </c>
      <c r="B75" s="308" t="s">
        <v>652</v>
      </c>
      <c r="C75" s="25">
        <f>VLOOKUP(A75,Ratios!$B$4:$L$35,5,0)</f>
        <v>9.0736766866157975E-2</v>
      </c>
    </row>
    <row r="76" spans="1:3" x14ac:dyDescent="0.3">
      <c r="A76" s="305" t="s">
        <v>206</v>
      </c>
      <c r="B76" s="306" t="s">
        <v>653</v>
      </c>
      <c r="C76" s="25">
        <f>VLOOKUP(A76,Ratios!$B$4:$L$35,6,0)</f>
        <v>8.9069578196090488E-2</v>
      </c>
    </row>
    <row r="77" spans="1:3" x14ac:dyDescent="0.3">
      <c r="A77" s="307" t="s">
        <v>206</v>
      </c>
      <c r="B77" s="308" t="s">
        <v>654</v>
      </c>
      <c r="C77" s="25">
        <f>VLOOKUP(A77,Ratios!$B$4:$L$35,7,0)</f>
        <v>8.1223098980142114E-2</v>
      </c>
    </row>
    <row r="78" spans="1:3" x14ac:dyDescent="0.3">
      <c r="A78" s="305" t="s">
        <v>206</v>
      </c>
      <c r="B78" s="306" t="s">
        <v>655</v>
      </c>
      <c r="C78" s="25">
        <f>VLOOKUP(A78,Ratios!$B$4:$L$35,8,0)</f>
        <v>8.8128663942866392E-2</v>
      </c>
    </row>
    <row r="79" spans="1:3" x14ac:dyDescent="0.3">
      <c r="A79" s="307" t="s">
        <v>206</v>
      </c>
      <c r="B79" s="308" t="s">
        <v>656</v>
      </c>
      <c r="C79" s="25">
        <f>VLOOKUP(A79,Ratios!$B$4:$L$35,9,0)</f>
        <v>9.3019124264728636E-2</v>
      </c>
    </row>
    <row r="80" spans="1:3" x14ac:dyDescent="0.3">
      <c r="A80" s="305" t="s">
        <v>206</v>
      </c>
      <c r="B80" s="306" t="s">
        <v>657</v>
      </c>
      <c r="C80" s="25">
        <f>VLOOKUP(A80,Ratios!$B$4:$L$35,10,0)</f>
        <v>9.5385188212771199E-2</v>
      </c>
    </row>
    <row r="81" spans="1:3" x14ac:dyDescent="0.3">
      <c r="A81" s="307" t="s">
        <v>206</v>
      </c>
      <c r="B81" s="308" t="s">
        <v>658</v>
      </c>
      <c r="C81" s="25">
        <f>VLOOKUP(A81,Ratios!$B$4:$L$35,11,0)</f>
        <v>9.6316043971629961E-2</v>
      </c>
    </row>
    <row r="82" spans="1:3" x14ac:dyDescent="0.3">
      <c r="A82" s="305" t="s">
        <v>207</v>
      </c>
      <c r="B82" s="306" t="s">
        <v>649</v>
      </c>
      <c r="C82" s="25">
        <f>VLOOKUP(A82,Ratios!$B$4:$L$35,2,0)</f>
        <v>6.480987170906978E-2</v>
      </c>
    </row>
    <row r="83" spans="1:3" x14ac:dyDescent="0.3">
      <c r="A83" s="307" t="s">
        <v>207</v>
      </c>
      <c r="B83" s="308" t="s">
        <v>650</v>
      </c>
      <c r="C83" s="25">
        <f>VLOOKUP(A83,Ratios!$B$4:$L$35,3,0)</f>
        <v>6.7777306120415437E-2</v>
      </c>
    </row>
    <row r="84" spans="1:3" x14ac:dyDescent="0.3">
      <c r="A84" s="305" t="s">
        <v>207</v>
      </c>
      <c r="B84" s="306" t="s">
        <v>651</v>
      </c>
      <c r="C84" s="25">
        <f>VLOOKUP(A84,Ratios!$B$4:$L$35,4,0)</f>
        <v>6.911552817243094E-2</v>
      </c>
    </row>
    <row r="85" spans="1:3" x14ac:dyDescent="0.3">
      <c r="A85" s="307" t="s">
        <v>207</v>
      </c>
      <c r="B85" s="308" t="s">
        <v>652</v>
      </c>
      <c r="C85" s="25">
        <f>VLOOKUP(A85,Ratios!$B$4:$L$35,5,0)</f>
        <v>6.8065264710394979E-2</v>
      </c>
    </row>
    <row r="86" spans="1:3" x14ac:dyDescent="0.3">
      <c r="A86" s="305" t="s">
        <v>207</v>
      </c>
      <c r="B86" s="306" t="s">
        <v>653</v>
      </c>
      <c r="C86" s="25">
        <f>VLOOKUP(A86,Ratios!$B$4:$L$35,6,0)</f>
        <v>6.569649518110024E-2</v>
      </c>
    </row>
    <row r="87" spans="1:3" x14ac:dyDescent="0.3">
      <c r="A87" s="307" t="s">
        <v>207</v>
      </c>
      <c r="B87" s="308" t="s">
        <v>654</v>
      </c>
      <c r="C87" s="25">
        <f>VLOOKUP(A87,Ratios!$B$4:$L$35,7,0)</f>
        <v>5.9292862255503738E-2</v>
      </c>
    </row>
    <row r="88" spans="1:3" x14ac:dyDescent="0.3">
      <c r="A88" s="305" t="s">
        <v>207</v>
      </c>
      <c r="B88" s="306" t="s">
        <v>655</v>
      </c>
      <c r="C88" s="25">
        <f>VLOOKUP(A88,Ratios!$B$4:$L$35,8,0)</f>
        <v>6.4333924678292465E-2</v>
      </c>
    </row>
    <row r="89" spans="1:3" x14ac:dyDescent="0.3">
      <c r="A89" s="307" t="s">
        <v>207</v>
      </c>
      <c r="B89" s="308" t="s">
        <v>656</v>
      </c>
      <c r="C89" s="25">
        <f>VLOOKUP(A89,Ratios!$B$4:$L$35,9,0)</f>
        <v>6.7903960713251901E-2</v>
      </c>
    </row>
    <row r="90" spans="1:3" x14ac:dyDescent="0.3">
      <c r="A90" s="305" t="s">
        <v>207</v>
      </c>
      <c r="B90" s="306" t="s">
        <v>657</v>
      </c>
      <c r="C90" s="25">
        <f>VLOOKUP(A90,Ratios!$B$4:$L$35,10,0)</f>
        <v>6.9631187395322966E-2</v>
      </c>
    </row>
    <row r="91" spans="1:3" x14ac:dyDescent="0.3">
      <c r="A91" s="307" t="s">
        <v>207</v>
      </c>
      <c r="B91" s="308" t="s">
        <v>658</v>
      </c>
      <c r="C91" s="25">
        <f>VLOOKUP(A91,Ratios!$B$4:$L$35,11,0)</f>
        <v>7.0310712099289865E-2</v>
      </c>
    </row>
    <row r="92" spans="1:3" x14ac:dyDescent="0.3">
      <c r="A92" s="305" t="s">
        <v>208</v>
      </c>
      <c r="B92" s="306" t="s">
        <v>649</v>
      </c>
      <c r="C92" s="25">
        <f>VLOOKUP(A92,Ratios!$B$4:$L$35,2,0)</f>
        <v>6.1073654314944596E-2</v>
      </c>
    </row>
    <row r="93" spans="1:3" x14ac:dyDescent="0.3">
      <c r="A93" s="307" t="s">
        <v>208</v>
      </c>
      <c r="B93" s="308" t="s">
        <v>650</v>
      </c>
      <c r="C93" s="25">
        <f>VLOOKUP(A93,Ratios!$B$4:$L$35,3,0)</f>
        <v>7.3219703303167585E-2</v>
      </c>
    </row>
    <row r="94" spans="1:3" x14ac:dyDescent="0.3">
      <c r="A94" s="305" t="s">
        <v>208</v>
      </c>
      <c r="B94" s="306" t="s">
        <v>651</v>
      </c>
      <c r="C94" s="25">
        <f>VLOOKUP(A94,Ratios!$B$4:$L$35,4,0)</f>
        <v>8.8826341038011236E-2</v>
      </c>
    </row>
    <row r="95" spans="1:3" x14ac:dyDescent="0.3">
      <c r="A95" s="307" t="s">
        <v>208</v>
      </c>
      <c r="B95" s="308" t="s">
        <v>652</v>
      </c>
      <c r="C95" s="25">
        <f>VLOOKUP(A95,Ratios!$B$4:$L$35,5,0)</f>
        <v>9.4881108872692757E-2</v>
      </c>
    </row>
    <row r="96" spans="1:3" x14ac:dyDescent="0.3">
      <c r="A96" s="305" t="s">
        <v>208</v>
      </c>
      <c r="B96" s="306" t="s">
        <v>653</v>
      </c>
      <c r="C96" s="25">
        <f>VLOOKUP(A96,Ratios!$B$4:$L$35,6,0)</f>
        <v>9.2051321275705866E-2</v>
      </c>
    </row>
    <row r="97" spans="1:3" x14ac:dyDescent="0.3">
      <c r="A97" s="307" t="s">
        <v>208</v>
      </c>
      <c r="B97" s="308" t="s">
        <v>654</v>
      </c>
      <c r="C97" s="25">
        <f>VLOOKUP(A97,Ratios!$B$4:$L$35,7,0)</f>
        <v>8.8348952896149829E-2</v>
      </c>
    </row>
    <row r="98" spans="1:3" x14ac:dyDescent="0.3">
      <c r="A98" s="305" t="s">
        <v>208</v>
      </c>
      <c r="B98" s="306" t="s">
        <v>655</v>
      </c>
      <c r="C98" s="25">
        <f>VLOOKUP(A98,Ratios!$B$4:$L$35,8,0)</f>
        <v>9.7572862841249358E-2</v>
      </c>
    </row>
    <row r="99" spans="1:3" x14ac:dyDescent="0.3">
      <c r="A99" s="307" t="s">
        <v>208</v>
      </c>
      <c r="B99" s="308" t="s">
        <v>656</v>
      </c>
      <c r="C99" s="25">
        <f>VLOOKUP(A99,Ratios!$B$4:$L$35,9,0)</f>
        <v>0.10338353869816241</v>
      </c>
    </row>
    <row r="100" spans="1:3" x14ac:dyDescent="0.3">
      <c r="A100" s="305" t="s">
        <v>208</v>
      </c>
      <c r="B100" s="306" t="s">
        <v>657</v>
      </c>
      <c r="C100" s="25">
        <f>VLOOKUP(A100,Ratios!$B$4:$L$35,10,0)</f>
        <v>0.10567172624586431</v>
      </c>
    </row>
    <row r="101" spans="1:3" x14ac:dyDescent="0.3">
      <c r="A101" s="307" t="s">
        <v>208</v>
      </c>
      <c r="B101" s="308" t="s">
        <v>658</v>
      </c>
      <c r="C101" s="25">
        <f>VLOOKUP(A101,Ratios!$B$4:$L$35,11,0)</f>
        <v>0.10595664197177874</v>
      </c>
    </row>
    <row r="102" spans="1:3" x14ac:dyDescent="0.3">
      <c r="A102" s="305" t="s">
        <v>209</v>
      </c>
      <c r="B102" s="306" t="s">
        <v>649</v>
      </c>
      <c r="C102" s="25">
        <f>VLOOKUP(A102,Ratios!$B$4:$L$35,2,0)</f>
        <v>0.1533367454355683</v>
      </c>
    </row>
    <row r="103" spans="1:3" x14ac:dyDescent="0.3">
      <c r="A103" s="307" t="s">
        <v>209</v>
      </c>
      <c r="B103" s="308" t="s">
        <v>650</v>
      </c>
      <c r="C103" s="25">
        <f>VLOOKUP(A103,Ratios!$B$4:$L$35,3,0)</f>
        <v>0.17650261191604105</v>
      </c>
    </row>
    <row r="104" spans="1:3" x14ac:dyDescent="0.3">
      <c r="A104" s="305" t="s">
        <v>209</v>
      </c>
      <c r="B104" s="306" t="s">
        <v>651</v>
      </c>
      <c r="C104" s="25">
        <f>VLOOKUP(A104,Ratios!$B$4:$L$35,4,0)</f>
        <v>0.24170563729158143</v>
      </c>
    </row>
    <row r="105" spans="1:3" x14ac:dyDescent="0.3">
      <c r="A105" s="307" t="s">
        <v>209</v>
      </c>
      <c r="B105" s="308" t="s">
        <v>652</v>
      </c>
      <c r="C105" s="25">
        <f>VLOOKUP(A105,Ratios!$B$4:$L$35,5,0)</f>
        <v>0.24601409483497239</v>
      </c>
    </row>
    <row r="106" spans="1:3" x14ac:dyDescent="0.3">
      <c r="A106" s="305" t="s">
        <v>209</v>
      </c>
      <c r="B106" s="306" t="s">
        <v>653</v>
      </c>
      <c r="C106" s="25">
        <f>VLOOKUP(A106,Ratios!$B$4:$L$35,6,0)</f>
        <v>0.2570596340676396</v>
      </c>
    </row>
    <row r="107" spans="1:3" x14ac:dyDescent="0.3">
      <c r="A107" s="307" t="s">
        <v>209</v>
      </c>
      <c r="B107" s="308" t="s">
        <v>654</v>
      </c>
      <c r="C107" s="25">
        <f>VLOOKUP(A107,Ratios!$B$4:$L$35,7,0)</f>
        <v>0.22020808831655525</v>
      </c>
    </row>
    <row r="108" spans="1:3" x14ac:dyDescent="0.3">
      <c r="A108" s="305" t="s">
        <v>209</v>
      </c>
      <c r="B108" s="306" t="s">
        <v>655</v>
      </c>
      <c r="C108" s="25">
        <f>VLOOKUP(A108,Ratios!$B$4:$L$35,8,0)</f>
        <v>0.22559755762239633</v>
      </c>
    </row>
    <row r="109" spans="1:3" x14ac:dyDescent="0.3">
      <c r="A109" s="307" t="s">
        <v>209</v>
      </c>
      <c r="B109" s="308" t="s">
        <v>656</v>
      </c>
      <c r="C109" s="25">
        <f>VLOOKUP(A109,Ratios!$B$4:$L$35,9,0)</f>
        <v>0.22336291213143883</v>
      </c>
    </row>
    <row r="110" spans="1:3" x14ac:dyDescent="0.3">
      <c r="A110" s="305" t="s">
        <v>209</v>
      </c>
      <c r="B110" s="306" t="s">
        <v>657</v>
      </c>
      <c r="C110" s="25">
        <f>VLOOKUP(A110,Ratios!$B$4:$L$35,10,0)</f>
        <v>0.2147545865579594</v>
      </c>
    </row>
    <row r="111" spans="1:3" x14ac:dyDescent="0.3">
      <c r="A111" s="307" t="s">
        <v>209</v>
      </c>
      <c r="B111" s="308" t="s">
        <v>658</v>
      </c>
      <c r="C111" s="25">
        <f>VLOOKUP(A111,Ratios!$B$4:$L$35,11,0)</f>
        <v>0.20367809206190007</v>
      </c>
    </row>
    <row r="112" spans="1:3" x14ac:dyDescent="0.3">
      <c r="A112" s="305" t="s">
        <v>210</v>
      </c>
      <c r="B112" s="306" t="s">
        <v>649</v>
      </c>
      <c r="C112" s="25">
        <f>VLOOKUP(A112,Ratios!$B$4:$L$35,2,0)</f>
        <v>0.22019003911717999</v>
      </c>
    </row>
    <row r="113" spans="1:3" x14ac:dyDescent="0.3">
      <c r="A113" s="307" t="s">
        <v>210</v>
      </c>
      <c r="B113" s="308" t="s">
        <v>650</v>
      </c>
      <c r="C113" s="25">
        <f>VLOOKUP(A113,Ratios!$B$4:$L$35,3,0)</f>
        <v>0.25106884926617778</v>
      </c>
    </row>
    <row r="114" spans="1:3" x14ac:dyDescent="0.3">
      <c r="A114" s="305" t="s">
        <v>210</v>
      </c>
      <c r="B114" s="306" t="s">
        <v>651</v>
      </c>
      <c r="C114" s="25">
        <f>VLOOKUP(A114,Ratios!$B$4:$L$35,4,0)</f>
        <v>0.31517811135918838</v>
      </c>
    </row>
    <row r="115" spans="1:3" x14ac:dyDescent="0.3">
      <c r="A115" s="307" t="s">
        <v>210</v>
      </c>
      <c r="B115" s="308" t="s">
        <v>652</v>
      </c>
      <c r="C115" s="25">
        <f>VLOOKUP(A115,Ratios!$B$4:$L$35,5,0)</f>
        <v>0.33151699936833162</v>
      </c>
    </row>
    <row r="116" spans="1:3" x14ac:dyDescent="0.3">
      <c r="A116" s="305" t="s">
        <v>210</v>
      </c>
      <c r="B116" s="306" t="s">
        <v>653</v>
      </c>
      <c r="C116" s="25">
        <f>VLOOKUP(A116,Ratios!$B$4:$L$35,6,0)</f>
        <v>0.34184576788321014</v>
      </c>
    </row>
    <row r="117" spans="1:3" x14ac:dyDescent="0.3">
      <c r="A117" s="307" t="s">
        <v>210</v>
      </c>
      <c r="B117" s="308" t="s">
        <v>654</v>
      </c>
      <c r="C117" s="25">
        <f>VLOOKUP(A117,Ratios!$B$4:$L$35,7,0)</f>
        <v>0.30344812664268589</v>
      </c>
    </row>
    <row r="118" spans="1:3" x14ac:dyDescent="0.3">
      <c r="A118" s="305" t="s">
        <v>210</v>
      </c>
      <c r="B118" s="306" t="s">
        <v>655</v>
      </c>
      <c r="C118" s="25">
        <f>VLOOKUP(A118,Ratios!$B$4:$L$35,8,0)</f>
        <v>0.3114693486854313</v>
      </c>
    </row>
    <row r="119" spans="1:3" x14ac:dyDescent="0.3">
      <c r="A119" s="307" t="s">
        <v>210</v>
      </c>
      <c r="B119" s="308" t="s">
        <v>656</v>
      </c>
      <c r="C119" s="25">
        <f>VLOOKUP(A119,Ratios!$B$4:$L$35,9,0)</f>
        <v>0.30811734479688058</v>
      </c>
    </row>
    <row r="120" spans="1:3" x14ac:dyDescent="0.3">
      <c r="A120" s="305" t="s">
        <v>210</v>
      </c>
      <c r="B120" s="306" t="s">
        <v>657</v>
      </c>
      <c r="C120" s="25">
        <f>VLOOKUP(A120,Ratios!$B$4:$L$35,10,0)</f>
        <v>0.29667931516911034</v>
      </c>
    </row>
    <row r="121" spans="1:3" x14ac:dyDescent="0.3">
      <c r="A121" s="307" t="s">
        <v>210</v>
      </c>
      <c r="B121" s="308" t="s">
        <v>658</v>
      </c>
      <c r="C121" s="25">
        <f>VLOOKUP(A121,Ratios!$B$4:$L$35,11,0)</f>
        <v>0.28163053041890668</v>
      </c>
    </row>
    <row r="122" spans="1:3" x14ac:dyDescent="0.3">
      <c r="A122" s="305" t="s">
        <v>211</v>
      </c>
      <c r="B122" s="306" t="s">
        <v>649</v>
      </c>
      <c r="C122" s="25">
        <f>VLOOKUP(A122,Ratios!$B$4:$L$35,2,0)</f>
        <v>0.19322943556528027</v>
      </c>
    </row>
    <row r="123" spans="1:3" x14ac:dyDescent="0.3">
      <c r="A123" s="307" t="s">
        <v>211</v>
      </c>
      <c r="B123" s="308" t="s">
        <v>650</v>
      </c>
      <c r="C123" s="25">
        <f>VLOOKUP(A123,Ratios!$B$4:$L$35,3,0)</f>
        <v>0.13128923728416655</v>
      </c>
    </row>
    <row r="124" spans="1:3" x14ac:dyDescent="0.3">
      <c r="A124" s="305" t="s">
        <v>211</v>
      </c>
      <c r="B124" s="306" t="s">
        <v>651</v>
      </c>
      <c r="C124" s="25">
        <f>VLOOKUP(A124,Ratios!$B$4:$L$35,4,0)</f>
        <v>0.18522001662939849</v>
      </c>
    </row>
    <row r="125" spans="1:3" x14ac:dyDescent="0.3">
      <c r="A125" s="307" t="s">
        <v>211</v>
      </c>
      <c r="B125" s="308" t="s">
        <v>652</v>
      </c>
      <c r="C125" s="25">
        <f>VLOOKUP(A125,Ratios!$B$4:$L$35,5,0)</f>
        <v>0.12915907234688406</v>
      </c>
    </row>
    <row r="126" spans="1:3" x14ac:dyDescent="0.3">
      <c r="A126" s="305" t="s">
        <v>211</v>
      </c>
      <c r="B126" s="306" t="s">
        <v>653</v>
      </c>
      <c r="C126" s="25">
        <f>VLOOKUP(A126,Ratios!$B$4:$L$35,6,0)</f>
        <v>0.13132012842650695</v>
      </c>
    </row>
    <row r="127" spans="1:3" x14ac:dyDescent="0.3">
      <c r="A127" s="307" t="s">
        <v>211</v>
      </c>
      <c r="B127" s="308" t="s">
        <v>654</v>
      </c>
      <c r="C127" s="25">
        <f>VLOOKUP(A127,Ratios!$B$4:$L$35,7,0)</f>
        <v>0.11426321322013659</v>
      </c>
    </row>
    <row r="128" spans="1:3" x14ac:dyDescent="0.3">
      <c r="A128" s="305" t="s">
        <v>211</v>
      </c>
      <c r="B128" s="306" t="s">
        <v>655</v>
      </c>
      <c r="C128" s="25">
        <f>VLOOKUP(A128,Ratios!$B$4:$L$35,8,0)</f>
        <v>8.884290872898587E-2</v>
      </c>
    </row>
    <row r="129" spans="1:3" x14ac:dyDescent="0.3">
      <c r="A129" s="307" t="s">
        <v>211</v>
      </c>
      <c r="B129" s="308" t="s">
        <v>656</v>
      </c>
      <c r="C129" s="25">
        <f>VLOOKUP(A129,Ratios!$B$4:$L$35,9,0)</f>
        <v>7.4268620234480304E-2</v>
      </c>
    </row>
    <row r="130" spans="1:3" x14ac:dyDescent="0.3">
      <c r="A130" s="305" t="s">
        <v>211</v>
      </c>
      <c r="B130" s="306" t="s">
        <v>657</v>
      </c>
      <c r="C130" s="25">
        <f>VLOOKUP(A130,Ratios!$B$4:$L$35,10,0)</f>
        <v>6.1909182339868758E-2</v>
      </c>
    </row>
    <row r="131" spans="1:3" x14ac:dyDescent="0.3">
      <c r="A131" s="307" t="s">
        <v>211</v>
      </c>
      <c r="B131" s="308" t="s">
        <v>658</v>
      </c>
      <c r="C131" s="25">
        <f>VLOOKUP(A131,Ratios!$B$4:$L$35,11,0)</f>
        <v>5.1321480561634672E-2</v>
      </c>
    </row>
    <row r="132" spans="1:3" x14ac:dyDescent="0.3">
      <c r="A132" s="305" t="s">
        <v>212</v>
      </c>
      <c r="B132" s="306" t="s">
        <v>649</v>
      </c>
      <c r="C132" s="25">
        <f>VLOOKUP(A132,Ratios!$B$4:$L$35,2,0)</f>
        <v>5.6414115238186664</v>
      </c>
    </row>
    <row r="133" spans="1:3" x14ac:dyDescent="0.3">
      <c r="A133" s="307" t="s">
        <v>212</v>
      </c>
      <c r="B133" s="308" t="s">
        <v>650</v>
      </c>
      <c r="C133" s="25">
        <f>VLOOKUP(A133,Ratios!$B$4:$L$35,3,0)</f>
        <v>6.3346356277828324</v>
      </c>
    </row>
    <row r="134" spans="1:3" x14ac:dyDescent="0.3">
      <c r="A134" s="305" t="s">
        <v>212</v>
      </c>
      <c r="B134" s="306" t="s">
        <v>651</v>
      </c>
      <c r="C134" s="25">
        <f>VLOOKUP(A134,Ratios!$B$4:$L$35,4,0)</f>
        <v>6.7862317920949842</v>
      </c>
    </row>
    <row r="135" spans="1:3" x14ac:dyDescent="0.3">
      <c r="A135" s="307" t="s">
        <v>212</v>
      </c>
      <c r="B135" s="308" t="s">
        <v>652</v>
      </c>
      <c r="C135" s="25">
        <f>VLOOKUP(A135,Ratios!$B$4:$L$35,5,0)</f>
        <v>8.0714377828495323</v>
      </c>
    </row>
    <row r="136" spans="1:3" x14ac:dyDescent="0.3">
      <c r="A136" s="305" t="s">
        <v>212</v>
      </c>
      <c r="B136" s="306" t="s">
        <v>653</v>
      </c>
      <c r="C136" s="25">
        <f>VLOOKUP(A136,Ratios!$B$4:$L$35,6,0)</f>
        <v>10.118094509305598</v>
      </c>
    </row>
    <row r="137" spans="1:3" x14ac:dyDescent="0.3">
      <c r="A137" s="307" t="s">
        <v>212</v>
      </c>
      <c r="B137" s="308" t="s">
        <v>654</v>
      </c>
      <c r="C137" s="25">
        <f>VLOOKUP(A137,Ratios!$B$4:$L$35,7,0)</f>
        <v>9.2721854981249461</v>
      </c>
    </row>
    <row r="138" spans="1:3" x14ac:dyDescent="0.3">
      <c r="A138" s="305" t="s">
        <v>212</v>
      </c>
      <c r="B138" s="306" t="s">
        <v>655</v>
      </c>
      <c r="C138" s="25">
        <f>VLOOKUP(A138,Ratios!$B$4:$L$35,8,0)</f>
        <v>11.265861158630614</v>
      </c>
    </row>
    <row r="139" spans="1:3" x14ac:dyDescent="0.3">
      <c r="A139" s="307" t="s">
        <v>212</v>
      </c>
      <c r="B139" s="308" t="s">
        <v>656</v>
      </c>
      <c r="C139" s="25">
        <f>VLOOKUP(A139,Ratios!$B$4:$L$35,9,0)</f>
        <v>13.227226302872683</v>
      </c>
    </row>
    <row r="140" spans="1:3" x14ac:dyDescent="0.3">
      <c r="A140" s="305" t="s">
        <v>212</v>
      </c>
      <c r="B140" s="306" t="s">
        <v>657</v>
      </c>
      <c r="C140" s="25">
        <f>VLOOKUP(A140,Ratios!$B$4:$L$35,10,0)</f>
        <v>15.101362229328201</v>
      </c>
    </row>
    <row r="141" spans="1:3" x14ac:dyDescent="0.3">
      <c r="A141" s="307" t="s">
        <v>212</v>
      </c>
      <c r="B141" s="308" t="s">
        <v>658</v>
      </c>
      <c r="C141" s="25">
        <f>VLOOKUP(A141,Ratios!$B$4:$L$35,11,0)</f>
        <v>17.34210610857011</v>
      </c>
    </row>
    <row r="142" spans="1:3" x14ac:dyDescent="0.3">
      <c r="A142" s="305" t="s">
        <v>213</v>
      </c>
      <c r="B142" s="306" t="s">
        <v>649</v>
      </c>
      <c r="C142" s="25">
        <f>VLOOKUP(A142,Ratios!$B$4:$L$35,2,0)</f>
        <v>1.3934152267485602</v>
      </c>
    </row>
    <row r="143" spans="1:3" x14ac:dyDescent="0.3">
      <c r="A143" s="307" t="s">
        <v>213</v>
      </c>
      <c r="B143" s="308" t="s">
        <v>650</v>
      </c>
      <c r="C143" s="25">
        <f>VLOOKUP(A143,Ratios!$B$4:$L$35,3,0)</f>
        <v>1.3730570959285424</v>
      </c>
    </row>
    <row r="144" spans="1:3" x14ac:dyDescent="0.3">
      <c r="A144" s="305" t="s">
        <v>213</v>
      </c>
      <c r="B144" s="306" t="s">
        <v>651</v>
      </c>
      <c r="C144" s="25">
        <f>VLOOKUP(A144,Ratios!$B$4:$L$35,4,0)</f>
        <v>1.2717841656971212</v>
      </c>
    </row>
    <row r="145" spans="1:3" x14ac:dyDescent="0.3">
      <c r="A145" s="307" t="s">
        <v>213</v>
      </c>
      <c r="B145" s="308" t="s">
        <v>652</v>
      </c>
      <c r="C145" s="25">
        <f>VLOOKUP(A145,Ratios!$B$4:$L$35,5,0)</f>
        <v>1.2734007972024723</v>
      </c>
    </row>
    <row r="146" spans="1:3" x14ac:dyDescent="0.3">
      <c r="A146" s="305" t="s">
        <v>213</v>
      </c>
      <c r="B146" s="306" t="s">
        <v>653</v>
      </c>
      <c r="C146" s="25">
        <f>VLOOKUP(A146,Ratios!$B$4:$L$35,6,0)</f>
        <v>1.3066202907683195</v>
      </c>
    </row>
    <row r="147" spans="1:3" x14ac:dyDescent="0.3">
      <c r="A147" s="307" t="s">
        <v>213</v>
      </c>
      <c r="B147" s="308" t="s">
        <v>654</v>
      </c>
      <c r="C147" s="25">
        <f>VLOOKUP(A147,Ratios!$B$4:$L$35,7,0)</f>
        <v>1.4208265150132506</v>
      </c>
    </row>
    <row r="148" spans="1:3" x14ac:dyDescent="0.3">
      <c r="A148" s="305" t="s">
        <v>213</v>
      </c>
      <c r="B148" s="306" t="s">
        <v>655</v>
      </c>
      <c r="C148" s="25">
        <f>VLOOKUP(A148,Ratios!$B$4:$L$35,8,0)</f>
        <v>1.515769968106514</v>
      </c>
    </row>
    <row r="149" spans="1:3" x14ac:dyDescent="0.3">
      <c r="A149" s="307" t="s">
        <v>213</v>
      </c>
      <c r="B149" s="308" t="s">
        <v>656</v>
      </c>
      <c r="C149" s="25">
        <f>VLOOKUP(A149,Ratios!$B$4:$L$35,9,0)</f>
        <v>1.6147584888257851</v>
      </c>
    </row>
    <row r="150" spans="1:3" x14ac:dyDescent="0.3">
      <c r="A150" s="305" t="s">
        <v>213</v>
      </c>
      <c r="B150" s="306" t="s">
        <v>657</v>
      </c>
      <c r="C150" s="25">
        <f>VLOOKUP(A150,Ratios!$B$4:$L$35,10,0)</f>
        <v>1.6930475805286447</v>
      </c>
    </row>
    <row r="151" spans="1:3" x14ac:dyDescent="0.3">
      <c r="A151" s="307" t="s">
        <v>213</v>
      </c>
      <c r="B151" s="308" t="s">
        <v>658</v>
      </c>
      <c r="C151" s="25">
        <f>VLOOKUP(A151,Ratios!$B$4:$L$35,11,0)</f>
        <v>1.7329266175425355</v>
      </c>
    </row>
    <row r="152" spans="1:3" x14ac:dyDescent="0.3">
      <c r="A152" s="305" t="s">
        <v>214</v>
      </c>
      <c r="B152" s="306" t="s">
        <v>649</v>
      </c>
      <c r="C152" s="25">
        <f>VLOOKUP(A152,Ratios!$B$4:$L$35,2,0)</f>
        <v>1.3576427002352929</v>
      </c>
    </row>
    <row r="153" spans="1:3" x14ac:dyDescent="0.3">
      <c r="A153" s="307" t="s">
        <v>214</v>
      </c>
      <c r="B153" s="308" t="s">
        <v>650</v>
      </c>
      <c r="C153" s="25">
        <f>VLOOKUP(A153,Ratios!$B$4:$L$35,3,0)</f>
        <v>1.3352573020074059</v>
      </c>
    </row>
    <row r="154" spans="1:3" x14ac:dyDescent="0.3">
      <c r="A154" s="305" t="s">
        <v>214</v>
      </c>
      <c r="B154" s="306" t="s">
        <v>651</v>
      </c>
      <c r="C154" s="25">
        <f>VLOOKUP(A154,Ratios!$B$4:$L$35,4,0)</f>
        <v>1.2358658145889321</v>
      </c>
    </row>
    <row r="155" spans="1:3" x14ac:dyDescent="0.3">
      <c r="A155" s="307" t="s">
        <v>214</v>
      </c>
      <c r="B155" s="308" t="s">
        <v>652</v>
      </c>
      <c r="C155" s="25">
        <f>VLOOKUP(A155,Ratios!$B$4:$L$35,5,0)</f>
        <v>1.2407545510448372</v>
      </c>
    </row>
    <row r="156" spans="1:3" x14ac:dyDescent="0.3">
      <c r="A156" s="305" t="s">
        <v>214</v>
      </c>
      <c r="B156" s="306" t="s">
        <v>653</v>
      </c>
      <c r="C156" s="25">
        <f>VLOOKUP(A156,Ratios!$B$4:$L$35,6,0)</f>
        <v>1.2764621207707683</v>
      </c>
    </row>
    <row r="157" spans="1:3" x14ac:dyDescent="0.3">
      <c r="A157" s="307" t="s">
        <v>214</v>
      </c>
      <c r="B157" s="308" t="s">
        <v>654</v>
      </c>
      <c r="C157" s="25">
        <f>VLOOKUP(A157,Ratios!$B$4:$L$35,7,0)</f>
        <v>1.3790992239259396</v>
      </c>
    </row>
    <row r="158" spans="1:3" x14ac:dyDescent="0.3">
      <c r="A158" s="305" t="s">
        <v>214</v>
      </c>
      <c r="B158" s="306" t="s">
        <v>655</v>
      </c>
      <c r="C158" s="25">
        <f>VLOOKUP(A158,Ratios!$B$4:$L$35,8,0)</f>
        <v>1.4714192554334287</v>
      </c>
    </row>
    <row r="159" spans="1:3" x14ac:dyDescent="0.3">
      <c r="A159" s="307" t="s">
        <v>214</v>
      </c>
      <c r="B159" s="308" t="s">
        <v>656</v>
      </c>
      <c r="C159" s="25">
        <f>VLOOKUP(A159,Ratios!$B$4:$L$35,9,0)</f>
        <v>1.5679466361036765</v>
      </c>
    </row>
    <row r="160" spans="1:3" x14ac:dyDescent="0.3">
      <c r="A160" s="305" t="s">
        <v>214</v>
      </c>
      <c r="B160" s="306" t="s">
        <v>657</v>
      </c>
      <c r="C160" s="25">
        <f>VLOOKUP(A160,Ratios!$B$4:$L$35,10,0)</f>
        <v>1.6439499128732833</v>
      </c>
    </row>
    <row r="161" spans="1:3" x14ac:dyDescent="0.3">
      <c r="A161" s="307" t="s">
        <v>214</v>
      </c>
      <c r="B161" s="308" t="s">
        <v>658</v>
      </c>
      <c r="C161" s="25">
        <f>VLOOKUP(A161,Ratios!$B$4:$L$35,11,0)</f>
        <v>1.6815791940572269</v>
      </c>
    </row>
    <row r="162" spans="1:3" x14ac:dyDescent="0.3">
      <c r="A162" s="305" t="s">
        <v>215</v>
      </c>
      <c r="B162" s="306" t="s">
        <v>649</v>
      </c>
      <c r="C162" s="25">
        <f>VLOOKUP(A162,Ratios!$B$4:$L$35,2,0)</f>
        <v>7.4211453841083477E-2</v>
      </c>
    </row>
    <row r="163" spans="1:3" x14ac:dyDescent="0.3">
      <c r="A163" s="307" t="s">
        <v>215</v>
      </c>
      <c r="B163" s="308" t="s">
        <v>650</v>
      </c>
      <c r="C163" s="25">
        <f>VLOOKUP(A163,Ratios!$B$4:$L$35,3,0)</f>
        <v>5.0380174269600814E-2</v>
      </c>
    </row>
    <row r="164" spans="1:3" x14ac:dyDescent="0.3">
      <c r="A164" s="305" t="s">
        <v>215</v>
      </c>
      <c r="B164" s="306" t="s">
        <v>651</v>
      </c>
      <c r="C164" s="25">
        <f>VLOOKUP(A164,Ratios!$B$4:$L$35,4,0)</f>
        <v>4.8651775198784407E-2</v>
      </c>
    </row>
    <row r="165" spans="1:3" x14ac:dyDescent="0.3">
      <c r="A165" s="307" t="s">
        <v>215</v>
      </c>
      <c r="B165" s="308" t="s">
        <v>652</v>
      </c>
      <c r="C165" s="25">
        <f>VLOOKUP(A165,Ratios!$B$4:$L$35,5,0)</f>
        <v>4.175054505342763E-2</v>
      </c>
    </row>
    <row r="166" spans="1:3" x14ac:dyDescent="0.3">
      <c r="A166" s="305" t="s">
        <v>215</v>
      </c>
      <c r="B166" s="306" t="s">
        <v>653</v>
      </c>
      <c r="C166" s="25">
        <f>VLOOKUP(A166,Ratios!$B$4:$L$35,6,0)</f>
        <v>6.1643949225647074E-2</v>
      </c>
    </row>
    <row r="167" spans="1:3" x14ac:dyDescent="0.3">
      <c r="A167" s="307" t="s">
        <v>215</v>
      </c>
      <c r="B167" s="308" t="s">
        <v>654</v>
      </c>
      <c r="C167" s="25">
        <f>VLOOKUP(A167,Ratios!$B$4:$L$35,7,0)</f>
        <v>6.1223702197267346E-2</v>
      </c>
    </row>
    <row r="168" spans="1:3" x14ac:dyDescent="0.3">
      <c r="A168" s="305" t="s">
        <v>215</v>
      </c>
      <c r="B168" s="306" t="s">
        <v>655</v>
      </c>
      <c r="C168" s="25">
        <f>VLOOKUP(A168,Ratios!$B$4:$L$35,8,0)</f>
        <v>0.10570985473248816</v>
      </c>
    </row>
    <row r="169" spans="1:3" x14ac:dyDescent="0.3">
      <c r="A169" s="307" t="s">
        <v>215</v>
      </c>
      <c r="B169" s="308" t="s">
        <v>656</v>
      </c>
      <c r="C169" s="25">
        <f>VLOOKUP(A169,Ratios!$B$4:$L$35,9,0)</f>
        <v>0.1761792213074144</v>
      </c>
    </row>
    <row r="170" spans="1:3" x14ac:dyDescent="0.3">
      <c r="A170" s="305" t="s">
        <v>215</v>
      </c>
      <c r="B170" s="306" t="s">
        <v>657</v>
      </c>
      <c r="C170" s="25">
        <f>VLOOKUP(A170,Ratios!$B$4:$L$35,10,0)</f>
        <v>0.25698586439164267</v>
      </c>
    </row>
    <row r="171" spans="1:3" x14ac:dyDescent="0.3">
      <c r="A171" s="307" t="s">
        <v>215</v>
      </c>
      <c r="B171" s="308" t="s">
        <v>658</v>
      </c>
      <c r="C171" s="25">
        <f>VLOOKUP(A171,Ratios!$B$4:$L$35,11,0)</f>
        <v>0.31886878006998431</v>
      </c>
    </row>
    <row r="172" spans="1:3" x14ac:dyDescent="0.3">
      <c r="A172" s="305" t="s">
        <v>216</v>
      </c>
      <c r="B172" s="306" t="s">
        <v>649</v>
      </c>
      <c r="C172" t="str">
        <f>VLOOKUP(A172,Ratios!$B$4:$L$35,2,0)</f>
        <v>-</v>
      </c>
    </row>
    <row r="173" spans="1:3" x14ac:dyDescent="0.3">
      <c r="A173" s="307" t="s">
        <v>216</v>
      </c>
      <c r="B173" s="308" t="s">
        <v>650</v>
      </c>
      <c r="C173" s="25">
        <f>VLOOKUP(A173,Ratios!$B$4:$L$35,3,0)</f>
        <v>5.36028942762964</v>
      </c>
    </row>
    <row r="174" spans="1:3" x14ac:dyDescent="0.3">
      <c r="A174" s="305" t="s">
        <v>216</v>
      </c>
      <c r="B174" s="306" t="s">
        <v>651</v>
      </c>
      <c r="C174" s="25">
        <f>VLOOKUP(A174,Ratios!$B$4:$L$35,4,0)</f>
        <v>6.4258357052993453</v>
      </c>
    </row>
    <row r="175" spans="1:3" x14ac:dyDescent="0.3">
      <c r="A175" s="307" t="s">
        <v>216</v>
      </c>
      <c r="B175" s="308" t="s">
        <v>652</v>
      </c>
      <c r="C175" s="25">
        <f>VLOOKUP(A175,Ratios!$B$4:$L$35,5,0)</f>
        <v>6.9027307514384368</v>
      </c>
    </row>
    <row r="176" spans="1:3" x14ac:dyDescent="0.3">
      <c r="A176" s="305" t="s">
        <v>216</v>
      </c>
      <c r="B176" s="306" t="s">
        <v>653</v>
      </c>
      <c r="C176" s="25">
        <f>VLOOKUP(A176,Ratios!$B$4:$L$35,6,0)</f>
        <v>6.9718710674382924</v>
      </c>
    </row>
    <row r="177" spans="1:3" x14ac:dyDescent="0.3">
      <c r="A177" s="307" t="s">
        <v>216</v>
      </c>
      <c r="B177" s="308" t="s">
        <v>654</v>
      </c>
      <c r="C177" s="25">
        <f>VLOOKUP(A177,Ratios!$B$4:$L$35,7,0)</f>
        <v>6.4573419697393062</v>
      </c>
    </row>
    <row r="178" spans="1:3" x14ac:dyDescent="0.3">
      <c r="A178" s="305" t="s">
        <v>216</v>
      </c>
      <c r="B178" s="306" t="s">
        <v>655</v>
      </c>
      <c r="C178" s="25">
        <f>VLOOKUP(A178,Ratios!$B$4:$L$35,8,0)</f>
        <v>6.1252013270279368</v>
      </c>
    </row>
    <row r="179" spans="1:3" x14ac:dyDescent="0.3">
      <c r="A179" s="307" t="s">
        <v>216</v>
      </c>
      <c r="B179" s="308" t="s">
        <v>656</v>
      </c>
      <c r="C179" s="25">
        <f>VLOOKUP(A179,Ratios!$B$4:$L$35,9,0)</f>
        <v>6.1003733917284411</v>
      </c>
    </row>
    <row r="180" spans="1:3" x14ac:dyDescent="0.3">
      <c r="A180" s="305" t="s">
        <v>216</v>
      </c>
      <c r="B180" s="306" t="s">
        <v>657</v>
      </c>
      <c r="C180" s="25">
        <f>VLOOKUP(A180,Ratios!$B$4:$L$35,10,0)</f>
        <v>6.0753125315976835</v>
      </c>
    </row>
    <row r="181" spans="1:3" x14ac:dyDescent="0.3">
      <c r="A181" s="307" t="s">
        <v>216</v>
      </c>
      <c r="B181" s="308" t="s">
        <v>658</v>
      </c>
      <c r="C181" s="25">
        <f>VLOOKUP(A181,Ratios!$B$4:$L$35,11,0)</f>
        <v>6.0500154533894097</v>
      </c>
    </row>
    <row r="182" spans="1:3" x14ac:dyDescent="0.3">
      <c r="A182" s="305" t="s">
        <v>217</v>
      </c>
      <c r="B182" s="306" t="s">
        <v>649</v>
      </c>
      <c r="C182" t="str">
        <f>VLOOKUP(A182,Ratios!$B$4:$L$35,2,0)</f>
        <v>-</v>
      </c>
    </row>
    <row r="183" spans="1:3" x14ac:dyDescent="0.3">
      <c r="A183" s="307" t="s">
        <v>217</v>
      </c>
      <c r="B183" s="308" t="s">
        <v>650</v>
      </c>
      <c r="C183" s="25">
        <f>VLOOKUP(A183,Ratios!$B$4:$L$35,3,0)</f>
        <v>2.6757143376678747</v>
      </c>
    </row>
    <row r="184" spans="1:3" x14ac:dyDescent="0.3">
      <c r="A184" s="305" t="s">
        <v>217</v>
      </c>
      <c r="B184" s="306" t="s">
        <v>651</v>
      </c>
      <c r="C184" s="25">
        <f>VLOOKUP(A184,Ratios!$B$4:$L$35,4,0)</f>
        <v>3.5346642187089641</v>
      </c>
    </row>
    <row r="185" spans="1:3" x14ac:dyDescent="0.3">
      <c r="A185" s="307" t="s">
        <v>217</v>
      </c>
      <c r="B185" s="308" t="s">
        <v>652</v>
      </c>
      <c r="C185" s="25">
        <f>VLOOKUP(A185,Ratios!$B$4:$L$35,5,0)</f>
        <v>4.293518822656095</v>
      </c>
    </row>
    <row r="186" spans="1:3" x14ac:dyDescent="0.3">
      <c r="A186" s="305" t="s">
        <v>217</v>
      </c>
      <c r="B186" s="306" t="s">
        <v>653</v>
      </c>
      <c r="C186" s="25">
        <f>VLOOKUP(A186,Ratios!$B$4:$L$35,6,0)</f>
        <v>0.73532469452388949</v>
      </c>
    </row>
    <row r="187" spans="1:3" x14ac:dyDescent="0.3">
      <c r="A187" s="307" t="s">
        <v>217</v>
      </c>
      <c r="B187" s="308" t="s">
        <v>654</v>
      </c>
      <c r="C187" s="25">
        <f>VLOOKUP(A187,Ratios!$B$4:$L$35,7,0)</f>
        <v>3.446051956213835</v>
      </c>
    </row>
    <row r="188" spans="1:3" x14ac:dyDescent="0.3">
      <c r="A188" s="305" t="s">
        <v>217</v>
      </c>
      <c r="B188" s="306" t="s">
        <v>655</v>
      </c>
      <c r="C188" s="25">
        <f>VLOOKUP(A188,Ratios!$B$4:$L$35,8,0)</f>
        <v>3.2442643027261897</v>
      </c>
    </row>
    <row r="189" spans="1:3" x14ac:dyDescent="0.3">
      <c r="A189" s="307" t="s">
        <v>217</v>
      </c>
      <c r="B189" s="308" t="s">
        <v>656</v>
      </c>
      <c r="C189" s="25">
        <f>VLOOKUP(A189,Ratios!$B$4:$L$35,9,0)</f>
        <v>3.2311139783691569</v>
      </c>
    </row>
    <row r="190" spans="1:3" x14ac:dyDescent="0.3">
      <c r="A190" s="305" t="s">
        <v>217</v>
      </c>
      <c r="B190" s="306" t="s">
        <v>657</v>
      </c>
      <c r="C190" s="25">
        <f>VLOOKUP(A190,Ratios!$B$4:$L$35,10,0)</f>
        <v>3.2178402834198869</v>
      </c>
    </row>
    <row r="191" spans="1:3" x14ac:dyDescent="0.3">
      <c r="A191" s="307" t="s">
        <v>217</v>
      </c>
      <c r="B191" s="308" t="s">
        <v>658</v>
      </c>
      <c r="C191" s="25">
        <f>VLOOKUP(A191,Ratios!$B$4:$L$35,11,0)</f>
        <v>3.2044414735828561</v>
      </c>
    </row>
    <row r="192" spans="1:3" x14ac:dyDescent="0.3">
      <c r="A192" s="305" t="s">
        <v>218</v>
      </c>
      <c r="B192" s="306" t="s">
        <v>649</v>
      </c>
      <c r="C192" t="str">
        <f>VLOOKUP(A192,Ratios!$B$4:$L$35,2,0)</f>
        <v>-</v>
      </c>
    </row>
    <row r="193" spans="1:3" x14ac:dyDescent="0.3">
      <c r="A193" s="307" t="s">
        <v>218</v>
      </c>
      <c r="B193" s="308" t="s">
        <v>650</v>
      </c>
      <c r="C193" s="25">
        <f>VLOOKUP(A193,Ratios!$B$4:$L$35,3,0)</f>
        <v>35.547637809076875</v>
      </c>
    </row>
    <row r="194" spans="1:3" x14ac:dyDescent="0.3">
      <c r="A194" s="305" t="s">
        <v>218</v>
      </c>
      <c r="B194" s="306" t="s">
        <v>651</v>
      </c>
      <c r="C194" s="25">
        <f>VLOOKUP(A194,Ratios!$B$4:$L$35,4,0)</f>
        <v>42.025524028243638</v>
      </c>
    </row>
    <row r="195" spans="1:3" x14ac:dyDescent="0.3">
      <c r="A195" s="307" t="s">
        <v>218</v>
      </c>
      <c r="B195" s="308" t="s">
        <v>652</v>
      </c>
      <c r="C195" s="25">
        <f>VLOOKUP(A195,Ratios!$B$4:$L$35,5,0)</f>
        <v>49.415989618107041</v>
      </c>
    </row>
    <row r="196" spans="1:3" x14ac:dyDescent="0.3">
      <c r="A196" s="305" t="s">
        <v>218</v>
      </c>
      <c r="B196" s="306" t="s">
        <v>653</v>
      </c>
      <c r="C196" s="25">
        <f>VLOOKUP(A196,Ratios!$B$4:$L$35,6,0)</f>
        <v>9.1205511101331656</v>
      </c>
    </row>
    <row r="197" spans="1:3" x14ac:dyDescent="0.3">
      <c r="A197" s="307" t="s">
        <v>218</v>
      </c>
      <c r="B197" s="308" t="s">
        <v>654</v>
      </c>
      <c r="C197" s="25">
        <f>VLOOKUP(A197,Ratios!$B$4:$L$35,7,0)</f>
        <v>44.438433579805093</v>
      </c>
    </row>
    <row r="198" spans="1:3" x14ac:dyDescent="0.3">
      <c r="A198" s="305" t="s">
        <v>218</v>
      </c>
      <c r="B198" s="306" t="s">
        <v>655</v>
      </c>
      <c r="C198" s="25">
        <f>VLOOKUP(A198,Ratios!$B$4:$L$35,8,0)</f>
        <v>40.861854456992724</v>
      </c>
    </row>
    <row r="199" spans="1:3" x14ac:dyDescent="0.3">
      <c r="A199" s="307" t="s">
        <v>218</v>
      </c>
      <c r="B199" s="308" t="s">
        <v>656</v>
      </c>
      <c r="C199" s="25">
        <f>VLOOKUP(A199,Ratios!$B$4:$L$35,9,0)</f>
        <v>40.696224721003645</v>
      </c>
    </row>
    <row r="200" spans="1:3" x14ac:dyDescent="0.3">
      <c r="A200" s="305" t="s">
        <v>218</v>
      </c>
      <c r="B200" s="306" t="s">
        <v>657</v>
      </c>
      <c r="C200" s="25">
        <f>VLOOKUP(A200,Ratios!$B$4:$L$35,10,0)</f>
        <v>40.529041119264477</v>
      </c>
    </row>
    <row r="201" spans="1:3" x14ac:dyDescent="0.3">
      <c r="A201" s="307" t="s">
        <v>218</v>
      </c>
      <c r="B201" s="308" t="s">
        <v>658</v>
      </c>
      <c r="C201" s="25">
        <f>VLOOKUP(A201,Ratios!$B$4:$L$35,11,0)</f>
        <v>40.360281682187292</v>
      </c>
    </row>
    <row r="202" spans="1:3" x14ac:dyDescent="0.3">
      <c r="A202" s="305" t="s">
        <v>219</v>
      </c>
      <c r="B202" s="306" t="s">
        <v>649</v>
      </c>
      <c r="C202" t="str">
        <f>VLOOKUP(A202,Ratios!$B$4:$L$35,2,0)</f>
        <v>-</v>
      </c>
    </row>
    <row r="203" spans="1:3" x14ac:dyDescent="0.3">
      <c r="A203" s="307" t="s">
        <v>219</v>
      </c>
      <c r="B203" s="308" t="s">
        <v>650</v>
      </c>
      <c r="C203" s="25">
        <f>VLOOKUP(A203,Ratios!$B$4:$L$35,3,0)</f>
        <v>21.506429014706519</v>
      </c>
    </row>
    <row r="204" spans="1:3" x14ac:dyDescent="0.3">
      <c r="A204" s="305" t="s">
        <v>219</v>
      </c>
      <c r="B204" s="306" t="s">
        <v>651</v>
      </c>
      <c r="C204" s="25">
        <f>VLOOKUP(A204,Ratios!$B$4:$L$35,4,0)</f>
        <v>24.129187604802254</v>
      </c>
    </row>
    <row r="205" spans="1:3" x14ac:dyDescent="0.3">
      <c r="A205" s="307" t="s">
        <v>219</v>
      </c>
      <c r="B205" s="308" t="s">
        <v>652</v>
      </c>
      <c r="C205" s="25">
        <f>VLOOKUP(A205,Ratios!$B$4:$L$35,5,0)</f>
        <v>26.795430348544709</v>
      </c>
    </row>
    <row r="206" spans="1:3" x14ac:dyDescent="0.3">
      <c r="A206" s="305" t="s">
        <v>219</v>
      </c>
      <c r="B206" s="306" t="s">
        <v>653</v>
      </c>
      <c r="C206" s="25">
        <f>VLOOKUP(A206,Ratios!$B$4:$L$35,6,0)</f>
        <v>26.668395575736319</v>
      </c>
    </row>
    <row r="207" spans="1:3" x14ac:dyDescent="0.3">
      <c r="A207" s="307" t="s">
        <v>219</v>
      </c>
      <c r="B207" s="308" t="s">
        <v>654</v>
      </c>
      <c r="C207" s="25">
        <f>VLOOKUP(A207,Ratios!$B$4:$L$35,7,0)</f>
        <v>26.28821462552671</v>
      </c>
    </row>
    <row r="208" spans="1:3" x14ac:dyDescent="0.3">
      <c r="A208" s="305" t="s">
        <v>219</v>
      </c>
      <c r="B208" s="306" t="s">
        <v>655</v>
      </c>
      <c r="C208" s="25">
        <f>VLOOKUP(A208,Ratios!$B$4:$L$35,8,0)</f>
        <v>27.385389311183705</v>
      </c>
    </row>
    <row r="209" spans="1:3" x14ac:dyDescent="0.3">
      <c r="A209" s="307" t="s">
        <v>219</v>
      </c>
      <c r="B209" s="308" t="s">
        <v>656</v>
      </c>
      <c r="C209" s="25">
        <f>VLOOKUP(A209,Ratios!$B$4:$L$35,9,0)</f>
        <v>28.103841624800385</v>
      </c>
    </row>
    <row r="210" spans="1:3" x14ac:dyDescent="0.3">
      <c r="A210" s="305" t="s">
        <v>219</v>
      </c>
      <c r="B210" s="306" t="s">
        <v>657</v>
      </c>
      <c r="C210" s="25">
        <f>VLOOKUP(A210,Ratios!$B$4:$L$35,10,0)</f>
        <v>28.117102522587651</v>
      </c>
    </row>
    <row r="211" spans="1:3" x14ac:dyDescent="0.3">
      <c r="A211" s="307" t="s">
        <v>219</v>
      </c>
      <c r="B211" s="308" t="s">
        <v>658</v>
      </c>
      <c r="C211" s="25">
        <f>VLOOKUP(A211,Ratios!$B$4:$L$35,11,0)</f>
        <v>27.903581245713262</v>
      </c>
    </row>
    <row r="212" spans="1:3" x14ac:dyDescent="0.3">
      <c r="A212" s="305" t="s">
        <v>220</v>
      </c>
      <c r="B212" s="306" t="s">
        <v>649</v>
      </c>
      <c r="C212" s="25">
        <f>VLOOKUP(A212,Ratios!$B$4:$L$35,2,0)</f>
        <v>1.9828100934961286</v>
      </c>
    </row>
    <row r="213" spans="1:3" x14ac:dyDescent="0.3">
      <c r="A213" s="307" t="s">
        <v>220</v>
      </c>
      <c r="B213" s="308" t="s">
        <v>650</v>
      </c>
      <c r="C213" s="25">
        <f>VLOOKUP(A213,Ratios!$B$4:$L$35,3,0)</f>
        <v>2.301935644127199</v>
      </c>
    </row>
    <row r="214" spans="1:3" x14ac:dyDescent="0.3">
      <c r="A214" s="305" t="s">
        <v>220</v>
      </c>
      <c r="B214" s="306" t="s">
        <v>651</v>
      </c>
      <c r="C214" s="25">
        <f>VLOOKUP(A214,Ratios!$B$4:$L$35,4,0)</f>
        <v>2.9506124522215491</v>
      </c>
    </row>
    <row r="215" spans="1:3" x14ac:dyDescent="0.3">
      <c r="A215" s="307" t="s">
        <v>220</v>
      </c>
      <c r="B215" s="308" t="s">
        <v>652</v>
      </c>
      <c r="C215" s="25">
        <f>VLOOKUP(A215,Ratios!$B$4:$L$35,5,0)</f>
        <v>3.2009531934728259</v>
      </c>
    </row>
    <row r="216" spans="1:3" x14ac:dyDescent="0.3">
      <c r="A216" s="305" t="s">
        <v>220</v>
      </c>
      <c r="B216" s="306" t="s">
        <v>653</v>
      </c>
      <c r="C216" s="25">
        <f>VLOOKUP(A216,Ratios!$B$4:$L$35,6,0)</f>
        <v>3.458646448903274</v>
      </c>
    </row>
    <row r="217" spans="1:3" x14ac:dyDescent="0.3">
      <c r="A217" s="307" t="s">
        <v>220</v>
      </c>
      <c r="B217" s="308" t="s">
        <v>654</v>
      </c>
      <c r="C217" s="25">
        <f>VLOOKUP(A217,Ratios!$B$4:$L$35,7,0)</f>
        <v>3.3330594370059856</v>
      </c>
    </row>
    <row r="218" spans="1:3" x14ac:dyDescent="0.3">
      <c r="A218" s="305" t="s">
        <v>220</v>
      </c>
      <c r="B218" s="306" t="s">
        <v>655</v>
      </c>
      <c r="C218" s="25">
        <f>VLOOKUP(A218,Ratios!$B$4:$L$35,8,0)</f>
        <v>3.2205431342561552</v>
      </c>
    </row>
    <row r="219" spans="1:3" x14ac:dyDescent="0.3">
      <c r="A219" s="307" t="s">
        <v>220</v>
      </c>
      <c r="B219" s="308" t="s">
        <v>656</v>
      </c>
      <c r="C219" s="25">
        <f>VLOOKUP(A219,Ratios!$B$4:$L$35,9,0)</f>
        <v>3.0619850541050546</v>
      </c>
    </row>
    <row r="220" spans="1:3" x14ac:dyDescent="0.3">
      <c r="A220" s="305" t="s">
        <v>220</v>
      </c>
      <c r="B220" s="306" t="s">
        <v>657</v>
      </c>
      <c r="C220" s="25">
        <f>VLOOKUP(A220,Ratios!$B$4:$L$35,10,0)</f>
        <v>2.9043655091846916</v>
      </c>
    </row>
    <row r="221" spans="1:3" x14ac:dyDescent="0.3">
      <c r="A221" s="307" t="s">
        <v>220</v>
      </c>
      <c r="B221" s="308" t="s">
        <v>658</v>
      </c>
      <c r="C221" s="25">
        <f>VLOOKUP(A221,Ratios!$B$4:$L$35,11,0)</f>
        <v>2.7554166836657732</v>
      </c>
    </row>
    <row r="222" spans="1:3" x14ac:dyDescent="0.3">
      <c r="A222" s="305" t="s">
        <v>221</v>
      </c>
      <c r="B222" s="306" t="s">
        <v>650</v>
      </c>
      <c r="C222" s="25">
        <f>VLOOKUP(A222,Ratios!$B$4:$L$35,3,0)</f>
        <v>68.093338042271668</v>
      </c>
    </row>
    <row r="223" spans="1:3" x14ac:dyDescent="0.3">
      <c r="A223" s="307" t="s">
        <v>221</v>
      </c>
      <c r="B223" s="308" t="s">
        <v>651</v>
      </c>
      <c r="C223" s="25">
        <f>VLOOKUP(A223,Ratios!$B$4:$L$35,4,0)</f>
        <v>56.801950242672227</v>
      </c>
    </row>
    <row r="224" spans="1:3" x14ac:dyDescent="0.3">
      <c r="A224" s="305" t="s">
        <v>221</v>
      </c>
      <c r="B224" s="306" t="s">
        <v>652</v>
      </c>
      <c r="C224" s="25">
        <f>VLOOKUP(A224,Ratios!$B$4:$L$35,5,0)</f>
        <v>52.87762381923109</v>
      </c>
    </row>
    <row r="225" spans="1:3" x14ac:dyDescent="0.3">
      <c r="A225" s="307" t="s">
        <v>221</v>
      </c>
      <c r="B225" s="308" t="s">
        <v>653</v>
      </c>
      <c r="C225" s="25">
        <f>VLOOKUP(A225,Ratios!$B$4:$L$35,6,0)</f>
        <v>52.353234371288174</v>
      </c>
    </row>
    <row r="226" spans="1:3" x14ac:dyDescent="0.3">
      <c r="A226" s="305" t="s">
        <v>221</v>
      </c>
      <c r="B226" s="306" t="s">
        <v>654</v>
      </c>
      <c r="C226" s="25">
        <f>VLOOKUP(A226,Ratios!$B$4:$L$35,7,0)</f>
        <v>56.524805672439193</v>
      </c>
    </row>
    <row r="227" spans="1:3" x14ac:dyDescent="0.3">
      <c r="A227" s="307" t="s">
        <v>221</v>
      </c>
      <c r="B227" s="308" t="s">
        <v>655</v>
      </c>
      <c r="C227" s="25">
        <f>VLOOKUP(A227,Ratios!$B$4:$L$35,8,0)</f>
        <v>59.589878032156847</v>
      </c>
    </row>
    <row r="228" spans="1:3" x14ac:dyDescent="0.3">
      <c r="A228" s="305" t="s">
        <v>221</v>
      </c>
      <c r="B228" s="306" t="s">
        <v>656</v>
      </c>
      <c r="C228" s="25">
        <f>VLOOKUP(A228,Ratios!$B$4:$L$35,9,0)</f>
        <v>59.83240312714419</v>
      </c>
    </row>
    <row r="229" spans="1:3" x14ac:dyDescent="0.3">
      <c r="A229" s="307" t="s">
        <v>221</v>
      </c>
      <c r="B229" s="308" t="s">
        <v>657</v>
      </c>
      <c r="C229" s="25">
        <f>VLOOKUP(A229,Ratios!$B$4:$L$35,10,0)</f>
        <v>60.079213719728166</v>
      </c>
    </row>
    <row r="230" spans="1:3" x14ac:dyDescent="0.3">
      <c r="A230" s="305" t="s">
        <v>221</v>
      </c>
      <c r="B230" s="306" t="s">
        <v>658</v>
      </c>
      <c r="C230" s="25">
        <f>VLOOKUP(A230,Ratios!$B$4:$L$35,11,0)</f>
        <v>60.330424411646</v>
      </c>
    </row>
    <row r="231" spans="1:3" x14ac:dyDescent="0.3">
      <c r="A231" s="307" t="s">
        <v>222</v>
      </c>
      <c r="B231" s="308" t="s">
        <v>650</v>
      </c>
      <c r="C231" s="25">
        <f>VLOOKUP(A231,Ratios!$B$4:$L$35,3,0)</f>
        <v>136.41217033584022</v>
      </c>
    </row>
    <row r="232" spans="1:3" x14ac:dyDescent="0.3">
      <c r="A232" s="305" t="s">
        <v>222</v>
      </c>
      <c r="B232" s="306" t="s">
        <v>651</v>
      </c>
      <c r="C232" s="25">
        <f>VLOOKUP(A232,Ratios!$B$4:$L$35,4,0)</f>
        <v>103.26299116845567</v>
      </c>
    </row>
    <row r="233" spans="1:3" x14ac:dyDescent="0.3">
      <c r="A233" s="307" t="s">
        <v>222</v>
      </c>
      <c r="B233" s="308" t="s">
        <v>652</v>
      </c>
      <c r="C233" s="25">
        <f>VLOOKUP(A233,Ratios!$B$4:$L$35,5,0)</f>
        <v>85.011855095164208</v>
      </c>
    </row>
    <row r="234" spans="1:3" x14ac:dyDescent="0.3">
      <c r="A234" s="305" t="s">
        <v>222</v>
      </c>
      <c r="B234" s="306" t="s">
        <v>653</v>
      </c>
      <c r="C234" s="25">
        <f>VLOOKUP(A234,Ratios!$B$4:$L$35,6,0)</f>
        <v>496.37935828652053</v>
      </c>
    </row>
    <row r="235" spans="1:3" x14ac:dyDescent="0.3">
      <c r="A235" s="307" t="s">
        <v>222</v>
      </c>
      <c r="B235" s="308" t="s">
        <v>654</v>
      </c>
      <c r="C235" s="25">
        <f>VLOOKUP(A235,Ratios!$B$4:$L$35,7,0)</f>
        <v>105.9183101815517</v>
      </c>
    </row>
    <row r="236" spans="1:3" x14ac:dyDescent="0.3">
      <c r="A236" s="305" t="s">
        <v>222</v>
      </c>
      <c r="B236" s="306" t="s">
        <v>655</v>
      </c>
      <c r="C236" s="25">
        <f>VLOOKUP(A236,Ratios!$B$4:$L$35,8,0)</f>
        <v>112.50624669922442</v>
      </c>
    </row>
    <row r="237" spans="1:3" x14ac:dyDescent="0.3">
      <c r="A237" s="307" t="s">
        <v>222</v>
      </c>
      <c r="B237" s="308" t="s">
        <v>656</v>
      </c>
      <c r="C237" s="25">
        <f>VLOOKUP(A237,Ratios!$B$4:$L$35,9,0)</f>
        <v>112.96413634539341</v>
      </c>
    </row>
    <row r="238" spans="1:3" x14ac:dyDescent="0.3">
      <c r="A238" s="305" t="s">
        <v>222</v>
      </c>
      <c r="B238" s="306" t="s">
        <v>657</v>
      </c>
      <c r="C238" s="25">
        <f>VLOOKUP(A238,Ratios!$B$4:$L$35,10,0)</f>
        <v>113.43011705108056</v>
      </c>
    </row>
    <row r="239" spans="1:3" x14ac:dyDescent="0.3">
      <c r="A239" s="307" t="s">
        <v>222</v>
      </c>
      <c r="B239" s="308" t="s">
        <v>658</v>
      </c>
      <c r="C239" s="25">
        <f>VLOOKUP(A239,Ratios!$B$4:$L$35,11,0)</f>
        <v>113.90440518543686</v>
      </c>
    </row>
    <row r="240" spans="1:3" x14ac:dyDescent="0.3">
      <c r="A240" s="305" t="s">
        <v>223</v>
      </c>
      <c r="B240" s="306" t="s">
        <v>650</v>
      </c>
      <c r="C240" s="25">
        <f>VLOOKUP(A240,Ratios!$B$4:$L$35,3,0)</f>
        <v>10.26791152650935</v>
      </c>
    </row>
    <row r="241" spans="1:3" x14ac:dyDescent="0.3">
      <c r="A241" s="307" t="s">
        <v>223</v>
      </c>
      <c r="B241" s="308" t="s">
        <v>651</v>
      </c>
      <c r="C241" s="25">
        <f>VLOOKUP(A241,Ratios!$B$4:$L$35,4,0)</f>
        <v>8.6851980656968948</v>
      </c>
    </row>
    <row r="242" spans="1:3" x14ac:dyDescent="0.3">
      <c r="A242" s="305" t="s">
        <v>223</v>
      </c>
      <c r="B242" s="306" t="s">
        <v>652</v>
      </c>
      <c r="C242" s="25">
        <f>VLOOKUP(A242,Ratios!$B$4:$L$35,5,0)</f>
        <v>7.3862732047008617</v>
      </c>
    </row>
    <row r="243" spans="1:3" x14ac:dyDescent="0.3">
      <c r="A243" s="307" t="s">
        <v>223</v>
      </c>
      <c r="B243" s="308" t="s">
        <v>653</v>
      </c>
      <c r="C243" s="25">
        <f>VLOOKUP(A243,Ratios!$B$4:$L$35,6,0)</f>
        <v>40.019511495799378</v>
      </c>
    </row>
    <row r="244" spans="1:3" x14ac:dyDescent="0.3">
      <c r="A244" s="305" t="s">
        <v>223</v>
      </c>
      <c r="B244" s="306" t="s">
        <v>654</v>
      </c>
      <c r="C244" s="25">
        <f>VLOOKUP(A244,Ratios!$B$4:$L$35,7,0)</f>
        <v>8.2136108453173087</v>
      </c>
    </row>
    <row r="245" spans="1:3" x14ac:dyDescent="0.3">
      <c r="A245" s="307" t="s">
        <v>223</v>
      </c>
      <c r="B245" s="308" t="s">
        <v>655</v>
      </c>
      <c r="C245" s="25">
        <f>VLOOKUP(A245,Ratios!$B$4:$L$35,8,0)</f>
        <v>8.9325363435025711</v>
      </c>
    </row>
    <row r="246" spans="1:3" x14ac:dyDescent="0.3">
      <c r="A246" s="305" t="s">
        <v>223</v>
      </c>
      <c r="B246" s="306" t="s">
        <v>656</v>
      </c>
      <c r="C246" s="25">
        <f>VLOOKUP(A246,Ratios!$B$4:$L$35,9,0)</f>
        <v>8.9688909106996508</v>
      </c>
    </row>
    <row r="247" spans="1:3" x14ac:dyDescent="0.3">
      <c r="A247" s="307" t="s">
        <v>223</v>
      </c>
      <c r="B247" s="308" t="s">
        <v>657</v>
      </c>
      <c r="C247" s="25">
        <f>VLOOKUP(A247,Ratios!$B$4:$L$35,10,0)</f>
        <v>9.0058878749664348</v>
      </c>
    </row>
    <row r="248" spans="1:3" x14ac:dyDescent="0.3">
      <c r="A248" s="305" t="s">
        <v>223</v>
      </c>
      <c r="B248" s="306" t="s">
        <v>658</v>
      </c>
      <c r="C248" s="25">
        <f>VLOOKUP(A248,Ratios!$B$4:$L$35,11,0)</f>
        <v>9.0435444151295403</v>
      </c>
    </row>
    <row r="249" spans="1:3" x14ac:dyDescent="0.3">
      <c r="A249" s="307" t="s">
        <v>224</v>
      </c>
      <c r="B249" s="308" t="s">
        <v>650</v>
      </c>
      <c r="C249" s="25">
        <f>VLOOKUP(A249,Ratios!$B$4:$L$35,3,0)</f>
        <v>-58.050920767059196</v>
      </c>
    </row>
    <row r="250" spans="1:3" x14ac:dyDescent="0.3">
      <c r="A250" s="305" t="s">
        <v>224</v>
      </c>
      <c r="B250" s="306" t="s">
        <v>651</v>
      </c>
      <c r="C250" s="25">
        <f>VLOOKUP(A250,Ratios!$B$4:$L$35,4,0)</f>
        <v>-37.775842860086556</v>
      </c>
    </row>
    <row r="251" spans="1:3" x14ac:dyDescent="0.3">
      <c r="A251" s="307" t="s">
        <v>224</v>
      </c>
      <c r="B251" s="308" t="s">
        <v>652</v>
      </c>
      <c r="C251" s="25">
        <f>VLOOKUP(A251,Ratios!$B$4:$L$35,5,0)</f>
        <v>-24.747958071232254</v>
      </c>
    </row>
    <row r="252" spans="1:3" x14ac:dyDescent="0.3">
      <c r="A252" s="305" t="s">
        <v>224</v>
      </c>
      <c r="B252" s="306" t="s">
        <v>653</v>
      </c>
      <c r="C252" s="25">
        <f>VLOOKUP(A252,Ratios!$B$4:$L$35,6,0)</f>
        <v>-404.00661241943294</v>
      </c>
    </row>
    <row r="253" spans="1:3" x14ac:dyDescent="0.3">
      <c r="A253" s="307" t="s">
        <v>224</v>
      </c>
      <c r="B253" s="308" t="s">
        <v>654</v>
      </c>
      <c r="C253" s="25">
        <f>VLOOKUP(A253,Ratios!$B$4:$L$35,7,0)</f>
        <v>-41.179893663795198</v>
      </c>
    </row>
    <row r="254" spans="1:3" x14ac:dyDescent="0.3">
      <c r="A254" s="305" t="s">
        <v>224</v>
      </c>
      <c r="B254" s="306" t="s">
        <v>655</v>
      </c>
      <c r="C254" s="25">
        <f>VLOOKUP(A254,Ratios!$B$4:$L$35,8,0)</f>
        <v>-43.983832323564997</v>
      </c>
    </row>
    <row r="255" spans="1:3" x14ac:dyDescent="0.3">
      <c r="A255" s="307" t="s">
        <v>224</v>
      </c>
      <c r="B255" s="308" t="s">
        <v>656</v>
      </c>
      <c r="C255" s="25">
        <f>VLOOKUP(A255,Ratios!$B$4:$L$35,9,0)</f>
        <v>-44.162842307549568</v>
      </c>
    </row>
    <row r="256" spans="1:3" x14ac:dyDescent="0.3">
      <c r="A256" s="305" t="s">
        <v>224</v>
      </c>
      <c r="B256" s="306" t="s">
        <v>657</v>
      </c>
      <c r="C256" s="25">
        <f>VLOOKUP(A256,Ratios!$B$4:$L$35,10,0)</f>
        <v>-44.345015456385951</v>
      </c>
    </row>
    <row r="257" spans="1:3" x14ac:dyDescent="0.3">
      <c r="A257" s="309" t="s">
        <v>224</v>
      </c>
      <c r="B257" s="310" t="s">
        <v>658</v>
      </c>
      <c r="C257" s="25">
        <f>VLOOKUP(A257,Ratios!$B$4:$L$35,11,0)</f>
        <v>-44.530436358661319</v>
      </c>
    </row>
  </sheetData>
  <pageMargins left="0.7" right="0.7" top="0.75" bottom="0.75" header="0.3" footer="0.3"/>
  <pageSetup orientation="portrait" r:id="rId2"/>
  <drawing r:id="rId3"/>
  <legacyDrawing r:id="rId4"/>
  <extLst>
    <ext xmlns:x14="http://schemas.microsoft.com/office/spreadsheetml/2009/9/main" uri="{05C60535-1F16-4fd2-B633-F4F36F0B64E0}">
      <x14:sparklineGroups xmlns:xm="http://schemas.microsoft.com/office/excel/2006/main">
        <x14:sparklineGroup manualMax="0" manualMin="0" displayEmptyCellsAs="gap" markers="1" xr2:uid="{10F27209-6FC3-483F-9293-686D3E73FD40}">
          <x14:colorSeries theme="3" tint="0.34998626667073579"/>
          <x14:colorNegative theme="0" tint="-0.249977111117893"/>
          <x14:colorAxis rgb="FF000000"/>
          <x14:colorMarkers theme="0" tint="-0.249977111117893"/>
          <x14:colorFirst theme="0" tint="-0.249977111117893"/>
          <x14:colorLast theme="0" tint="-0.249977111117893"/>
          <x14:colorHigh theme="0" tint="-0.249977111117893"/>
          <x14:colorLow theme="0" tint="-0.249977111117893"/>
          <x14:sparklines>
            <x14:sparkline>
              <xm:f>Ratio_Pivot!F3:J3</xm:f>
              <xm:sqref>G13</xm:sqref>
            </x14:sparkline>
            <x14:sparkline>
              <xm:f>Ratio_Pivot!F4:J4</xm:f>
              <xm:sqref>G14</xm:sqref>
            </x14:sparkline>
            <x14:sparkline>
              <xm:f>Ratio_Pivot!F5:J5</xm:f>
              <xm:sqref>G15</xm:sqref>
            </x14:sparkline>
            <x14:sparkline>
              <xm:f>Ratio_Pivot!F6:J6</xm:f>
              <xm:sqref>G16</xm:sqref>
            </x14:sparkline>
            <x14:sparkline>
              <xm:f>Ratio_Pivot!F7:J7</xm:f>
              <xm:sqref>G17</xm:sqref>
            </x14:sparkline>
            <x14:sparkline>
              <xm:f>Ratio_Pivot!F8:J8</xm:f>
              <xm:sqref>G18</xm:sqref>
            </x14:sparkline>
            <x14:sparkline>
              <xm:f>Ratio_Pivot!F9:J9</xm:f>
              <xm:sqref>G19</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F9E7E-CEDB-4889-9354-3C3A30F0F56B}">
  <sheetPr codeName="Sheet5"/>
  <dimension ref="A1:L221"/>
  <sheetViews>
    <sheetView topLeftCell="B4" zoomScale="102" workbookViewId="0">
      <selection activeCell="O10" sqref="O10"/>
    </sheetView>
  </sheetViews>
  <sheetFormatPr defaultRowHeight="14.4" x14ac:dyDescent="0.3"/>
  <cols>
    <col min="1" max="1" width="42.77734375" bestFit="1" customWidth="1"/>
    <col min="2" max="2" width="6.88671875" bestFit="1" customWidth="1"/>
    <col min="5" max="5" width="43.77734375" bestFit="1" customWidth="1"/>
    <col min="6" max="6" width="15.5546875" bestFit="1" customWidth="1"/>
    <col min="7" max="11" width="5.44140625" bestFit="1" customWidth="1"/>
    <col min="12" max="12" width="11" bestFit="1" customWidth="1"/>
  </cols>
  <sheetData>
    <row r="1" spans="1:12" x14ac:dyDescent="0.3">
      <c r="A1" s="302" t="s">
        <v>659</v>
      </c>
      <c r="B1" s="303" t="s">
        <v>365</v>
      </c>
      <c r="C1" s="304" t="s">
        <v>661</v>
      </c>
      <c r="E1" s="311" t="s">
        <v>665</v>
      </c>
      <c r="F1" s="311" t="s">
        <v>662</v>
      </c>
    </row>
    <row r="2" spans="1:12" x14ac:dyDescent="0.3">
      <c r="A2" s="305" t="s">
        <v>126</v>
      </c>
      <c r="B2" s="306" t="s">
        <v>649</v>
      </c>
      <c r="C2" s="22">
        <f>VLOOKUP(A2,'Cash Flow'!$B$5:$L$32,2,0)</f>
        <v>26545</v>
      </c>
      <c r="E2" s="311" t="s">
        <v>664</v>
      </c>
      <c r="F2" t="s">
        <v>653</v>
      </c>
      <c r="G2" t="s">
        <v>654</v>
      </c>
      <c r="H2" t="s">
        <v>655</v>
      </c>
      <c r="I2" t="s">
        <v>656</v>
      </c>
      <c r="J2" t="s">
        <v>657</v>
      </c>
      <c r="K2" t="s">
        <v>658</v>
      </c>
      <c r="L2" t="s">
        <v>663</v>
      </c>
    </row>
    <row r="3" spans="1:12" x14ac:dyDescent="0.3">
      <c r="A3" s="307" t="s">
        <v>126</v>
      </c>
      <c r="B3" s="308" t="s">
        <v>650</v>
      </c>
      <c r="C3" s="22">
        <f>VLOOKUP(A3,'Cash Flow'!$B$5:$L$32,3,0)</f>
        <v>23703</v>
      </c>
      <c r="E3" s="58" t="s">
        <v>84</v>
      </c>
      <c r="F3" s="313">
        <v>6557</v>
      </c>
      <c r="G3" s="313">
        <v>-2485.6311793310001</v>
      </c>
      <c r="H3" s="313">
        <v>-14171.167010459616</v>
      </c>
      <c r="I3" s="313">
        <v>-17058.430030563708</v>
      </c>
      <c r="J3" s="313">
        <v>-20660.381605651128</v>
      </c>
      <c r="K3" s="313">
        <v>-24151.957954658297</v>
      </c>
      <c r="L3" s="313">
        <v>-71970.567780663754</v>
      </c>
    </row>
    <row r="4" spans="1:12" x14ac:dyDescent="0.3">
      <c r="A4" s="305" t="s">
        <v>126</v>
      </c>
      <c r="B4" s="306" t="s">
        <v>651</v>
      </c>
      <c r="C4" s="22">
        <f>VLOOKUP(A4,'Cash Flow'!$B$5:$L$32,4,0)</f>
        <v>27904</v>
      </c>
      <c r="E4" s="58" t="s">
        <v>81</v>
      </c>
      <c r="F4" s="313">
        <v>-15480</v>
      </c>
      <c r="G4" s="313">
        <v>-11525.25910602867</v>
      </c>
      <c r="H4" s="313">
        <v>-12215.735668377087</v>
      </c>
      <c r="I4" s="313">
        <v>-14624.738358339573</v>
      </c>
      <c r="J4" s="313">
        <v>-20030.354491561615</v>
      </c>
      <c r="K4" s="313">
        <v>-29311.811148936773</v>
      </c>
      <c r="L4" s="313">
        <v>-103187.89877324371</v>
      </c>
    </row>
    <row r="5" spans="1:12" x14ac:dyDescent="0.3">
      <c r="A5" s="307" t="s">
        <v>126</v>
      </c>
      <c r="B5" s="308" t="s">
        <v>652</v>
      </c>
      <c r="C5" s="22">
        <f>VLOOKUP(A5,'Cash Flow'!$B$5:$L$32,5,0)</f>
        <v>26316</v>
      </c>
      <c r="E5" s="58" t="s">
        <v>79</v>
      </c>
      <c r="F5" s="313">
        <v>9151</v>
      </c>
      <c r="G5" s="313">
        <v>20583.105388644475</v>
      </c>
      <c r="H5" s="313">
        <v>37722.122330726044</v>
      </c>
      <c r="I5" s="313">
        <v>46295.262649662902</v>
      </c>
      <c r="J5" s="313">
        <v>53951.65207663535</v>
      </c>
      <c r="K5" s="313">
        <v>60846.628496912941</v>
      </c>
      <c r="L5" s="313">
        <v>228549.7709425817</v>
      </c>
    </row>
    <row r="6" spans="1:12" x14ac:dyDescent="0.3">
      <c r="A6" s="305" t="s">
        <v>126</v>
      </c>
      <c r="B6" s="306" t="s">
        <v>653</v>
      </c>
      <c r="C6" s="22">
        <f>VLOOKUP(A6,'Cash Flow'!$B$5:$L$32,6,0)</f>
        <v>45210</v>
      </c>
      <c r="E6" s="58" t="s">
        <v>663</v>
      </c>
      <c r="F6" s="313">
        <v>228</v>
      </c>
      <c r="G6" s="313">
        <v>6572.2151032848051</v>
      </c>
      <c r="H6" s="313">
        <v>11335.21965188934</v>
      </c>
      <c r="I6" s="313">
        <v>14612.094260759623</v>
      </c>
      <c r="J6" s="313">
        <v>13260.915979422607</v>
      </c>
      <c r="K6" s="313">
        <v>7382.8593933178709</v>
      </c>
      <c r="L6" s="313">
        <v>53391.304388674238</v>
      </c>
    </row>
    <row r="7" spans="1:12" x14ac:dyDescent="0.3">
      <c r="A7" s="307" t="s">
        <v>126</v>
      </c>
      <c r="B7" s="308" t="s">
        <v>654</v>
      </c>
      <c r="C7" s="22">
        <f>VLOOKUP(A7,'Cash Flow'!$B$5:$L$32,7,0)</f>
        <v>35730.63358348616</v>
      </c>
    </row>
    <row r="8" spans="1:12" x14ac:dyDescent="0.3">
      <c r="A8" s="305" t="s">
        <v>126</v>
      </c>
      <c r="B8" s="306" t="s">
        <v>655</v>
      </c>
      <c r="C8" s="22">
        <f>VLOOKUP(A8,'Cash Flow'!$B$5:$L$32,8,0)</f>
        <v>43052.148557215973</v>
      </c>
      <c r="F8" s="312" t="s">
        <v>653</v>
      </c>
      <c r="G8" s="312" t="s">
        <v>654</v>
      </c>
      <c r="H8" s="312" t="s">
        <v>655</v>
      </c>
      <c r="I8" s="312" t="s">
        <v>656</v>
      </c>
      <c r="J8" s="312" t="s">
        <v>657</v>
      </c>
      <c r="K8" s="312" t="s">
        <v>658</v>
      </c>
    </row>
    <row r="9" spans="1:12" x14ac:dyDescent="0.3">
      <c r="A9" s="307" t="s">
        <v>126</v>
      </c>
      <c r="B9" s="308" t="s">
        <v>656</v>
      </c>
      <c r="C9" s="22">
        <f>VLOOKUP(A9,'Cash Flow'!$B$5:$L$32,9,0)</f>
        <v>50627.299338770579</v>
      </c>
      <c r="E9" s="58" t="s">
        <v>669</v>
      </c>
      <c r="F9" s="313">
        <f>F3</f>
        <v>6557</v>
      </c>
      <c r="G9" s="313">
        <f>G3</f>
        <v>-2485.6311793310001</v>
      </c>
      <c r="H9" s="313">
        <f t="shared" ref="H9:K9" si="0">H3</f>
        <v>-14171.167010459616</v>
      </c>
      <c r="I9" s="313">
        <f t="shared" si="0"/>
        <v>-17058.430030563708</v>
      </c>
      <c r="J9" s="313">
        <f t="shared" si="0"/>
        <v>-20660.381605651128</v>
      </c>
      <c r="K9" s="313">
        <f t="shared" si="0"/>
        <v>-24151.957954658297</v>
      </c>
    </row>
    <row r="10" spans="1:12" x14ac:dyDescent="0.3">
      <c r="A10" s="305" t="s">
        <v>126</v>
      </c>
      <c r="B10" s="306" t="s">
        <v>657</v>
      </c>
      <c r="C10" s="22">
        <f>VLOOKUP(A10,'Cash Flow'!$B$5:$L$32,10,0)</f>
        <v>58213.98730745427</v>
      </c>
      <c r="E10" s="58" t="s">
        <v>670</v>
      </c>
      <c r="F10" s="313">
        <f>F4</f>
        <v>-15480</v>
      </c>
      <c r="G10" s="313">
        <f>G4</f>
        <v>-11525.25910602867</v>
      </c>
      <c r="H10" s="313">
        <f t="shared" ref="H10:K10" si="1">H4</f>
        <v>-12215.735668377087</v>
      </c>
      <c r="I10" s="313">
        <f t="shared" si="1"/>
        <v>-14624.738358339573</v>
      </c>
      <c r="J10" s="313">
        <f t="shared" si="1"/>
        <v>-20030.354491561615</v>
      </c>
      <c r="K10" s="313">
        <f t="shared" si="1"/>
        <v>-29311.811148936773</v>
      </c>
    </row>
    <row r="11" spans="1:12" x14ac:dyDescent="0.3">
      <c r="A11" s="307" t="s">
        <v>126</v>
      </c>
      <c r="B11" s="308" t="s">
        <v>658</v>
      </c>
      <c r="C11" s="22">
        <f>VLOOKUP(A11,'Cash Flow'!$B$5:$L$32,11,0)</f>
        <v>65508.274271065093</v>
      </c>
      <c r="E11" s="58" t="s">
        <v>671</v>
      </c>
      <c r="F11" s="313">
        <f>F5</f>
        <v>9151</v>
      </c>
      <c r="G11" s="313">
        <f t="shared" ref="G11:K11" si="2">G5</f>
        <v>20583.105388644475</v>
      </c>
      <c r="H11" s="313">
        <f t="shared" si="2"/>
        <v>37722.122330726044</v>
      </c>
      <c r="I11" s="313">
        <f t="shared" si="2"/>
        <v>46295.262649662902</v>
      </c>
      <c r="J11" s="313">
        <f t="shared" si="2"/>
        <v>53951.65207663535</v>
      </c>
      <c r="K11" s="313">
        <f t="shared" si="2"/>
        <v>60846.628496912941</v>
      </c>
    </row>
    <row r="12" spans="1:12" x14ac:dyDescent="0.3">
      <c r="A12" s="305" t="s">
        <v>24</v>
      </c>
      <c r="B12" s="306" t="s">
        <v>649</v>
      </c>
      <c r="C12" s="22">
        <f>VLOOKUP(A12,'Cash Flow'!$B$5:$L$32,2,0)</f>
        <v>3012</v>
      </c>
    </row>
    <row r="13" spans="1:12" x14ac:dyDescent="0.3">
      <c r="A13" s="307" t="s">
        <v>24</v>
      </c>
      <c r="B13" s="308" t="s">
        <v>650</v>
      </c>
      <c r="C13" s="22">
        <f>VLOOKUP(A13,'Cash Flow'!$B$5:$L$32,3,0)</f>
        <v>-9852</v>
      </c>
    </row>
    <row r="14" spans="1:12" x14ac:dyDescent="0.3">
      <c r="A14" s="305" t="s">
        <v>24</v>
      </c>
      <c r="B14" s="306" t="s">
        <v>651</v>
      </c>
      <c r="C14" s="22">
        <f>VLOOKUP(A14,'Cash Flow'!$B$5:$L$32,4,0)</f>
        <v>-4495</v>
      </c>
    </row>
    <row r="15" spans="1:12" x14ac:dyDescent="0.3">
      <c r="A15" s="307" t="s">
        <v>24</v>
      </c>
      <c r="B15" s="308" t="s">
        <v>652</v>
      </c>
      <c r="C15" s="22">
        <f>VLOOKUP(A15,'Cash Flow'!$B$5:$L$32,5,0)</f>
        <v>-10643</v>
      </c>
    </row>
    <row r="16" spans="1:12" x14ac:dyDescent="0.3">
      <c r="A16" s="305" t="s">
        <v>24</v>
      </c>
      <c r="B16" s="306" t="s">
        <v>653</v>
      </c>
      <c r="C16" s="22">
        <f>VLOOKUP(A16,'Cash Flow'!$B$5:$L$32,6,0)</f>
        <v>-10316</v>
      </c>
    </row>
    <row r="17" spans="1:3" x14ac:dyDescent="0.3">
      <c r="A17" s="307" t="s">
        <v>24</v>
      </c>
      <c r="B17" s="308" t="s">
        <v>654</v>
      </c>
      <c r="C17" s="22">
        <f>VLOOKUP(A17,'Cash Flow'!$B$5:$L$32,7,0)</f>
        <v>-13381.341302884997</v>
      </c>
    </row>
    <row r="18" spans="1:3" x14ac:dyDescent="0.3">
      <c r="A18" s="305" t="s">
        <v>24</v>
      </c>
      <c r="B18" s="306" t="s">
        <v>655</v>
      </c>
      <c r="C18" s="22">
        <f>VLOOKUP(A18,'Cash Flow'!$B$5:$L$32,8,0)</f>
        <v>-8914.8345254704109</v>
      </c>
    </row>
    <row r="19" spans="1:3" x14ac:dyDescent="0.3">
      <c r="A19" s="307" t="s">
        <v>24</v>
      </c>
      <c r="B19" s="308" t="s">
        <v>656</v>
      </c>
      <c r="C19" s="22">
        <f>VLOOKUP(A19,'Cash Flow'!$B$5:$L$32,9,0)</f>
        <v>-9592.2071864939062</v>
      </c>
    </row>
    <row r="20" spans="1:3" x14ac:dyDescent="0.3">
      <c r="A20" s="305" t="s">
        <v>24</v>
      </c>
      <c r="B20" s="306" t="s">
        <v>657</v>
      </c>
      <c r="C20" s="22">
        <f>VLOOKUP(A20,'Cash Flow'!$B$5:$L$32,10,0)</f>
        <v>-10180.588648298988</v>
      </c>
    </row>
    <row r="21" spans="1:3" x14ac:dyDescent="0.3">
      <c r="A21" s="307" t="s">
        <v>24</v>
      </c>
      <c r="B21" s="308" t="s">
        <v>658</v>
      </c>
      <c r="C21" s="22">
        <f>VLOOKUP(A21,'Cash Flow'!$B$5:$L$32,11,0)</f>
        <v>-10648.814954050249</v>
      </c>
    </row>
    <row r="22" spans="1:3" x14ac:dyDescent="0.3">
      <c r="A22" s="305" t="s">
        <v>25</v>
      </c>
      <c r="B22" s="306" t="s">
        <v>649</v>
      </c>
      <c r="C22" s="22">
        <f>VLOOKUP(A22,'Cash Flow'!$B$5:$L$32,2,0)</f>
        <v>349</v>
      </c>
    </row>
    <row r="23" spans="1:3" x14ac:dyDescent="0.3">
      <c r="A23" s="307" t="s">
        <v>25</v>
      </c>
      <c r="B23" s="308" t="s">
        <v>650</v>
      </c>
      <c r="C23" s="22">
        <f>VLOOKUP(A23,'Cash Flow'!$B$5:$L$32,3,0)</f>
        <v>-74</v>
      </c>
    </row>
    <row r="24" spans="1:3" x14ac:dyDescent="0.3">
      <c r="A24" s="305" t="s">
        <v>25</v>
      </c>
      <c r="B24" s="306" t="s">
        <v>651</v>
      </c>
      <c r="C24" s="22">
        <f>VLOOKUP(A24,'Cash Flow'!$B$5:$L$32,4,0)</f>
        <v>-476</v>
      </c>
    </row>
    <row r="25" spans="1:3" x14ac:dyDescent="0.3">
      <c r="A25" s="307" t="s">
        <v>25</v>
      </c>
      <c r="B25" s="308" t="s">
        <v>652</v>
      </c>
      <c r="C25" s="22">
        <f>VLOOKUP(A25,'Cash Flow'!$B$5:$L$32,5,0)</f>
        <v>245</v>
      </c>
    </row>
    <row r="26" spans="1:3" x14ac:dyDescent="0.3">
      <c r="A26" s="305" t="s">
        <v>25</v>
      </c>
      <c r="B26" s="306" t="s">
        <v>653</v>
      </c>
      <c r="C26" s="22">
        <f>VLOOKUP(A26,'Cash Flow'!$B$5:$L$32,6,0)</f>
        <v>-540</v>
      </c>
    </row>
    <row r="27" spans="1:3" x14ac:dyDescent="0.3">
      <c r="A27" s="307" t="s">
        <v>25</v>
      </c>
      <c r="B27" s="308" t="s">
        <v>654</v>
      </c>
      <c r="C27" s="22">
        <f>VLOOKUP(A27,'Cash Flow'!$B$5:$L$32,7,0)</f>
        <v>-1450.9454115606814</v>
      </c>
    </row>
    <row r="28" spans="1:3" x14ac:dyDescent="0.3">
      <c r="A28" s="305" t="s">
        <v>25</v>
      </c>
      <c r="B28" s="306" t="s">
        <v>655</v>
      </c>
      <c r="C28" s="22">
        <f>VLOOKUP(A28,'Cash Flow'!$B$5:$L$32,8,0)</f>
        <v>-780.74600333223498</v>
      </c>
    </row>
    <row r="29" spans="1:3" x14ac:dyDescent="0.3">
      <c r="A29" s="307" t="s">
        <v>25</v>
      </c>
      <c r="B29" s="308" t="s">
        <v>656</v>
      </c>
      <c r="C29" s="22">
        <f>VLOOKUP(A29,'Cash Flow'!$B$5:$L$32,9,0)</f>
        <v>-840.06914571358084</v>
      </c>
    </row>
    <row r="30" spans="1:3" x14ac:dyDescent="0.3">
      <c r="A30" s="305" t="s">
        <v>25</v>
      </c>
      <c r="B30" s="306" t="s">
        <v>657</v>
      </c>
      <c r="C30" s="22">
        <f>VLOOKUP(A30,'Cash Flow'!$B$5:$L$32,10,0)</f>
        <v>-891.5985906434471</v>
      </c>
    </row>
    <row r="31" spans="1:3" x14ac:dyDescent="0.3">
      <c r="A31" s="307" t="s">
        <v>25</v>
      </c>
      <c r="B31" s="308" t="s">
        <v>658</v>
      </c>
      <c r="C31" s="22">
        <f>VLOOKUP(A31,'Cash Flow'!$B$5:$L$32,11,0)</f>
        <v>-932.60505193287099</v>
      </c>
    </row>
    <row r="32" spans="1:3" x14ac:dyDescent="0.3">
      <c r="A32" s="305" t="s">
        <v>26</v>
      </c>
      <c r="B32" s="306" t="s">
        <v>649</v>
      </c>
      <c r="C32" s="22">
        <f>VLOOKUP(A32,'Cash Flow'!$B$5:$L$32,2,0)</f>
        <v>2220</v>
      </c>
    </row>
    <row r="33" spans="1:3" x14ac:dyDescent="0.3">
      <c r="A33" s="307" t="s">
        <v>26</v>
      </c>
      <c r="B33" s="308" t="s">
        <v>650</v>
      </c>
      <c r="C33" s="22">
        <f>VLOOKUP(A33,'Cash Flow'!$B$5:$L$32,3,0)</f>
        <v>9678</v>
      </c>
    </row>
    <row r="34" spans="1:3" x14ac:dyDescent="0.3">
      <c r="A34" s="305" t="s">
        <v>26</v>
      </c>
      <c r="B34" s="306" t="s">
        <v>651</v>
      </c>
      <c r="C34" s="22">
        <f>VLOOKUP(A34,'Cash Flow'!$B$5:$L$32,4,0)</f>
        <v>5413</v>
      </c>
    </row>
    <row r="35" spans="1:3" x14ac:dyDescent="0.3">
      <c r="A35" s="307" t="s">
        <v>26</v>
      </c>
      <c r="B35" s="308" t="s">
        <v>652</v>
      </c>
      <c r="C35" s="22">
        <f>VLOOKUP(A35,'Cash Flow'!$B$5:$L$32,5,0)</f>
        <v>14601</v>
      </c>
    </row>
    <row r="36" spans="1:3" x14ac:dyDescent="0.3">
      <c r="A36" s="305" t="s">
        <v>26</v>
      </c>
      <c r="B36" s="306" t="s">
        <v>653</v>
      </c>
      <c r="C36" s="22">
        <f>VLOOKUP(A36,'Cash Flow'!$B$5:$L$32,6,0)</f>
        <v>9835</v>
      </c>
    </row>
    <row r="37" spans="1:3" x14ac:dyDescent="0.3">
      <c r="A37" s="307" t="s">
        <v>26</v>
      </c>
      <c r="B37" s="308" t="s">
        <v>654</v>
      </c>
      <c r="C37" s="22">
        <f>VLOOKUP(A37,'Cash Flow'!$B$5:$L$32,7,0)</f>
        <v>15621.832546531463</v>
      </c>
    </row>
    <row r="38" spans="1:3" x14ac:dyDescent="0.3">
      <c r="A38" s="305" t="s">
        <v>26</v>
      </c>
      <c r="B38" s="306" t="s">
        <v>655</v>
      </c>
      <c r="C38" s="22">
        <f>VLOOKUP(A38,'Cash Flow'!$B$5:$L$32,8,0)</f>
        <v>9833.5790734535258</v>
      </c>
    </row>
    <row r="39" spans="1:3" x14ac:dyDescent="0.3">
      <c r="A39" s="307" t="s">
        <v>26</v>
      </c>
      <c r="B39" s="308" t="s">
        <v>656</v>
      </c>
      <c r="C39" s="22">
        <f>VLOOKUP(A39,'Cash Flow'!$B$5:$L$32,9,0)</f>
        <v>10580.760370575663</v>
      </c>
    </row>
    <row r="40" spans="1:3" x14ac:dyDescent="0.3">
      <c r="A40" s="305" t="s">
        <v>26</v>
      </c>
      <c r="B40" s="306" t="s">
        <v>657</v>
      </c>
      <c r="C40" s="22">
        <f>VLOOKUP(A40,'Cash Flow'!$B$5:$L$32,10,0)</f>
        <v>11229.779218147509</v>
      </c>
    </row>
    <row r="41" spans="1:3" x14ac:dyDescent="0.3">
      <c r="A41" s="307" t="s">
        <v>26</v>
      </c>
      <c r="B41" s="308" t="s">
        <v>658</v>
      </c>
      <c r="C41" s="22">
        <f>VLOOKUP(A41,'Cash Flow'!$B$5:$L$32,11,0)</f>
        <v>11746.259965908015</v>
      </c>
    </row>
    <row r="42" spans="1:3" x14ac:dyDescent="0.3">
      <c r="A42" s="305" t="s">
        <v>27</v>
      </c>
      <c r="B42" s="306" t="s">
        <v>649</v>
      </c>
      <c r="C42" s="22">
        <f>VLOOKUP(A42,'Cash Flow'!$B$5:$L$32,2,0)</f>
        <v>4618</v>
      </c>
    </row>
    <row r="43" spans="1:3" x14ac:dyDescent="0.3">
      <c r="A43" s="307" t="s">
        <v>27</v>
      </c>
      <c r="B43" s="308" t="s">
        <v>650</v>
      </c>
      <c r="C43" s="22">
        <f>VLOOKUP(A43,'Cash Flow'!$B$5:$L$32,3,0)</f>
        <v>5005</v>
      </c>
    </row>
    <row r="44" spans="1:3" x14ac:dyDescent="0.3">
      <c r="A44" s="305" t="s">
        <v>27</v>
      </c>
      <c r="B44" s="306" t="s">
        <v>651</v>
      </c>
      <c r="C44" s="22">
        <f>VLOOKUP(A44,'Cash Flow'!$B$5:$L$32,4,0)</f>
        <v>4937</v>
      </c>
    </row>
    <row r="45" spans="1:3" x14ac:dyDescent="0.3">
      <c r="A45" s="307" t="s">
        <v>27</v>
      </c>
      <c r="B45" s="308" t="s">
        <v>652</v>
      </c>
      <c r="C45" s="22">
        <f>VLOOKUP(A45,'Cash Flow'!$B$5:$L$32,5,0)</f>
        <v>-5588</v>
      </c>
    </row>
    <row r="46" spans="1:3" x14ac:dyDescent="0.3">
      <c r="A46" s="305" t="s">
        <v>27</v>
      </c>
      <c r="B46" s="306" t="s">
        <v>653</v>
      </c>
      <c r="C46" s="22">
        <f>VLOOKUP(A46,'Cash Flow'!$B$5:$L$32,6,0)</f>
        <v>-14208</v>
      </c>
    </row>
    <row r="47" spans="1:3" x14ac:dyDescent="0.3">
      <c r="A47" s="307" t="s">
        <v>27</v>
      </c>
      <c r="B47" s="308" t="s">
        <v>654</v>
      </c>
      <c r="C47" s="22">
        <f>VLOOKUP(A47,'Cash Flow'!$B$5:$L$32,7,0)</f>
        <v>58.977999999999952</v>
      </c>
    </row>
    <row r="48" spans="1:3" x14ac:dyDescent="0.3">
      <c r="A48" s="305" t="s">
        <v>27</v>
      </c>
      <c r="B48" s="306" t="s">
        <v>655</v>
      </c>
      <c r="C48" s="22">
        <f>VLOOKUP(A48,'Cash Flow'!$B$5:$L$32,8,0)</f>
        <v>-8.8263999999999783</v>
      </c>
    </row>
    <row r="49" spans="1:3" x14ac:dyDescent="0.3">
      <c r="A49" s="307" t="s">
        <v>27</v>
      </c>
      <c r="B49" s="308" t="s">
        <v>656</v>
      </c>
      <c r="C49" s="22">
        <f>VLOOKUP(A49,'Cash Flow'!$B$5:$L$32,9,0)</f>
        <v>-26.85367999999994</v>
      </c>
    </row>
    <row r="50" spans="1:3" x14ac:dyDescent="0.3">
      <c r="A50" s="305" t="s">
        <v>27</v>
      </c>
      <c r="B50" s="306" t="s">
        <v>657</v>
      </c>
      <c r="C50" s="22">
        <f>VLOOKUP(A50,'Cash Flow'!$B$5:$L$32,10,0)</f>
        <v>-53.274416000000031</v>
      </c>
    </row>
    <row r="51" spans="1:3" x14ac:dyDescent="0.3">
      <c r="A51" s="307" t="s">
        <v>27</v>
      </c>
      <c r="B51" s="308" t="s">
        <v>658</v>
      </c>
      <c r="C51" s="22">
        <f>VLOOKUP(A51,'Cash Flow'!$B$5:$L$32,11,0)</f>
        <v>50.466700799999956</v>
      </c>
    </row>
    <row r="52" spans="1:3" x14ac:dyDescent="0.3">
      <c r="A52" s="305" t="s">
        <v>28</v>
      </c>
      <c r="B52" s="306" t="s">
        <v>649</v>
      </c>
      <c r="C52" s="22">
        <f>VLOOKUP(A52,'Cash Flow'!$B$5:$L$32,2,0)</f>
        <v>-10198</v>
      </c>
    </row>
    <row r="53" spans="1:3" x14ac:dyDescent="0.3">
      <c r="A53" s="307" t="s">
        <v>28</v>
      </c>
      <c r="B53" s="308" t="s">
        <v>650</v>
      </c>
      <c r="C53" s="22">
        <f>VLOOKUP(A53,'Cash Flow'!$B$5:$L$32,3,0)</f>
        <v>-4757</v>
      </c>
    </row>
    <row r="54" spans="1:3" x14ac:dyDescent="0.3">
      <c r="A54" s="305" t="s">
        <v>28</v>
      </c>
      <c r="B54" s="306" t="s">
        <v>651</v>
      </c>
      <c r="C54" s="22">
        <f>VLOOKUP(A54,'Cash Flow'!$B$5:$L$32,4,0)</f>
        <v>-5379</v>
      </c>
    </row>
    <row r="55" spans="1:3" x14ac:dyDescent="0.3">
      <c r="A55" s="307" t="s">
        <v>28</v>
      </c>
      <c r="B55" s="308" t="s">
        <v>652</v>
      </c>
      <c r="C55" s="22">
        <f>VLOOKUP(A55,'Cash Flow'!$B$5:$L$32,5,0)</f>
        <v>-1385</v>
      </c>
    </row>
    <row r="56" spans="1:3" x14ac:dyDescent="0.3">
      <c r="A56" s="305" t="s">
        <v>28</v>
      </c>
      <c r="B56" s="306" t="s">
        <v>653</v>
      </c>
      <c r="C56" s="22">
        <f>VLOOKUP(A56,'Cash Flow'!$B$5:$L$32,6,0)</f>
        <v>-15229</v>
      </c>
    </row>
    <row r="57" spans="1:3" x14ac:dyDescent="0.3">
      <c r="A57" s="307" t="s">
        <v>28</v>
      </c>
      <c r="B57" s="308" t="s">
        <v>654</v>
      </c>
      <c r="C57" s="22">
        <f>VLOOKUP(A57,'Cash Flow'!$B$5:$L$32,7,0)</f>
        <v>-11457.052026927468</v>
      </c>
    </row>
    <row r="58" spans="1:3" x14ac:dyDescent="0.3">
      <c r="A58" s="305" t="s">
        <v>28</v>
      </c>
      <c r="B58" s="306" t="s">
        <v>655</v>
      </c>
      <c r="C58" s="22">
        <f>VLOOKUP(A58,'Cash Flow'!$B$5:$L$32,8,0)</f>
        <v>-920.19837114081247</v>
      </c>
    </row>
    <row r="59" spans="1:3" x14ac:dyDescent="0.3">
      <c r="A59" s="307" t="s">
        <v>28</v>
      </c>
      <c r="B59" s="308" t="s">
        <v>656</v>
      </c>
      <c r="C59" s="22">
        <f>VLOOKUP(A59,'Cash Flow'!$B$5:$L$32,9,0)</f>
        <v>85.332952524150187</v>
      </c>
    </row>
    <row r="60" spans="1:3" x14ac:dyDescent="0.3">
      <c r="A60" s="305" t="s">
        <v>28</v>
      </c>
      <c r="B60" s="306" t="s">
        <v>657</v>
      </c>
      <c r="C60" s="22">
        <f>VLOOKUP(A60,'Cash Flow'!$B$5:$L$32,10,0)</f>
        <v>172.34720597601063</v>
      </c>
    </row>
    <row r="61" spans="1:3" x14ac:dyDescent="0.3">
      <c r="A61" s="307" t="s">
        <v>28</v>
      </c>
      <c r="B61" s="308" t="s">
        <v>658</v>
      </c>
      <c r="C61" s="22">
        <f>VLOOKUP(A61,'Cash Flow'!$B$5:$L$32,11,0)</f>
        <v>-337.95243487704374</v>
      </c>
    </row>
    <row r="62" spans="1:3" x14ac:dyDescent="0.3">
      <c r="A62" s="305" t="s">
        <v>29</v>
      </c>
      <c r="B62" s="306" t="s">
        <v>649</v>
      </c>
      <c r="C62" s="22">
        <f>VLOOKUP(A62,'Cash Flow'!$B$5:$L$32,2,0)</f>
        <v>-3471</v>
      </c>
    </row>
    <row r="63" spans="1:3" x14ac:dyDescent="0.3">
      <c r="A63" s="307" t="s">
        <v>29</v>
      </c>
      <c r="B63" s="308" t="s">
        <v>650</v>
      </c>
      <c r="C63" s="22">
        <f>VLOOKUP(A63,'Cash Flow'!$B$5:$L$32,3,0)</f>
        <v>-4539</v>
      </c>
    </row>
    <row r="64" spans="1:3" x14ac:dyDescent="0.3">
      <c r="A64" s="305" t="s">
        <v>29</v>
      </c>
      <c r="B64" s="306" t="s">
        <v>651</v>
      </c>
      <c r="C64" s="22">
        <f>VLOOKUP(A64,'Cash Flow'!$B$5:$L$32,4,0)</f>
        <v>-5127</v>
      </c>
    </row>
    <row r="65" spans="1:3" x14ac:dyDescent="0.3">
      <c r="A65" s="307" t="s">
        <v>29</v>
      </c>
      <c r="B65" s="308" t="s">
        <v>652</v>
      </c>
      <c r="C65" s="22">
        <f>VLOOKUP(A65,'Cash Flow'!$B$5:$L$32,5,0)</f>
        <v>-5280</v>
      </c>
    </row>
    <row r="66" spans="1:3" x14ac:dyDescent="0.3">
      <c r="A66" s="305" t="s">
        <v>29</v>
      </c>
      <c r="B66" s="306" t="s">
        <v>653</v>
      </c>
      <c r="C66" s="22">
        <f>VLOOKUP(A66,'Cash Flow'!$B$5:$L$32,6,0)</f>
        <v>-5601</v>
      </c>
    </row>
    <row r="67" spans="1:3" x14ac:dyDescent="0.3">
      <c r="A67" s="307" t="s">
        <v>29</v>
      </c>
      <c r="B67" s="308" t="s">
        <v>654</v>
      </c>
      <c r="C67" s="22">
        <f>VLOOKUP(A67,'Cash Flow'!$B$5:$L$32,7,0)</f>
        <v>-4539</v>
      </c>
    </row>
    <row r="68" spans="1:3" x14ac:dyDescent="0.3">
      <c r="A68" s="305" t="s">
        <v>29</v>
      </c>
      <c r="B68" s="306" t="s">
        <v>655</v>
      </c>
      <c r="C68" s="22">
        <f>VLOOKUP(A68,'Cash Flow'!$B$5:$L$32,8,0)</f>
        <v>-4539</v>
      </c>
    </row>
    <row r="69" spans="1:3" x14ac:dyDescent="0.3">
      <c r="A69" s="307" t="s">
        <v>29</v>
      </c>
      <c r="B69" s="308" t="s">
        <v>656</v>
      </c>
      <c r="C69" s="22">
        <f>VLOOKUP(A69,'Cash Flow'!$B$5:$L$32,9,0)</f>
        <v>-4539</v>
      </c>
    </row>
    <row r="70" spans="1:3" x14ac:dyDescent="0.3">
      <c r="A70" s="305" t="s">
        <v>29</v>
      </c>
      <c r="B70" s="306" t="s">
        <v>657</v>
      </c>
      <c r="C70" s="22">
        <f>VLOOKUP(A70,'Cash Flow'!$B$5:$L$32,10,0)</f>
        <v>-4539</v>
      </c>
    </row>
    <row r="71" spans="1:3" x14ac:dyDescent="0.3">
      <c r="A71" s="307" t="s">
        <v>29</v>
      </c>
      <c r="B71" s="308" t="s">
        <v>658</v>
      </c>
      <c r="C71" s="22">
        <f>VLOOKUP(A71,'Cash Flow'!$B$5:$L$32,11,0)</f>
        <v>-4539</v>
      </c>
    </row>
    <row r="72" spans="1:3" x14ac:dyDescent="0.3">
      <c r="A72" s="305" t="s">
        <v>79</v>
      </c>
      <c r="B72" s="306" t="s">
        <v>649</v>
      </c>
      <c r="C72" s="22">
        <f>VLOOKUP(A72,'Cash Flow'!$B$5:$L$32,2,0)</f>
        <v>23075</v>
      </c>
    </row>
    <row r="73" spans="1:3" x14ac:dyDescent="0.3">
      <c r="A73" s="307" t="s">
        <v>79</v>
      </c>
      <c r="B73" s="308" t="s">
        <v>650</v>
      </c>
      <c r="C73" s="22">
        <f>VLOOKUP(A73,'Cash Flow'!$B$5:$L$32,3,0)</f>
        <v>19164</v>
      </c>
    </row>
    <row r="74" spans="1:3" x14ac:dyDescent="0.3">
      <c r="A74" s="305" t="s">
        <v>79</v>
      </c>
      <c r="B74" s="306" t="s">
        <v>651</v>
      </c>
      <c r="C74" s="22">
        <f>VLOOKUP(A74,'Cash Flow'!$B$5:$L$32,4,0)</f>
        <v>22777</v>
      </c>
    </row>
    <row r="75" spans="1:3" x14ac:dyDescent="0.3">
      <c r="A75" s="307" t="s">
        <v>79</v>
      </c>
      <c r="B75" s="308" t="s">
        <v>652</v>
      </c>
      <c r="C75" s="22">
        <f>VLOOKUP(A75,'Cash Flow'!$B$5:$L$32,5,0)</f>
        <v>18266</v>
      </c>
    </row>
    <row r="76" spans="1:3" x14ac:dyDescent="0.3">
      <c r="A76" s="305" t="s">
        <v>79</v>
      </c>
      <c r="B76" s="306" t="s">
        <v>653</v>
      </c>
      <c r="C76" s="22">
        <f>VLOOKUP(A76,'Cash Flow'!$B$5:$L$32,6,0)</f>
        <v>9151</v>
      </c>
    </row>
    <row r="77" spans="1:3" x14ac:dyDescent="0.3">
      <c r="A77" s="307" t="s">
        <v>79</v>
      </c>
      <c r="B77" s="308" t="s">
        <v>654</v>
      </c>
      <c r="C77" s="22">
        <f>VLOOKUP(A77,'Cash Flow'!$B$5:$L$32,7,0)</f>
        <v>20583.105388644475</v>
      </c>
    </row>
    <row r="78" spans="1:3" x14ac:dyDescent="0.3">
      <c r="A78" s="305" t="s">
        <v>79</v>
      </c>
      <c r="B78" s="306" t="s">
        <v>655</v>
      </c>
      <c r="C78" s="22">
        <f>VLOOKUP(A78,'Cash Flow'!$B$5:$L$32,8,0)</f>
        <v>37722.122330726044</v>
      </c>
    </row>
    <row r="79" spans="1:3" x14ac:dyDescent="0.3">
      <c r="A79" s="307" t="s">
        <v>79</v>
      </c>
      <c r="B79" s="308" t="s">
        <v>656</v>
      </c>
      <c r="C79" s="22">
        <f>VLOOKUP(A79,'Cash Flow'!$B$5:$L$32,9,0)</f>
        <v>46295.262649662902</v>
      </c>
    </row>
    <row r="80" spans="1:3" x14ac:dyDescent="0.3">
      <c r="A80" s="305" t="s">
        <v>79</v>
      </c>
      <c r="B80" s="306" t="s">
        <v>657</v>
      </c>
      <c r="C80" s="22">
        <f>VLOOKUP(A80,'Cash Flow'!$B$5:$L$32,10,0)</f>
        <v>53951.65207663535</v>
      </c>
    </row>
    <row r="81" spans="1:3" x14ac:dyDescent="0.3">
      <c r="A81" s="307" t="s">
        <v>79</v>
      </c>
      <c r="B81" s="308" t="s">
        <v>658</v>
      </c>
      <c r="C81" s="22">
        <f>VLOOKUP(A81,'Cash Flow'!$B$5:$L$32,11,0)</f>
        <v>60846.628496912941</v>
      </c>
    </row>
    <row r="82" spans="1:3" x14ac:dyDescent="0.3">
      <c r="A82" s="305" t="s">
        <v>31</v>
      </c>
      <c r="B82" s="306" t="s">
        <v>649</v>
      </c>
      <c r="C82" s="22">
        <f>VLOOKUP(A82,'Cash Flow'!$B$5:$L$32,2,0)</f>
        <v>-1808</v>
      </c>
    </row>
    <row r="83" spans="1:3" x14ac:dyDescent="0.3">
      <c r="A83" s="307" t="s">
        <v>31</v>
      </c>
      <c r="B83" s="308" t="s">
        <v>650</v>
      </c>
      <c r="C83" s="22">
        <f>VLOOKUP(A83,'Cash Flow'!$B$5:$L$32,3,0)</f>
        <v>-3111</v>
      </c>
    </row>
    <row r="84" spans="1:3" x14ac:dyDescent="0.3">
      <c r="A84" s="305" t="s">
        <v>31</v>
      </c>
      <c r="B84" s="306" t="s">
        <v>651</v>
      </c>
      <c r="C84" s="22">
        <f>VLOOKUP(A84,'Cash Flow'!$B$5:$L$32,4,0)</f>
        <v>-4144</v>
      </c>
    </row>
    <row r="85" spans="1:3" x14ac:dyDescent="0.3">
      <c r="A85" s="307" t="s">
        <v>31</v>
      </c>
      <c r="B85" s="308" t="s">
        <v>652</v>
      </c>
      <c r="C85" s="22">
        <f>VLOOKUP(A85,'Cash Flow'!$B$5:$L$32,5,0)</f>
        <v>-4517</v>
      </c>
    </row>
    <row r="86" spans="1:3" x14ac:dyDescent="0.3">
      <c r="A86" s="305" t="s">
        <v>31</v>
      </c>
      <c r="B86" s="306" t="s">
        <v>653</v>
      </c>
      <c r="C86" s="22">
        <f>VLOOKUP(A86,'Cash Flow'!$B$5:$L$32,6,0)</f>
        <v>-4419</v>
      </c>
    </row>
    <row r="87" spans="1:3" x14ac:dyDescent="0.3">
      <c r="A87" s="307" t="s">
        <v>31</v>
      </c>
      <c r="B87" s="308" t="s">
        <v>654</v>
      </c>
      <c r="C87" s="22">
        <f>VLOOKUP(A87,'Cash Flow'!$B$5:$L$32,7,0)</f>
        <v>-7280.2591060286704</v>
      </c>
    </row>
    <row r="88" spans="1:3" x14ac:dyDescent="0.3">
      <c r="A88" s="305" t="s">
        <v>31</v>
      </c>
      <c r="B88" s="306" t="s">
        <v>655</v>
      </c>
      <c r="C88" s="22">
        <f>VLOOKUP(A88,'Cash Flow'!$B$5:$L$32,8,0)</f>
        <v>-7970.7356683770868</v>
      </c>
    </row>
    <row r="89" spans="1:3" x14ac:dyDescent="0.3">
      <c r="A89" s="307" t="s">
        <v>31</v>
      </c>
      <c r="B89" s="308" t="s">
        <v>656</v>
      </c>
      <c r="C89" s="22">
        <f>VLOOKUP(A89,'Cash Flow'!$B$5:$L$32,9,0)</f>
        <v>-10379.738358339573</v>
      </c>
    </row>
    <row r="90" spans="1:3" x14ac:dyDescent="0.3">
      <c r="A90" s="305" t="s">
        <v>31</v>
      </c>
      <c r="B90" s="306" t="s">
        <v>657</v>
      </c>
      <c r="C90" s="22">
        <f>VLOOKUP(A90,'Cash Flow'!$B$5:$L$32,10,0)</f>
        <v>-15785.354491561617</v>
      </c>
    </row>
    <row r="91" spans="1:3" x14ac:dyDescent="0.3">
      <c r="A91" s="307" t="s">
        <v>31</v>
      </c>
      <c r="B91" s="308" t="s">
        <v>658</v>
      </c>
      <c r="C91" s="22">
        <f>VLOOKUP(A91,'Cash Flow'!$B$5:$L$32,11,0)</f>
        <v>-25066.811148936773</v>
      </c>
    </row>
    <row r="92" spans="1:3" x14ac:dyDescent="0.3">
      <c r="A92" s="305" t="s">
        <v>32</v>
      </c>
      <c r="B92" s="306" t="s">
        <v>649</v>
      </c>
      <c r="C92" s="22">
        <f>VLOOKUP(A92,'Cash Flow'!$B$5:$L$32,2,0)</f>
        <v>885</v>
      </c>
    </row>
    <row r="93" spans="1:3" x14ac:dyDescent="0.3">
      <c r="A93" s="307" t="s">
        <v>32</v>
      </c>
      <c r="B93" s="308" t="s">
        <v>650</v>
      </c>
      <c r="C93" s="22">
        <f>VLOOKUP(A93,'Cash Flow'!$B$5:$L$32,3,0)</f>
        <v>71</v>
      </c>
    </row>
    <row r="94" spans="1:3" x14ac:dyDescent="0.3">
      <c r="A94" s="305" t="s">
        <v>32</v>
      </c>
      <c r="B94" s="306" t="s">
        <v>651</v>
      </c>
      <c r="C94" s="22">
        <f>VLOOKUP(A94,'Cash Flow'!$B$5:$L$32,4,0)</f>
        <v>350</v>
      </c>
    </row>
    <row r="95" spans="1:3" x14ac:dyDescent="0.3">
      <c r="A95" s="307" t="s">
        <v>32</v>
      </c>
      <c r="B95" s="308" t="s">
        <v>652</v>
      </c>
      <c r="C95" s="22">
        <f>VLOOKUP(A95,'Cash Flow'!$B$5:$L$32,5,0)</f>
        <v>306</v>
      </c>
    </row>
    <row r="96" spans="1:3" x14ac:dyDescent="0.3">
      <c r="A96" s="305" t="s">
        <v>32</v>
      </c>
      <c r="B96" s="306" t="s">
        <v>653</v>
      </c>
      <c r="C96" s="22">
        <f>VLOOKUP(A96,'Cash Flow'!$B$5:$L$32,6,0)</f>
        <v>878</v>
      </c>
    </row>
    <row r="97" spans="1:3" x14ac:dyDescent="0.3">
      <c r="A97" s="307" t="s">
        <v>32</v>
      </c>
      <c r="B97" s="308" t="s">
        <v>654</v>
      </c>
      <c r="C97" s="22">
        <f>VLOOKUP(A97,'Cash Flow'!$B$5:$L$32,7,0)</f>
        <v>878</v>
      </c>
    </row>
    <row r="98" spans="1:3" x14ac:dyDescent="0.3">
      <c r="A98" s="305" t="s">
        <v>32</v>
      </c>
      <c r="B98" s="306" t="s">
        <v>655</v>
      </c>
      <c r="C98" s="22">
        <f>VLOOKUP(A98,'Cash Flow'!$B$5:$L$32,8,0)</f>
        <v>878</v>
      </c>
    </row>
    <row r="99" spans="1:3" x14ac:dyDescent="0.3">
      <c r="A99" s="307" t="s">
        <v>32</v>
      </c>
      <c r="B99" s="308" t="s">
        <v>656</v>
      </c>
      <c r="C99" s="22">
        <f>VLOOKUP(A99,'Cash Flow'!$B$5:$L$32,9,0)</f>
        <v>878</v>
      </c>
    </row>
    <row r="100" spans="1:3" x14ac:dyDescent="0.3">
      <c r="A100" s="305" t="s">
        <v>32</v>
      </c>
      <c r="B100" s="306" t="s">
        <v>657</v>
      </c>
      <c r="C100" s="22">
        <f>VLOOKUP(A100,'Cash Flow'!$B$5:$L$32,10,0)</f>
        <v>878</v>
      </c>
    </row>
    <row r="101" spans="1:3" x14ac:dyDescent="0.3">
      <c r="A101" s="307" t="s">
        <v>32</v>
      </c>
      <c r="B101" s="308" t="s">
        <v>658</v>
      </c>
      <c r="C101" s="22">
        <f>VLOOKUP(A101,'Cash Flow'!$B$5:$L$32,11,0)</f>
        <v>878</v>
      </c>
    </row>
    <row r="102" spans="1:3" x14ac:dyDescent="0.3">
      <c r="A102" s="305" t="s">
        <v>33</v>
      </c>
      <c r="B102" s="306" t="s">
        <v>649</v>
      </c>
      <c r="C102" s="22">
        <f>VLOOKUP(A102,'Cash Flow'!$B$5:$L$32,2,0)</f>
        <v>-18715</v>
      </c>
    </row>
    <row r="103" spans="1:3" x14ac:dyDescent="0.3">
      <c r="A103" s="307" t="s">
        <v>33</v>
      </c>
      <c r="B103" s="308" t="s">
        <v>650</v>
      </c>
      <c r="C103" s="22">
        <f>VLOOKUP(A103,'Cash Flow'!$B$5:$L$32,3,0)</f>
        <v>-2156</v>
      </c>
    </row>
    <row r="104" spans="1:3" x14ac:dyDescent="0.3">
      <c r="A104" s="305" t="s">
        <v>33</v>
      </c>
      <c r="B104" s="306" t="s">
        <v>651</v>
      </c>
      <c r="C104" s="22">
        <f>VLOOKUP(A104,'Cash Flow'!$B$5:$L$32,4,0)</f>
        <v>-9120</v>
      </c>
    </row>
    <row r="105" spans="1:3" x14ac:dyDescent="0.3">
      <c r="A105" s="307" t="s">
        <v>33</v>
      </c>
      <c r="B105" s="308" t="s">
        <v>652</v>
      </c>
      <c r="C105" s="22">
        <f>VLOOKUP(A105,'Cash Flow'!$B$5:$L$32,5,0)</f>
        <v>-4889</v>
      </c>
    </row>
    <row r="106" spans="1:3" x14ac:dyDescent="0.3">
      <c r="A106" s="305" t="s">
        <v>33</v>
      </c>
      <c r="B106" s="306" t="s">
        <v>653</v>
      </c>
      <c r="C106" s="22">
        <f>VLOOKUP(A106,'Cash Flow'!$B$5:$L$32,6,0)</f>
        <v>-8235</v>
      </c>
    </row>
    <row r="107" spans="1:3" x14ac:dyDescent="0.3">
      <c r="A107" s="307" t="s">
        <v>33</v>
      </c>
      <c r="B107" s="308" t="s">
        <v>654</v>
      </c>
      <c r="C107" s="22">
        <f>VLOOKUP(A107,'Cash Flow'!$B$5:$L$32,7,0)</f>
        <v>-2156</v>
      </c>
    </row>
    <row r="108" spans="1:3" x14ac:dyDescent="0.3">
      <c r="A108" s="305" t="s">
        <v>33</v>
      </c>
      <c r="B108" s="306" t="s">
        <v>655</v>
      </c>
      <c r="C108" s="22">
        <f>VLOOKUP(A108,'Cash Flow'!$B$5:$L$32,8,0)</f>
        <v>-2156</v>
      </c>
    </row>
    <row r="109" spans="1:3" x14ac:dyDescent="0.3">
      <c r="A109" s="307" t="s">
        <v>33</v>
      </c>
      <c r="B109" s="308" t="s">
        <v>656</v>
      </c>
      <c r="C109" s="22">
        <f>VLOOKUP(A109,'Cash Flow'!$B$5:$L$32,9,0)</f>
        <v>-2156</v>
      </c>
    </row>
    <row r="110" spans="1:3" x14ac:dyDescent="0.3">
      <c r="A110" s="305" t="s">
        <v>33</v>
      </c>
      <c r="B110" s="306" t="s">
        <v>657</v>
      </c>
      <c r="C110" s="22">
        <f>VLOOKUP(A110,'Cash Flow'!$B$5:$L$32,10,0)</f>
        <v>-2156</v>
      </c>
    </row>
    <row r="111" spans="1:3" x14ac:dyDescent="0.3">
      <c r="A111" s="307" t="s">
        <v>33</v>
      </c>
      <c r="B111" s="308" t="s">
        <v>658</v>
      </c>
      <c r="C111" s="22">
        <f>VLOOKUP(A111,'Cash Flow'!$B$5:$L$32,11,0)</f>
        <v>-2156</v>
      </c>
    </row>
    <row r="112" spans="1:3" x14ac:dyDescent="0.3">
      <c r="A112" s="305" t="s">
        <v>34</v>
      </c>
      <c r="B112" s="306" t="s">
        <v>649</v>
      </c>
      <c r="C112" s="22">
        <f>VLOOKUP(A112,'Cash Flow'!$B$5:$L$32,2,0)</f>
        <v>240</v>
      </c>
    </row>
    <row r="113" spans="1:3" x14ac:dyDescent="0.3">
      <c r="A113" s="307" t="s">
        <v>34</v>
      </c>
      <c r="B113" s="308" t="s">
        <v>650</v>
      </c>
      <c r="C113" s="22">
        <f>VLOOKUP(A113,'Cash Flow'!$B$5:$L$32,3,0)</f>
        <v>2463</v>
      </c>
    </row>
    <row r="114" spans="1:3" x14ac:dyDescent="0.3">
      <c r="A114" s="305" t="s">
        <v>34</v>
      </c>
      <c r="B114" s="306" t="s">
        <v>651</v>
      </c>
      <c r="C114" s="22">
        <f>VLOOKUP(A114,'Cash Flow'!$B$5:$L$32,4,0)</f>
        <v>827</v>
      </c>
    </row>
    <row r="115" spans="1:3" x14ac:dyDescent="0.3">
      <c r="A115" s="307" t="s">
        <v>34</v>
      </c>
      <c r="B115" s="308" t="s">
        <v>652</v>
      </c>
      <c r="C115" s="22">
        <f>VLOOKUP(A115,'Cash Flow'!$B$5:$L$32,5,0)</f>
        <v>4931</v>
      </c>
    </row>
    <row r="116" spans="1:3" x14ac:dyDescent="0.3">
      <c r="A116" s="305" t="s">
        <v>34</v>
      </c>
      <c r="B116" s="306" t="s">
        <v>653</v>
      </c>
      <c r="C116" s="22">
        <f>VLOOKUP(A116,'Cash Flow'!$B$5:$L$32,6,0)</f>
        <v>1726</v>
      </c>
    </row>
    <row r="117" spans="1:3" x14ac:dyDescent="0.3">
      <c r="A117" s="307" t="s">
        <v>34</v>
      </c>
      <c r="B117" s="308" t="s">
        <v>654</v>
      </c>
      <c r="C117" s="22">
        <f>VLOOKUP(A117,'Cash Flow'!$B$5:$L$32,7,0)</f>
        <v>2463</v>
      </c>
    </row>
    <row r="118" spans="1:3" x14ac:dyDescent="0.3">
      <c r="A118" s="305" t="s">
        <v>34</v>
      </c>
      <c r="B118" s="306" t="s">
        <v>655</v>
      </c>
      <c r="C118" s="22">
        <f>VLOOKUP(A118,'Cash Flow'!$B$5:$L$32,8,0)</f>
        <v>2463</v>
      </c>
    </row>
    <row r="119" spans="1:3" x14ac:dyDescent="0.3">
      <c r="A119" s="307" t="s">
        <v>34</v>
      </c>
      <c r="B119" s="308" t="s">
        <v>656</v>
      </c>
      <c r="C119" s="22">
        <f>VLOOKUP(A119,'Cash Flow'!$B$5:$L$32,9,0)</f>
        <v>2463</v>
      </c>
    </row>
    <row r="120" spans="1:3" x14ac:dyDescent="0.3">
      <c r="A120" s="305" t="s">
        <v>34</v>
      </c>
      <c r="B120" s="306" t="s">
        <v>657</v>
      </c>
      <c r="C120" s="22">
        <f>VLOOKUP(A120,'Cash Flow'!$B$5:$L$32,10,0)</f>
        <v>2463</v>
      </c>
    </row>
    <row r="121" spans="1:3" x14ac:dyDescent="0.3">
      <c r="A121" s="307" t="s">
        <v>34</v>
      </c>
      <c r="B121" s="308" t="s">
        <v>658</v>
      </c>
      <c r="C121" s="22">
        <f>VLOOKUP(A121,'Cash Flow'!$B$5:$L$32,11,0)</f>
        <v>2463</v>
      </c>
    </row>
    <row r="122" spans="1:3" x14ac:dyDescent="0.3">
      <c r="A122" s="305" t="s">
        <v>40</v>
      </c>
      <c r="B122" s="306" t="s">
        <v>649</v>
      </c>
      <c r="C122" s="22">
        <f>VLOOKUP(A122,'Cash Flow'!$B$5:$L$32,2,0)</f>
        <v>13646</v>
      </c>
    </row>
    <row r="123" spans="1:3" x14ac:dyDescent="0.3">
      <c r="A123" s="307" t="s">
        <v>40</v>
      </c>
      <c r="B123" s="308" t="s">
        <v>650</v>
      </c>
      <c r="C123" s="22">
        <f>VLOOKUP(A123,'Cash Flow'!$B$5:$L$32,3,0)</f>
        <v>-852</v>
      </c>
    </row>
    <row r="124" spans="1:3" x14ac:dyDescent="0.3">
      <c r="A124" s="305" t="s">
        <v>40</v>
      </c>
      <c r="B124" s="306" t="s">
        <v>651</v>
      </c>
      <c r="C124" s="22">
        <f>VLOOKUP(A124,'Cash Flow'!$B$5:$L$32,4,0)</f>
        <v>4038</v>
      </c>
    </row>
    <row r="125" spans="1:3" x14ac:dyDescent="0.3">
      <c r="A125" s="307" t="s">
        <v>40</v>
      </c>
      <c r="B125" s="308" t="s">
        <v>652</v>
      </c>
      <c r="C125" s="22">
        <f>VLOOKUP(A125,'Cash Flow'!$B$5:$L$32,5,0)</f>
        <v>6348</v>
      </c>
    </row>
    <row r="126" spans="1:3" x14ac:dyDescent="0.3">
      <c r="A126" s="305" t="s">
        <v>40</v>
      </c>
      <c r="B126" s="306" t="s">
        <v>653</v>
      </c>
      <c r="C126" s="22">
        <f>VLOOKUP(A126,'Cash Flow'!$B$5:$L$32,6,0)</f>
        <v>-5430</v>
      </c>
    </row>
    <row r="127" spans="1:3" x14ac:dyDescent="0.3">
      <c r="A127" s="307" t="s">
        <v>40</v>
      </c>
      <c r="B127" s="308" t="s">
        <v>654</v>
      </c>
      <c r="C127" s="22">
        <f>VLOOKUP(A127,'Cash Flow'!$B$5:$L$32,7,0)</f>
        <v>-5430</v>
      </c>
    </row>
    <row r="128" spans="1:3" x14ac:dyDescent="0.3">
      <c r="A128" s="305" t="s">
        <v>40</v>
      </c>
      <c r="B128" s="306" t="s">
        <v>655</v>
      </c>
      <c r="C128" s="22">
        <f>VLOOKUP(A128,'Cash Flow'!$B$5:$L$32,8,0)</f>
        <v>-5430</v>
      </c>
    </row>
    <row r="129" spans="1:3" x14ac:dyDescent="0.3">
      <c r="A129" s="307" t="s">
        <v>40</v>
      </c>
      <c r="B129" s="308" t="s">
        <v>656</v>
      </c>
      <c r="C129" s="22">
        <f>VLOOKUP(A129,'Cash Flow'!$B$5:$L$32,9,0)</f>
        <v>-5430</v>
      </c>
    </row>
    <row r="130" spans="1:3" x14ac:dyDescent="0.3">
      <c r="A130" s="305" t="s">
        <v>40</v>
      </c>
      <c r="B130" s="306" t="s">
        <v>657</v>
      </c>
      <c r="C130" s="22">
        <f>VLOOKUP(A130,'Cash Flow'!$B$5:$L$32,10,0)</f>
        <v>-5430</v>
      </c>
    </row>
    <row r="131" spans="1:3" x14ac:dyDescent="0.3">
      <c r="A131" s="307" t="s">
        <v>40</v>
      </c>
      <c r="B131" s="308" t="s">
        <v>658</v>
      </c>
      <c r="C131" s="22">
        <f>VLOOKUP(A131,'Cash Flow'!$B$5:$L$32,11,0)</f>
        <v>-5430</v>
      </c>
    </row>
    <row r="132" spans="1:3" x14ac:dyDescent="0.3">
      <c r="A132" s="305" t="s">
        <v>81</v>
      </c>
      <c r="B132" s="306" t="s">
        <v>649</v>
      </c>
      <c r="C132" s="22">
        <f>VLOOKUP(A132,'Cash Flow'!$B$5:$L$32,2,0)</f>
        <v>-5752</v>
      </c>
    </row>
    <row r="133" spans="1:3" x14ac:dyDescent="0.3">
      <c r="A133" s="307" t="s">
        <v>81</v>
      </c>
      <c r="B133" s="308" t="s">
        <v>650</v>
      </c>
      <c r="C133" s="22">
        <f>VLOOKUP(A133,'Cash Flow'!$B$5:$L$32,3,0)</f>
        <v>-3585</v>
      </c>
    </row>
    <row r="134" spans="1:3" x14ac:dyDescent="0.3">
      <c r="A134" s="305" t="s">
        <v>81</v>
      </c>
      <c r="B134" s="306" t="s">
        <v>651</v>
      </c>
      <c r="C134" s="22">
        <f>VLOOKUP(A134,'Cash Flow'!$B$5:$L$32,4,0)</f>
        <v>-8049</v>
      </c>
    </row>
    <row r="135" spans="1:3" x14ac:dyDescent="0.3">
      <c r="A135" s="307" t="s">
        <v>81</v>
      </c>
      <c r="B135" s="308" t="s">
        <v>652</v>
      </c>
      <c r="C135" s="22">
        <f>VLOOKUP(A135,'Cash Flow'!$B$5:$L$32,5,0)</f>
        <v>2179</v>
      </c>
    </row>
    <row r="136" spans="1:3" x14ac:dyDescent="0.3">
      <c r="A136" s="305" t="s">
        <v>81</v>
      </c>
      <c r="B136" s="306" t="s">
        <v>653</v>
      </c>
      <c r="C136" s="22">
        <f>VLOOKUP(A136,'Cash Flow'!$B$5:$L$32,6,0)</f>
        <v>-15480</v>
      </c>
    </row>
    <row r="137" spans="1:3" x14ac:dyDescent="0.3">
      <c r="A137" s="307" t="s">
        <v>81</v>
      </c>
      <c r="B137" s="308" t="s">
        <v>654</v>
      </c>
      <c r="C137" s="22">
        <f>VLOOKUP(A137,'Cash Flow'!$B$5:$L$32,7,0)</f>
        <v>-11525.25910602867</v>
      </c>
    </row>
    <row r="138" spans="1:3" x14ac:dyDescent="0.3">
      <c r="A138" s="305" t="s">
        <v>81</v>
      </c>
      <c r="B138" s="306" t="s">
        <v>655</v>
      </c>
      <c r="C138" s="22">
        <f>VLOOKUP(A138,'Cash Flow'!$B$5:$L$32,8,0)</f>
        <v>-12215.735668377087</v>
      </c>
    </row>
    <row r="139" spans="1:3" x14ac:dyDescent="0.3">
      <c r="A139" s="307" t="s">
        <v>81</v>
      </c>
      <c r="B139" s="308" t="s">
        <v>656</v>
      </c>
      <c r="C139" s="22">
        <f>VLOOKUP(A139,'Cash Flow'!$B$5:$L$32,9,0)</f>
        <v>-14624.738358339573</v>
      </c>
    </row>
    <row r="140" spans="1:3" x14ac:dyDescent="0.3">
      <c r="A140" s="305" t="s">
        <v>81</v>
      </c>
      <c r="B140" s="306" t="s">
        <v>657</v>
      </c>
      <c r="C140" s="22">
        <f>VLOOKUP(A140,'Cash Flow'!$B$5:$L$32,10,0)</f>
        <v>-20030.354491561615</v>
      </c>
    </row>
    <row r="141" spans="1:3" x14ac:dyDescent="0.3">
      <c r="A141" s="307" t="s">
        <v>81</v>
      </c>
      <c r="B141" s="308" t="s">
        <v>658</v>
      </c>
      <c r="C141" s="22">
        <f>VLOOKUP(A141,'Cash Flow'!$B$5:$L$32,11,0)</f>
        <v>-29311.811148936773</v>
      </c>
    </row>
    <row r="142" spans="1:3" x14ac:dyDescent="0.3">
      <c r="A142" s="305" t="s">
        <v>42</v>
      </c>
      <c r="B142" s="306" t="s">
        <v>649</v>
      </c>
      <c r="C142" s="22">
        <f>VLOOKUP(A142,'Cash Flow'!$B$5:$L$32,2,0)</f>
        <v>16</v>
      </c>
    </row>
    <row r="143" spans="1:3" x14ac:dyDescent="0.3">
      <c r="A143" s="307" t="s">
        <v>42</v>
      </c>
      <c r="B143" s="308" t="s">
        <v>650</v>
      </c>
      <c r="C143" s="22">
        <f>VLOOKUP(A143,'Cash Flow'!$B$5:$L$32,3,0)</f>
        <v>11</v>
      </c>
    </row>
    <row r="144" spans="1:3" x14ac:dyDescent="0.3">
      <c r="A144" s="305" t="s">
        <v>42</v>
      </c>
      <c r="B144" s="306" t="s">
        <v>651</v>
      </c>
      <c r="C144" s="22">
        <f>VLOOKUP(A144,'Cash Flow'!$B$5:$L$32,4,0)</f>
        <v>10</v>
      </c>
    </row>
    <row r="145" spans="1:3" x14ac:dyDescent="0.3">
      <c r="A145" s="307" t="s">
        <v>42</v>
      </c>
      <c r="B145" s="308" t="s">
        <v>652</v>
      </c>
      <c r="C145" s="22">
        <f>VLOOKUP(A145,'Cash Flow'!$B$5:$L$32,5,0)</f>
        <v>10</v>
      </c>
    </row>
    <row r="146" spans="1:3" x14ac:dyDescent="0.3">
      <c r="A146" s="305" t="s">
        <v>42</v>
      </c>
      <c r="B146" s="306" t="s">
        <v>653</v>
      </c>
      <c r="C146" s="22">
        <f>VLOOKUP(A146,'Cash Flow'!$B$5:$L$32,6,0)</f>
        <v>9</v>
      </c>
    </row>
    <row r="147" spans="1:3" x14ac:dyDescent="0.3">
      <c r="A147" s="307" t="s">
        <v>42</v>
      </c>
      <c r="B147" s="308" t="s">
        <v>654</v>
      </c>
      <c r="C147" s="22">
        <f>VLOOKUP(A147,'Cash Flow'!$B$5:$L$32,7,0)</f>
        <v>9</v>
      </c>
    </row>
    <row r="148" spans="1:3" x14ac:dyDescent="0.3">
      <c r="A148" s="305" t="s">
        <v>42</v>
      </c>
      <c r="B148" s="306" t="s">
        <v>655</v>
      </c>
      <c r="C148" s="22">
        <f>VLOOKUP(A148,'Cash Flow'!$B$5:$L$32,8,0)</f>
        <v>9</v>
      </c>
    </row>
    <row r="149" spans="1:3" x14ac:dyDescent="0.3">
      <c r="A149" s="307" t="s">
        <v>42</v>
      </c>
      <c r="B149" s="308" t="s">
        <v>656</v>
      </c>
      <c r="C149" s="22">
        <f>VLOOKUP(A149,'Cash Flow'!$B$5:$L$32,9,0)</f>
        <v>9</v>
      </c>
    </row>
    <row r="150" spans="1:3" x14ac:dyDescent="0.3">
      <c r="A150" s="305" t="s">
        <v>42</v>
      </c>
      <c r="B150" s="306" t="s">
        <v>657</v>
      </c>
      <c r="C150" s="22">
        <f>VLOOKUP(A150,'Cash Flow'!$B$5:$L$32,10,0)</f>
        <v>9</v>
      </c>
    </row>
    <row r="151" spans="1:3" x14ac:dyDescent="0.3">
      <c r="A151" s="307" t="s">
        <v>42</v>
      </c>
      <c r="B151" s="308" t="s">
        <v>658</v>
      </c>
      <c r="C151" s="22">
        <f>VLOOKUP(A151,'Cash Flow'!$B$5:$L$32,11,0)</f>
        <v>9</v>
      </c>
    </row>
    <row r="152" spans="1:3" x14ac:dyDescent="0.3">
      <c r="A152" s="305" t="s">
        <v>43</v>
      </c>
      <c r="B152" s="306" t="s">
        <v>649</v>
      </c>
      <c r="C152" s="22">
        <f>VLOOKUP(A152,'Cash Flow'!$B$5:$L$32,2,0)</f>
        <v>36325</v>
      </c>
    </row>
    <row r="153" spans="1:3" x14ac:dyDescent="0.3">
      <c r="A153" s="307" t="s">
        <v>43</v>
      </c>
      <c r="B153" s="308" t="s">
        <v>650</v>
      </c>
      <c r="C153" s="22">
        <f>VLOOKUP(A153,'Cash Flow'!$B$5:$L$32,3,0)</f>
        <v>27537</v>
      </c>
    </row>
    <row r="154" spans="1:3" x14ac:dyDescent="0.3">
      <c r="A154" s="305" t="s">
        <v>43</v>
      </c>
      <c r="B154" s="306" t="s">
        <v>651</v>
      </c>
      <c r="C154" s="22">
        <f>VLOOKUP(A154,'Cash Flow'!$B$5:$L$32,4,0)</f>
        <v>28386</v>
      </c>
    </row>
    <row r="155" spans="1:3" x14ac:dyDescent="0.3">
      <c r="A155" s="307" t="s">
        <v>43</v>
      </c>
      <c r="B155" s="308" t="s">
        <v>652</v>
      </c>
      <c r="C155" s="22">
        <f>VLOOKUP(A155,'Cash Flow'!$B$5:$L$32,5,0)</f>
        <v>23175</v>
      </c>
    </row>
    <row r="156" spans="1:3" x14ac:dyDescent="0.3">
      <c r="A156" s="305" t="s">
        <v>43</v>
      </c>
      <c r="B156" s="306" t="s">
        <v>653</v>
      </c>
      <c r="C156" s="22">
        <f>VLOOKUP(A156,'Cash Flow'!$B$5:$L$32,6,0)</f>
        <v>46547</v>
      </c>
    </row>
    <row r="157" spans="1:3" x14ac:dyDescent="0.3">
      <c r="A157" s="307" t="s">
        <v>43</v>
      </c>
      <c r="B157" s="308" t="s">
        <v>654</v>
      </c>
      <c r="C157" s="22">
        <f>VLOOKUP(A157,'Cash Flow'!$B$5:$L$32,7,0)</f>
        <v>7142.1646666666638</v>
      </c>
    </row>
    <row r="158" spans="1:3" x14ac:dyDescent="0.3">
      <c r="A158" s="305" t="s">
        <v>43</v>
      </c>
      <c r="B158" s="306" t="s">
        <v>655</v>
      </c>
      <c r="C158" s="22">
        <f>VLOOKUP(A158,'Cash Flow'!$B$5:$L$32,8,0)</f>
        <v>-360.37217777777914</v>
      </c>
    </row>
    <row r="159" spans="1:3" x14ac:dyDescent="0.3">
      <c r="A159" s="307" t="s">
        <v>43</v>
      </c>
      <c r="B159" s="308" t="s">
        <v>656</v>
      </c>
      <c r="C159" s="22">
        <f>VLOOKUP(A159,'Cash Flow'!$B$5:$L$32,9,0)</f>
        <v>92.252349629630771</v>
      </c>
    </row>
    <row r="160" spans="1:3" x14ac:dyDescent="0.3">
      <c r="A160" s="305" t="s">
        <v>43</v>
      </c>
      <c r="B160" s="306" t="s">
        <v>657</v>
      </c>
      <c r="C160" s="22">
        <f>VLOOKUP(A160,'Cash Flow'!$B$5:$L$32,10,0)</f>
        <v>-403.36656316049266</v>
      </c>
    </row>
    <row r="161" spans="1:3" x14ac:dyDescent="0.3">
      <c r="A161" s="307" t="s">
        <v>43</v>
      </c>
      <c r="B161" s="308" t="s">
        <v>658</v>
      </c>
      <c r="C161" s="22">
        <f>VLOOKUP(A161,'Cash Flow'!$B$5:$L$32,11,0)</f>
        <v>-1066.0392749695493</v>
      </c>
    </row>
    <row r="162" spans="1:3" x14ac:dyDescent="0.3">
      <c r="A162" s="305" t="s">
        <v>44</v>
      </c>
      <c r="B162" s="306" t="s">
        <v>649</v>
      </c>
      <c r="C162" s="22">
        <f>VLOOKUP(A162,'Cash Flow'!$B$5:$L$32,2,0)</f>
        <v>-44991</v>
      </c>
    </row>
    <row r="163" spans="1:3" x14ac:dyDescent="0.3">
      <c r="A163" s="307" t="s">
        <v>44</v>
      </c>
      <c r="B163" s="308" t="s">
        <v>650</v>
      </c>
      <c r="C163" s="22">
        <f>VLOOKUP(A163,'Cash Flow'!$B$5:$L$32,3,0)</f>
        <v>-35806</v>
      </c>
    </row>
    <row r="164" spans="1:3" x14ac:dyDescent="0.3">
      <c r="A164" s="305" t="s">
        <v>44</v>
      </c>
      <c r="B164" s="306" t="s">
        <v>651</v>
      </c>
      <c r="C164" s="22">
        <f>VLOOKUP(A164,'Cash Flow'!$B$5:$L$32,4,0)</f>
        <v>-32795</v>
      </c>
    </row>
    <row r="165" spans="1:3" x14ac:dyDescent="0.3">
      <c r="A165" s="307" t="s">
        <v>44</v>
      </c>
      <c r="B165" s="308" t="s">
        <v>652</v>
      </c>
      <c r="C165" s="22">
        <f>VLOOKUP(A165,'Cash Flow'!$B$5:$L$32,5,0)</f>
        <v>-27228</v>
      </c>
    </row>
    <row r="166" spans="1:3" x14ac:dyDescent="0.3">
      <c r="A166" s="305" t="s">
        <v>44</v>
      </c>
      <c r="B166" s="306" t="s">
        <v>653</v>
      </c>
      <c r="C166" s="22">
        <f>VLOOKUP(A166,'Cash Flow'!$B$5:$L$32,6,0)</f>
        <v>-30782</v>
      </c>
    </row>
    <row r="167" spans="1:3" x14ac:dyDescent="0.3">
      <c r="A167" s="307" t="s">
        <v>44</v>
      </c>
      <c r="B167" s="308" t="s">
        <v>654</v>
      </c>
      <c r="C167" s="22">
        <f>VLOOKUP(A167,'Cash Flow'!$B$5:$L$32,7,0)</f>
        <v>-2336.5970402701496</v>
      </c>
    </row>
    <row r="168" spans="1:3" x14ac:dyDescent="0.3">
      <c r="A168" s="305" t="s">
        <v>44</v>
      </c>
      <c r="B168" s="306" t="s">
        <v>655</v>
      </c>
      <c r="C168" s="22">
        <f>VLOOKUP(A168,'Cash Flow'!$B$5:$L$32,8,0)</f>
        <v>-5496.7598106016103</v>
      </c>
    </row>
    <row r="169" spans="1:3" x14ac:dyDescent="0.3">
      <c r="A169" s="307" t="s">
        <v>44</v>
      </c>
      <c r="B169" s="308" t="s">
        <v>656</v>
      </c>
      <c r="C169" s="22">
        <f>VLOOKUP(A169,'Cash Flow'!$B$5:$L$32,9,0)</f>
        <v>-7770.8761651559889</v>
      </c>
    </row>
    <row r="170" spans="1:3" x14ac:dyDescent="0.3">
      <c r="A170" s="305" t="s">
        <v>44</v>
      </c>
      <c r="B170" s="306" t="s">
        <v>657</v>
      </c>
      <c r="C170" s="22">
        <f>VLOOKUP(A170,'Cash Flow'!$B$5:$L$32,10,0)</f>
        <v>-9887.5290544793006</v>
      </c>
    </row>
    <row r="171" spans="1:3" x14ac:dyDescent="0.3">
      <c r="A171" s="307" t="s">
        <v>44</v>
      </c>
      <c r="B171" s="308" t="s">
        <v>658</v>
      </c>
      <c r="C171" s="22">
        <f>VLOOKUP(A171,'Cash Flow'!$B$5:$L$32,11,0)</f>
        <v>-11863.658803221499</v>
      </c>
    </row>
    <row r="172" spans="1:3" x14ac:dyDescent="0.3">
      <c r="A172" s="305" t="s">
        <v>45</v>
      </c>
      <c r="B172" s="306" t="s">
        <v>649</v>
      </c>
      <c r="C172" s="22">
        <f>VLOOKUP(A172,'Cash Flow'!$B$5:$L$32,2,0)</f>
        <v>-3388</v>
      </c>
    </row>
    <row r="173" spans="1:3" x14ac:dyDescent="0.3">
      <c r="A173" s="307" t="s">
        <v>45</v>
      </c>
      <c r="B173" s="308" t="s">
        <v>650</v>
      </c>
      <c r="C173" s="22">
        <f>VLOOKUP(A173,'Cash Flow'!$B$5:$L$32,3,0)</f>
        <v>-2968</v>
      </c>
    </row>
    <row r="174" spans="1:3" x14ac:dyDescent="0.3">
      <c r="A174" s="305" t="s">
        <v>45</v>
      </c>
      <c r="B174" s="306" t="s">
        <v>651</v>
      </c>
      <c r="C174" s="22">
        <f>VLOOKUP(A174,'Cash Flow'!$B$5:$L$32,4,0)</f>
        <v>-3047</v>
      </c>
    </row>
    <row r="175" spans="1:3" x14ac:dyDescent="0.3">
      <c r="A175" s="307" t="s">
        <v>45</v>
      </c>
      <c r="B175" s="308" t="s">
        <v>652</v>
      </c>
      <c r="C175" s="22">
        <f>VLOOKUP(A175,'Cash Flow'!$B$5:$L$32,5,0)</f>
        <v>-3605</v>
      </c>
    </row>
    <row r="176" spans="1:3" x14ac:dyDescent="0.3">
      <c r="A176" s="305" t="s">
        <v>45</v>
      </c>
      <c r="B176" s="306" t="s">
        <v>653</v>
      </c>
      <c r="C176" s="22">
        <f>VLOOKUP(A176,'Cash Flow'!$B$5:$L$32,6,0)</f>
        <v>-3609</v>
      </c>
    </row>
    <row r="177" spans="1:3" x14ac:dyDescent="0.3">
      <c r="A177" s="307" t="s">
        <v>45</v>
      </c>
      <c r="B177" s="308" t="s">
        <v>654</v>
      </c>
      <c r="C177" s="22">
        <f>VLOOKUP(A177,'Cash Flow'!$B$5:$L$32,7,0)</f>
        <v>-3298.310434998521</v>
      </c>
    </row>
    <row r="178" spans="1:3" x14ac:dyDescent="0.3">
      <c r="A178" s="305" t="s">
        <v>45</v>
      </c>
      <c r="B178" s="306" t="s">
        <v>655</v>
      </c>
      <c r="C178" s="22">
        <f>VLOOKUP(A178,'Cash Flow'!$B$5:$L$32,8,0)</f>
        <v>-3321.5941903802709</v>
      </c>
    </row>
    <row r="179" spans="1:3" x14ac:dyDescent="0.3">
      <c r="A179" s="307" t="s">
        <v>45</v>
      </c>
      <c r="B179" s="308" t="s">
        <v>656</v>
      </c>
      <c r="C179" s="22">
        <f>VLOOKUP(A179,'Cash Flow'!$B$5:$L$32,9,0)</f>
        <v>-3361.0479093684025</v>
      </c>
    </row>
    <row r="180" spans="1:3" x14ac:dyDescent="0.3">
      <c r="A180" s="305" t="s">
        <v>45</v>
      </c>
      <c r="B180" s="306" t="s">
        <v>657</v>
      </c>
      <c r="C180" s="22">
        <f>VLOOKUP(A180,'Cash Flow'!$B$5:$L$32,10,0)</f>
        <v>-3382.4836207593894</v>
      </c>
    </row>
    <row r="181" spans="1:3" x14ac:dyDescent="0.3">
      <c r="A181" s="307" t="s">
        <v>45</v>
      </c>
      <c r="B181" s="308" t="s">
        <v>658</v>
      </c>
      <c r="C181" s="22">
        <f>VLOOKUP(A181,'Cash Flow'!$B$5:$L$32,11,0)</f>
        <v>-3306.2656853008534</v>
      </c>
    </row>
    <row r="182" spans="1:3" x14ac:dyDescent="0.3">
      <c r="A182" s="305" t="s">
        <v>46</v>
      </c>
      <c r="B182" s="306" t="s">
        <v>649</v>
      </c>
      <c r="C182" s="22">
        <f>VLOOKUP(A182,'Cash Flow'!$B$5:$L$32,2,0)</f>
        <v>-3651</v>
      </c>
    </row>
    <row r="183" spans="1:3" x14ac:dyDescent="0.3">
      <c r="A183" s="307" t="s">
        <v>46</v>
      </c>
      <c r="B183" s="308" t="s">
        <v>650</v>
      </c>
      <c r="C183" s="22">
        <f>VLOOKUP(A183,'Cash Flow'!$B$5:$L$32,3,0)</f>
        <v>-2528</v>
      </c>
    </row>
    <row r="184" spans="1:3" x14ac:dyDescent="0.3">
      <c r="A184" s="305" t="s">
        <v>46</v>
      </c>
      <c r="B184" s="306" t="s">
        <v>651</v>
      </c>
      <c r="C184" s="22">
        <f>VLOOKUP(A184,'Cash Flow'!$B$5:$L$32,4,0)</f>
        <v>-3091</v>
      </c>
    </row>
    <row r="185" spans="1:3" x14ac:dyDescent="0.3">
      <c r="A185" s="307" t="s">
        <v>46</v>
      </c>
      <c r="B185" s="308" t="s">
        <v>652</v>
      </c>
      <c r="C185" s="22">
        <f>VLOOKUP(A185,'Cash Flow'!$B$5:$L$32,5,0)</f>
        <v>-4217</v>
      </c>
    </row>
    <row r="186" spans="1:3" x14ac:dyDescent="0.3">
      <c r="A186" s="305" t="s">
        <v>46</v>
      </c>
      <c r="B186" s="306" t="s">
        <v>653</v>
      </c>
      <c r="C186" s="22">
        <f>VLOOKUP(A186,'Cash Flow'!$B$5:$L$32,6,0)</f>
        <v>-3850</v>
      </c>
    </row>
    <row r="187" spans="1:3" x14ac:dyDescent="0.3">
      <c r="A187" s="307" t="s">
        <v>46</v>
      </c>
      <c r="B187" s="308" t="s">
        <v>654</v>
      </c>
      <c r="C187" s="22">
        <f>VLOOKUP(A187,'Cash Flow'!$B$5:$L$32,7,0)</f>
        <v>-4001.8883707289933</v>
      </c>
    </row>
    <row r="188" spans="1:3" x14ac:dyDescent="0.3">
      <c r="A188" s="305" t="s">
        <v>46</v>
      </c>
      <c r="B188" s="306" t="s">
        <v>655</v>
      </c>
      <c r="C188" s="22">
        <f>VLOOKUP(A188,'Cash Flow'!$B$5:$L$32,8,0)</f>
        <v>-5001.4408316999561</v>
      </c>
    </row>
    <row r="189" spans="1:3" x14ac:dyDescent="0.3">
      <c r="A189" s="307" t="s">
        <v>46</v>
      </c>
      <c r="B189" s="308" t="s">
        <v>656</v>
      </c>
      <c r="C189" s="22">
        <f>VLOOKUP(A189,'Cash Flow'!$B$5:$L$32,9,0)</f>
        <v>-6027.7583056689473</v>
      </c>
    </row>
    <row r="190" spans="1:3" x14ac:dyDescent="0.3">
      <c r="A190" s="305" t="s">
        <v>46</v>
      </c>
      <c r="B190" s="306" t="s">
        <v>657</v>
      </c>
      <c r="C190" s="22">
        <f>VLOOKUP(A190,'Cash Flow'!$B$5:$L$32,10,0)</f>
        <v>-6996.0023672519465</v>
      </c>
    </row>
    <row r="191" spans="1:3" x14ac:dyDescent="0.3">
      <c r="A191" s="307" t="s">
        <v>46</v>
      </c>
      <c r="B191" s="308" t="s">
        <v>658</v>
      </c>
      <c r="C191" s="22">
        <f>VLOOKUP(A191,'Cash Flow'!$B$5:$L$32,11,0)</f>
        <v>-7924.9941911663936</v>
      </c>
    </row>
    <row r="192" spans="1:3" x14ac:dyDescent="0.3">
      <c r="A192" s="305" t="s">
        <v>83</v>
      </c>
      <c r="B192" s="306" t="s">
        <v>649</v>
      </c>
      <c r="C192" s="22">
        <f>VLOOKUP(A192,'Cash Flow'!$B$5:$L$32,2,0)</f>
        <v>414</v>
      </c>
    </row>
    <row r="193" spans="1:3" x14ac:dyDescent="0.3">
      <c r="A193" s="307" t="s">
        <v>83</v>
      </c>
      <c r="B193" s="308" t="s">
        <v>650</v>
      </c>
      <c r="C193" s="22">
        <f>VLOOKUP(A193,'Cash Flow'!$B$5:$L$32,3,0)</f>
        <v>-1427</v>
      </c>
    </row>
    <row r="194" spans="1:3" x14ac:dyDescent="0.3">
      <c r="A194" s="305" t="s">
        <v>83</v>
      </c>
      <c r="B194" s="306" t="s">
        <v>651</v>
      </c>
      <c r="C194" s="22">
        <f>VLOOKUP(A194,'Cash Flow'!$B$5:$L$32,4,0)</f>
        <v>-1036</v>
      </c>
    </row>
    <row r="195" spans="1:3" x14ac:dyDescent="0.3">
      <c r="A195" s="307" t="s">
        <v>83</v>
      </c>
      <c r="B195" s="308" t="s">
        <v>652</v>
      </c>
      <c r="C195" s="22">
        <f>VLOOKUP(A195,'Cash Flow'!$B$5:$L$32,5,0)</f>
        <v>-13548</v>
      </c>
    </row>
    <row r="196" spans="1:3" x14ac:dyDescent="0.3">
      <c r="A196" s="305" t="s">
        <v>83</v>
      </c>
      <c r="B196" s="306" t="s">
        <v>653</v>
      </c>
      <c r="C196" s="22">
        <f>VLOOKUP(A196,'Cash Flow'!$B$5:$L$32,6,0)</f>
        <v>-1758</v>
      </c>
    </row>
    <row r="197" spans="1:3" x14ac:dyDescent="0.3">
      <c r="A197" s="307" t="s">
        <v>83</v>
      </c>
      <c r="B197" s="308" t="s">
        <v>654</v>
      </c>
      <c r="C197" s="22">
        <f>VLOOKUP(A197,'Cash Flow'!$B$5:$L$32,7,0)</f>
        <v>-1036</v>
      </c>
    </row>
    <row r="198" spans="1:3" x14ac:dyDescent="0.3">
      <c r="A198" s="305" t="s">
        <v>83</v>
      </c>
      <c r="B198" s="306" t="s">
        <v>655</v>
      </c>
      <c r="C198" s="22">
        <f>VLOOKUP(A198,'Cash Flow'!$B$5:$L$32,8,0)</f>
        <v>-1036</v>
      </c>
    </row>
    <row r="199" spans="1:3" x14ac:dyDescent="0.3">
      <c r="A199" s="307" t="s">
        <v>83</v>
      </c>
      <c r="B199" s="308" t="s">
        <v>656</v>
      </c>
      <c r="C199" s="22">
        <f>VLOOKUP(A199,'Cash Flow'!$B$5:$L$32,9,0)</f>
        <v>-1036</v>
      </c>
    </row>
    <row r="200" spans="1:3" x14ac:dyDescent="0.3">
      <c r="A200" s="305" t="s">
        <v>83</v>
      </c>
      <c r="B200" s="306" t="s">
        <v>657</v>
      </c>
      <c r="C200" s="22">
        <f>VLOOKUP(A200,'Cash Flow'!$B$5:$L$32,10,0)</f>
        <v>-1036</v>
      </c>
    </row>
    <row r="201" spans="1:3" x14ac:dyDescent="0.3">
      <c r="A201" s="307" t="s">
        <v>83</v>
      </c>
      <c r="B201" s="308" t="s">
        <v>658</v>
      </c>
      <c r="C201" s="22">
        <f>VLOOKUP(A201,'Cash Flow'!$B$5:$L$32,11,0)</f>
        <v>-1036</v>
      </c>
    </row>
    <row r="202" spans="1:3" x14ac:dyDescent="0.3">
      <c r="A202" s="305" t="s">
        <v>84</v>
      </c>
      <c r="B202" s="306" t="s">
        <v>649</v>
      </c>
      <c r="C202" s="22">
        <f>VLOOKUP(A202,'Cash Flow'!$B$5:$L$32,2,0)</f>
        <v>-15275</v>
      </c>
    </row>
    <row r="203" spans="1:3" x14ac:dyDescent="0.3">
      <c r="A203" s="307" t="s">
        <v>84</v>
      </c>
      <c r="B203" s="308" t="s">
        <v>650</v>
      </c>
      <c r="C203" s="22">
        <f>VLOOKUP(A203,'Cash Flow'!$B$5:$L$32,3,0)</f>
        <v>-15181</v>
      </c>
    </row>
    <row r="204" spans="1:3" x14ac:dyDescent="0.3">
      <c r="A204" s="305" t="s">
        <v>84</v>
      </c>
      <c r="B204" s="306" t="s">
        <v>651</v>
      </c>
      <c r="C204" s="22">
        <f>VLOOKUP(A204,'Cash Flow'!$B$5:$L$32,4,0)</f>
        <v>-11573</v>
      </c>
    </row>
    <row r="205" spans="1:3" x14ac:dyDescent="0.3">
      <c r="A205" s="307" t="s">
        <v>84</v>
      </c>
      <c r="B205" s="308" t="s">
        <v>652</v>
      </c>
      <c r="C205" s="22">
        <f>VLOOKUP(A205,'Cash Flow'!$B$5:$L$32,5,0)</f>
        <v>-25413</v>
      </c>
    </row>
    <row r="206" spans="1:3" x14ac:dyDescent="0.3">
      <c r="A206" s="305" t="s">
        <v>84</v>
      </c>
      <c r="B206" s="306" t="s">
        <v>653</v>
      </c>
      <c r="C206" s="22">
        <f>VLOOKUP(A206,'Cash Flow'!$B$5:$L$32,6,0)</f>
        <v>6557</v>
      </c>
    </row>
    <row r="207" spans="1:3" x14ac:dyDescent="0.3">
      <c r="A207" s="307" t="s">
        <v>84</v>
      </c>
      <c r="B207" s="308" t="s">
        <v>654</v>
      </c>
      <c r="C207" s="22">
        <f>VLOOKUP(A207,'Cash Flow'!$B$5:$L$32,7,0)</f>
        <v>-2485.6311793310001</v>
      </c>
    </row>
    <row r="208" spans="1:3" x14ac:dyDescent="0.3">
      <c r="A208" s="305" t="s">
        <v>84</v>
      </c>
      <c r="B208" s="306" t="s">
        <v>655</v>
      </c>
      <c r="C208" s="22">
        <f>VLOOKUP(A208,'Cash Flow'!$B$5:$L$32,8,0)</f>
        <v>-14171.167010459616</v>
      </c>
    </row>
    <row r="209" spans="1:3" x14ac:dyDescent="0.3">
      <c r="A209" s="307" t="s">
        <v>84</v>
      </c>
      <c r="B209" s="308" t="s">
        <v>656</v>
      </c>
      <c r="C209" s="22">
        <f>VLOOKUP(A209,'Cash Flow'!$B$5:$L$32,9,0)</f>
        <v>-17058.430030563708</v>
      </c>
    </row>
    <row r="210" spans="1:3" x14ac:dyDescent="0.3">
      <c r="A210" s="305" t="s">
        <v>84</v>
      </c>
      <c r="B210" s="306" t="s">
        <v>657</v>
      </c>
      <c r="C210" s="22">
        <f>VLOOKUP(A210,'Cash Flow'!$B$5:$L$32,10,0)</f>
        <v>-20660.381605651128</v>
      </c>
    </row>
    <row r="211" spans="1:3" x14ac:dyDescent="0.3">
      <c r="A211" s="307" t="s">
        <v>84</v>
      </c>
      <c r="B211" s="308" t="s">
        <v>658</v>
      </c>
      <c r="C211" s="22">
        <f>VLOOKUP(A211,'Cash Flow'!$B$5:$L$32,11,0)</f>
        <v>-24151.957954658297</v>
      </c>
    </row>
    <row r="212" spans="1:3" x14ac:dyDescent="0.3">
      <c r="A212" s="305" t="s">
        <v>85</v>
      </c>
      <c r="B212" s="306" t="s">
        <v>649</v>
      </c>
      <c r="C212" s="22">
        <f>VLOOKUP(A212,'Cash Flow'!$B$5:$L$32,2,0)</f>
        <v>2048</v>
      </c>
    </row>
    <row r="213" spans="1:3" x14ac:dyDescent="0.3">
      <c r="A213" s="307" t="s">
        <v>85</v>
      </c>
      <c r="B213" s="308" t="s">
        <v>650</v>
      </c>
      <c r="C213" s="22">
        <f>VLOOKUP(A213,'Cash Flow'!$B$5:$L$32,3,0)</f>
        <v>398</v>
      </c>
    </row>
    <row r="214" spans="1:3" x14ac:dyDescent="0.3">
      <c r="A214" s="305" t="s">
        <v>85</v>
      </c>
      <c r="B214" s="306" t="s">
        <v>651</v>
      </c>
      <c r="C214" s="22">
        <f>VLOOKUP(A214,'Cash Flow'!$B$5:$L$32,4,0)</f>
        <v>3155</v>
      </c>
    </row>
    <row r="215" spans="1:3" x14ac:dyDescent="0.3">
      <c r="A215" s="307" t="s">
        <v>85</v>
      </c>
      <c r="B215" s="308" t="s">
        <v>652</v>
      </c>
      <c r="C215" s="22">
        <f>VLOOKUP(A215,'Cash Flow'!$B$5:$L$32,5,0)</f>
        <v>-4968</v>
      </c>
    </row>
    <row r="216" spans="1:3" x14ac:dyDescent="0.3">
      <c r="A216" s="305" t="s">
        <v>85</v>
      </c>
      <c r="B216" s="306" t="s">
        <v>653</v>
      </c>
      <c r="C216" s="22">
        <f>VLOOKUP(A216,'Cash Flow'!$B$5:$L$32,6,0)</f>
        <v>228</v>
      </c>
    </row>
    <row r="217" spans="1:3" x14ac:dyDescent="0.3">
      <c r="A217" s="307" t="s">
        <v>85</v>
      </c>
      <c r="B217" s="308" t="s">
        <v>654</v>
      </c>
      <c r="C217" s="22">
        <f>VLOOKUP(A217,'Cash Flow'!$B$5:$L$32,7,0)</f>
        <v>6572.2151032848051</v>
      </c>
    </row>
    <row r="218" spans="1:3" x14ac:dyDescent="0.3">
      <c r="A218" s="305" t="s">
        <v>85</v>
      </c>
      <c r="B218" s="306" t="s">
        <v>655</v>
      </c>
      <c r="C218" s="22">
        <f>VLOOKUP(A218,'Cash Flow'!$B$5:$L$32,8,0)</f>
        <v>11335.219651889343</v>
      </c>
    </row>
    <row r="219" spans="1:3" x14ac:dyDescent="0.3">
      <c r="A219" s="307" t="s">
        <v>85</v>
      </c>
      <c r="B219" s="308" t="s">
        <v>656</v>
      </c>
      <c r="C219" s="22">
        <f>VLOOKUP(A219,'Cash Flow'!$B$5:$L$32,9,0)</f>
        <v>14612.094260759623</v>
      </c>
    </row>
    <row r="220" spans="1:3" x14ac:dyDescent="0.3">
      <c r="A220" s="305" t="s">
        <v>85</v>
      </c>
      <c r="B220" s="306" t="s">
        <v>657</v>
      </c>
      <c r="C220" s="22">
        <f>VLOOKUP(A220,'Cash Flow'!$B$5:$L$32,10,0)</f>
        <v>13260.915979422607</v>
      </c>
    </row>
    <row r="221" spans="1:3" x14ac:dyDescent="0.3">
      <c r="A221" s="309" t="s">
        <v>85</v>
      </c>
      <c r="B221" s="310" t="s">
        <v>658</v>
      </c>
      <c r="C221" s="22">
        <f>VLOOKUP(A221,'Cash Flow'!$B$5:$L$32,11,0)</f>
        <v>7382.8593933178709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2517F-FACF-4B78-BC96-C7E320EC4227}">
  <sheetPr codeName="Sheet6"/>
  <dimension ref="A2:V39"/>
  <sheetViews>
    <sheetView showGridLines="0" zoomScale="104" zoomScaleNormal="107" workbookViewId="0">
      <pane xSplit="1" ySplit="2" topLeftCell="B3" activePane="bottomRight" state="frozen"/>
      <selection pane="topRight" activeCell="B1" sqref="B1"/>
      <selection pane="bottomLeft" activeCell="A3" sqref="A3"/>
      <selection pane="bottomRight" activeCell="H32" sqref="H32"/>
    </sheetView>
  </sheetViews>
  <sheetFormatPr defaultColWidth="0" defaultRowHeight="14.4" x14ac:dyDescent="0.3"/>
  <cols>
    <col min="1" max="1" width="1.88671875" customWidth="1"/>
    <col min="2" max="2" width="2.5546875" customWidth="1"/>
    <col min="3" max="3" width="30.21875" customWidth="1"/>
    <col min="4" max="4" width="14.44140625" customWidth="1"/>
    <col min="5" max="5" width="3.33203125" customWidth="1"/>
    <col min="6" max="6" width="3" customWidth="1"/>
    <col min="7" max="7" width="2.33203125" customWidth="1"/>
    <col min="8" max="8" width="25.33203125" customWidth="1"/>
    <col min="9" max="12" width="8.88671875" customWidth="1"/>
    <col min="13" max="13" width="2.109375" customWidth="1"/>
    <col min="14" max="14" width="3.6640625" customWidth="1"/>
    <col min="15" max="15" width="3" customWidth="1"/>
    <col min="16" max="16" width="13.6640625" customWidth="1"/>
    <col min="17" max="20" width="8.88671875" customWidth="1"/>
    <col min="21" max="21" width="3.5546875" customWidth="1"/>
    <col min="22" max="22" width="3.6640625" customWidth="1"/>
    <col min="23" max="16384" width="8.88671875" hidden="1"/>
  </cols>
  <sheetData>
    <row r="2" spans="2:21" ht="28.8" x14ac:dyDescent="0.55000000000000004">
      <c r="B2" s="211" t="s">
        <v>183</v>
      </c>
      <c r="T2" s="210" t="s">
        <v>190</v>
      </c>
    </row>
    <row r="3" spans="2:21" ht="15" thickBot="1" x14ac:dyDescent="0.35"/>
    <row r="4" spans="2:21" x14ac:dyDescent="0.3">
      <c r="B4" s="220"/>
      <c r="C4" s="216"/>
      <c r="D4" s="216"/>
      <c r="E4" s="219"/>
      <c r="G4" s="220"/>
      <c r="H4" s="216"/>
      <c r="I4" s="216"/>
      <c r="J4" s="216"/>
      <c r="K4" s="216"/>
      <c r="L4" s="216"/>
      <c r="M4" s="219"/>
      <c r="O4" s="220"/>
      <c r="P4" s="216"/>
      <c r="Q4" s="216"/>
      <c r="R4" s="216"/>
      <c r="S4" s="216"/>
      <c r="T4" s="216"/>
      <c r="U4" s="219"/>
    </row>
    <row r="5" spans="2:21" x14ac:dyDescent="0.3">
      <c r="B5" s="217"/>
      <c r="C5" s="213" t="s">
        <v>271</v>
      </c>
      <c r="D5" s="213"/>
      <c r="E5" s="218"/>
      <c r="G5" s="217"/>
      <c r="H5" s="213" t="s">
        <v>279</v>
      </c>
      <c r="I5" s="213" t="str">
        <f>'P&amp;L'!D4</f>
        <v>2023</v>
      </c>
      <c r="J5" s="213" t="str">
        <f>'P&amp;L'!E4</f>
        <v>2024</v>
      </c>
      <c r="K5" s="213" t="str">
        <f>'P&amp;L'!F4</f>
        <v>2025</v>
      </c>
      <c r="L5" s="213" t="str">
        <f>'P&amp;L'!G4</f>
        <v>2026</v>
      </c>
      <c r="M5" s="218"/>
      <c r="O5" s="217"/>
      <c r="P5" s="213" t="s">
        <v>185</v>
      </c>
      <c r="Q5" s="213" t="str">
        <f>I5</f>
        <v>2023</v>
      </c>
      <c r="R5" s="213" t="str">
        <f>J5</f>
        <v>2024</v>
      </c>
      <c r="S5" s="213" t="str">
        <f>K5</f>
        <v>2025</v>
      </c>
      <c r="T5" s="213" t="str">
        <f>L5</f>
        <v>2026</v>
      </c>
      <c r="U5" s="218"/>
    </row>
    <row r="6" spans="2:21" x14ac:dyDescent="0.3">
      <c r="B6" s="217"/>
      <c r="C6" t="s">
        <v>272</v>
      </c>
      <c r="D6" s="165">
        <f>Comparative!D6</f>
        <v>555505.69999999995</v>
      </c>
      <c r="E6" s="218"/>
      <c r="G6" s="217"/>
      <c r="H6" t="s">
        <v>0</v>
      </c>
      <c r="I6" s="22">
        <f>'P&amp;L'!D5</f>
        <v>186269.87</v>
      </c>
      <c r="J6" s="22">
        <f>'P&amp;L'!E5</f>
        <v>225270.94</v>
      </c>
      <c r="K6" s="22">
        <f>'P&amp;L'!F5</f>
        <v>259859.27</v>
      </c>
      <c r="L6" s="22">
        <f>'P&amp;L'!G5</f>
        <v>291635.03999999998</v>
      </c>
      <c r="M6" s="218"/>
      <c r="O6" s="217"/>
      <c r="P6" t="s">
        <v>285</v>
      </c>
      <c r="Q6" s="23">
        <f>Ratios!D10</f>
        <v>0.12787059979158191</v>
      </c>
      <c r="R6" s="23">
        <f>Ratios!E10</f>
        <v>0.123164088541558</v>
      </c>
      <c r="S6" s="23">
        <f>Ratios!F10</f>
        <v>0.11942748857872185</v>
      </c>
      <c r="T6" s="23">
        <f>Ratios!G10</f>
        <v>0.11380450030970207</v>
      </c>
      <c r="U6" s="218"/>
    </row>
    <row r="7" spans="2:21" x14ac:dyDescent="0.3">
      <c r="B7" s="217"/>
      <c r="C7" t="s">
        <v>273</v>
      </c>
      <c r="D7" s="200">
        <f>Comparative!O25</f>
        <v>137.57632869384315</v>
      </c>
      <c r="E7" s="218"/>
      <c r="G7" s="217"/>
      <c r="H7" t="s">
        <v>58</v>
      </c>
      <c r="I7" s="22">
        <f>'P&amp;L'!D10</f>
        <v>23818.439999999988</v>
      </c>
      <c r="J7" s="22">
        <f>'P&amp;L'!E10</f>
        <v>27745.29</v>
      </c>
      <c r="K7" s="22">
        <f>'P&amp;L'!F10</f>
        <v>31034.339999999997</v>
      </c>
      <c r="L7" s="22">
        <f>'P&amp;L'!G10</f>
        <v>33189.379999999976</v>
      </c>
      <c r="M7" s="218"/>
      <c r="O7" s="217"/>
      <c r="P7" t="s">
        <v>286</v>
      </c>
      <c r="Q7" s="23">
        <f>Ratios!D13</f>
        <v>6.7777306120415437E-2</v>
      </c>
      <c r="R7" s="23">
        <f>Ratios!E13</f>
        <v>6.911552817243094E-2</v>
      </c>
      <c r="S7" s="23">
        <f>Ratios!F13</f>
        <v>6.8065264710394979E-2</v>
      </c>
      <c r="T7" s="23">
        <f>Ratios!G13</f>
        <v>6.569649518110024E-2</v>
      </c>
      <c r="U7" s="218"/>
    </row>
    <row r="8" spans="2:21" x14ac:dyDescent="0.3">
      <c r="B8" s="217"/>
      <c r="C8" t="s">
        <v>274</v>
      </c>
      <c r="D8" s="22">
        <f>D6/D7</f>
        <v>4037.8000000000006</v>
      </c>
      <c r="E8" s="218"/>
      <c r="G8" s="217"/>
      <c r="H8" t="s">
        <v>280</v>
      </c>
      <c r="I8" s="22">
        <f>'P&amp;L'!D16</f>
        <v>12624.869999999988</v>
      </c>
      <c r="J8" s="22">
        <f>'P&amp;L'!E16</f>
        <v>15569.720000000001</v>
      </c>
      <c r="K8" s="22">
        <f>'P&amp;L'!F16</f>
        <v>17687.39</v>
      </c>
      <c r="L8" s="22">
        <f>'P&amp;L'!G16</f>
        <v>19159.399999999976</v>
      </c>
      <c r="M8" s="218"/>
      <c r="O8" s="217"/>
      <c r="P8" t="s">
        <v>287</v>
      </c>
      <c r="Q8" s="200">
        <f>Ratios!D20</f>
        <v>6.3346356277828324</v>
      </c>
      <c r="R8" s="200">
        <f>Ratios!E20</f>
        <v>6.7862317920949842</v>
      </c>
      <c r="S8" s="200">
        <f>Ratios!F20</f>
        <v>8.0714377828495323</v>
      </c>
      <c r="T8" s="200">
        <f>Ratios!G20</f>
        <v>10.118094509305598</v>
      </c>
      <c r="U8" s="218"/>
    </row>
    <row r="9" spans="2:21" x14ac:dyDescent="0.3">
      <c r="B9" s="217"/>
      <c r="C9" t="s">
        <v>275</v>
      </c>
      <c r="D9" s="212" t="s">
        <v>386</v>
      </c>
      <c r="E9" s="218"/>
      <c r="G9" s="217"/>
      <c r="H9" t="s">
        <v>281</v>
      </c>
      <c r="I9" s="200">
        <f>I8/$D$7</f>
        <v>91.766295262136751</v>
      </c>
      <c r="J9" s="200">
        <f>J8/$D$7</f>
        <v>113.17150375954742</v>
      </c>
      <c r="K9" s="200">
        <f>K8/$D$7</f>
        <v>128.56419536649221</v>
      </c>
      <c r="L9" s="200">
        <f>L8/$D$7</f>
        <v>139.26378310789596</v>
      </c>
      <c r="M9" s="218"/>
      <c r="O9" s="217"/>
      <c r="P9" t="s">
        <v>288</v>
      </c>
      <c r="Q9" s="23">
        <f>Ratios!D16</f>
        <v>0.17650261191604105</v>
      </c>
      <c r="R9" s="23">
        <f>Ratios!E16</f>
        <v>0.24170563729158143</v>
      </c>
      <c r="S9" s="23">
        <f>Ratios!F16</f>
        <v>0.24601409483497239</v>
      </c>
      <c r="T9" s="23">
        <f>Ratios!G16</f>
        <v>0.2570596340676396</v>
      </c>
      <c r="U9" s="218"/>
    </row>
    <row r="10" spans="2:21" ht="15" thickBot="1" x14ac:dyDescent="0.35">
      <c r="B10" s="217"/>
      <c r="C10" t="s">
        <v>276</v>
      </c>
      <c r="D10" s="165">
        <f>Comparative!I6</f>
        <v>660154.62</v>
      </c>
      <c r="E10" s="218"/>
      <c r="G10" s="221"/>
      <c r="H10" s="222"/>
      <c r="I10" s="222"/>
      <c r="J10" s="222"/>
      <c r="K10" s="222"/>
      <c r="L10" s="222"/>
      <c r="M10" s="223"/>
      <c r="O10" s="217"/>
      <c r="P10" t="s">
        <v>289</v>
      </c>
      <c r="Q10" s="23">
        <f>Ratios!D17</f>
        <v>0.25106884926617778</v>
      </c>
      <c r="R10" s="23">
        <f>Ratios!E17</f>
        <v>0.31517811135918838</v>
      </c>
      <c r="S10" s="23">
        <f>Ratios!F17</f>
        <v>0.33151699936833162</v>
      </c>
      <c r="T10" s="23">
        <f>Ratios!G17</f>
        <v>0.34184576788321014</v>
      </c>
      <c r="U10" s="218"/>
    </row>
    <row r="11" spans="2:21" ht="15" thickBot="1" x14ac:dyDescent="0.35">
      <c r="B11" s="217"/>
      <c r="C11" t="s">
        <v>277</v>
      </c>
      <c r="D11" s="165">
        <v>794</v>
      </c>
      <c r="E11" s="218"/>
      <c r="O11" s="217"/>
      <c r="P11" t="s">
        <v>290</v>
      </c>
      <c r="Q11" s="200">
        <f>$D$8/I9</f>
        <v>44.000904563769808</v>
      </c>
      <c r="R11" s="200">
        <f>$D$8/J9</f>
        <v>35.678592807063964</v>
      </c>
      <c r="S11" s="200">
        <f>$D$8/K9</f>
        <v>31.406878007439197</v>
      </c>
      <c r="T11" s="200">
        <f>$D$8/L9</f>
        <v>28.993898556322257</v>
      </c>
      <c r="U11" s="218"/>
    </row>
    <row r="12" spans="2:21" x14ac:dyDescent="0.3">
      <c r="B12" s="217"/>
      <c r="C12" t="s">
        <v>145</v>
      </c>
      <c r="D12">
        <v>1.38</v>
      </c>
      <c r="E12" s="218"/>
      <c r="G12" s="220"/>
      <c r="H12" s="216"/>
      <c r="I12" s="216"/>
      <c r="J12" s="216"/>
      <c r="K12" s="216"/>
      <c r="L12" s="216"/>
      <c r="M12" s="219"/>
      <c r="O12" s="217"/>
      <c r="P12" t="s">
        <v>291</v>
      </c>
      <c r="Q12" s="200">
        <v>5.2</v>
      </c>
      <c r="R12" s="200">
        <v>4.5999999999999996</v>
      </c>
      <c r="S12" s="200">
        <v>4.71</v>
      </c>
      <c r="T12" s="200">
        <v>4.5</v>
      </c>
      <c r="U12" s="218"/>
    </row>
    <row r="13" spans="2:21" x14ac:dyDescent="0.3">
      <c r="B13" s="217"/>
      <c r="C13" t="s">
        <v>278</v>
      </c>
      <c r="D13">
        <v>2</v>
      </c>
      <c r="E13" s="218"/>
      <c r="G13" s="217"/>
      <c r="H13" s="213" t="s">
        <v>297</v>
      </c>
      <c r="I13" s="213"/>
      <c r="J13" s="213"/>
      <c r="K13" s="213"/>
      <c r="L13" s="213"/>
      <c r="M13" s="218"/>
      <c r="O13" s="217"/>
      <c r="P13" t="s">
        <v>292</v>
      </c>
      <c r="Q13">
        <v>14.9</v>
      </c>
      <c r="R13">
        <v>20.399999999999999</v>
      </c>
      <c r="S13">
        <v>17.3</v>
      </c>
      <c r="T13">
        <v>18</v>
      </c>
      <c r="U13" s="218"/>
    </row>
    <row r="14" spans="2:21" ht="15" thickBot="1" x14ac:dyDescent="0.35">
      <c r="B14" s="221"/>
      <c r="C14" s="222"/>
      <c r="D14" s="222"/>
      <c r="E14" s="223"/>
      <c r="G14" s="217"/>
      <c r="M14" s="218"/>
      <c r="O14" s="217"/>
      <c r="U14" s="218"/>
    </row>
    <row r="15" spans="2:21" ht="15" thickBot="1" x14ac:dyDescent="0.35">
      <c r="G15" s="217"/>
      <c r="M15" s="218"/>
      <c r="O15" s="220"/>
      <c r="P15" s="216"/>
      <c r="Q15" s="216"/>
      <c r="R15" s="216"/>
      <c r="S15" s="216"/>
      <c r="T15" s="216"/>
      <c r="U15" s="219"/>
    </row>
    <row r="16" spans="2:21" x14ac:dyDescent="0.3">
      <c r="B16" s="220"/>
      <c r="C16" s="216"/>
      <c r="D16" s="216"/>
      <c r="E16" s="219"/>
      <c r="G16" s="217"/>
      <c r="M16" s="218"/>
      <c r="O16" s="217"/>
      <c r="P16" s="213" t="s">
        <v>296</v>
      </c>
      <c r="Q16" s="213"/>
      <c r="R16" s="213"/>
      <c r="S16" s="213"/>
      <c r="T16" s="213"/>
      <c r="U16" s="218"/>
    </row>
    <row r="17" spans="2:21" x14ac:dyDescent="0.3">
      <c r="B17" s="217"/>
      <c r="C17" s="213" t="s">
        <v>282</v>
      </c>
      <c r="D17" s="213"/>
      <c r="E17" s="218"/>
      <c r="G17" s="217"/>
      <c r="M17" s="218"/>
      <c r="O17" s="217"/>
      <c r="U17" s="218"/>
    </row>
    <row r="18" spans="2:21" x14ac:dyDescent="0.3">
      <c r="B18" s="217"/>
      <c r="C18" s="214" t="s">
        <v>283</v>
      </c>
      <c r="D18" s="215" t="s">
        <v>284</v>
      </c>
      <c r="E18" s="218"/>
      <c r="G18" s="217"/>
      <c r="M18" s="218"/>
      <c r="O18" s="217"/>
      <c r="U18" s="218"/>
    </row>
    <row r="19" spans="2:21" x14ac:dyDescent="0.3">
      <c r="B19" s="217"/>
      <c r="C19" t="s">
        <v>387</v>
      </c>
      <c r="D19" s="152">
        <v>0.50800000000000001</v>
      </c>
      <c r="E19" s="218"/>
      <c r="G19" s="217"/>
      <c r="M19" s="218"/>
      <c r="O19" s="217"/>
      <c r="U19" s="218"/>
    </row>
    <row r="20" spans="2:21" x14ac:dyDescent="0.3">
      <c r="B20" s="217"/>
      <c r="C20" t="s">
        <v>388</v>
      </c>
      <c r="D20" s="152">
        <v>0.159</v>
      </c>
      <c r="E20" s="218"/>
      <c r="G20" s="217"/>
      <c r="M20" s="218"/>
      <c r="O20" s="217"/>
      <c r="U20" s="218"/>
    </row>
    <row r="21" spans="2:21" x14ac:dyDescent="0.3">
      <c r="B21" s="217"/>
      <c r="C21" t="s">
        <v>389</v>
      </c>
      <c r="D21" s="152">
        <v>0.187</v>
      </c>
      <c r="E21" s="218"/>
      <c r="G21" s="217"/>
      <c r="M21" s="218"/>
      <c r="O21" s="217"/>
      <c r="U21" s="218"/>
    </row>
    <row r="22" spans="2:21" x14ac:dyDescent="0.3">
      <c r="B22" s="217"/>
      <c r="C22" t="s">
        <v>390</v>
      </c>
      <c r="D22" s="152">
        <v>5.8999999999999997E-2</v>
      </c>
      <c r="E22" s="218"/>
      <c r="G22" s="217"/>
      <c r="M22" s="218"/>
      <c r="O22" s="217"/>
      <c r="U22" s="218"/>
    </row>
    <row r="23" spans="2:21" x14ac:dyDescent="0.3">
      <c r="B23" s="217"/>
      <c r="C23" t="s">
        <v>391</v>
      </c>
      <c r="D23" s="152">
        <v>3.7999999999999999E-2</v>
      </c>
      <c r="E23" s="218"/>
      <c r="G23" s="217"/>
      <c r="M23" s="218"/>
      <c r="O23" s="217"/>
      <c r="U23" s="218"/>
    </row>
    <row r="24" spans="2:21" x14ac:dyDescent="0.3">
      <c r="B24" s="217"/>
      <c r="C24" t="s">
        <v>392</v>
      </c>
      <c r="D24" s="152">
        <v>4.9000000000000002E-2</v>
      </c>
      <c r="E24" s="218"/>
      <c r="G24" s="217"/>
      <c r="M24" s="218"/>
      <c r="O24" s="217"/>
      <c r="U24" s="218"/>
    </row>
    <row r="25" spans="2:21" ht="15" thickBot="1" x14ac:dyDescent="0.35">
      <c r="B25" s="221"/>
      <c r="C25" s="222"/>
      <c r="D25" s="222"/>
      <c r="E25" s="223"/>
      <c r="G25" s="221"/>
      <c r="H25" s="222"/>
      <c r="I25" s="222"/>
      <c r="J25" s="222"/>
      <c r="K25" s="222"/>
      <c r="L25" s="222"/>
      <c r="M25" s="223"/>
      <c r="O25" s="221"/>
      <c r="P25" s="222"/>
      <c r="Q25" s="222"/>
      <c r="R25" s="222"/>
      <c r="S25" s="222"/>
      <c r="T25" s="222"/>
      <c r="U25" s="223"/>
    </row>
    <row r="31" spans="2:21" x14ac:dyDescent="0.3">
      <c r="Q31" s="73"/>
    </row>
    <row r="32" spans="2:21" x14ac:dyDescent="0.3">
      <c r="J32" s="73"/>
      <c r="P32" s="284" t="s">
        <v>293</v>
      </c>
      <c r="Q32" s="285">
        <v>0.18779999999999999</v>
      </c>
    </row>
    <row r="33" spans="10:17" x14ac:dyDescent="0.3">
      <c r="J33" s="73"/>
      <c r="P33" s="284" t="s">
        <v>294</v>
      </c>
      <c r="Q33" s="285">
        <v>0.43319999999999997</v>
      </c>
    </row>
    <row r="34" spans="10:17" x14ac:dyDescent="0.3">
      <c r="J34" s="73"/>
      <c r="P34" s="284" t="s">
        <v>295</v>
      </c>
      <c r="Q34" s="285">
        <v>0.37640000000000001</v>
      </c>
    </row>
    <row r="35" spans="10:17" x14ac:dyDescent="0.3">
      <c r="J35" s="73"/>
    </row>
    <row r="36" spans="10:17" x14ac:dyDescent="0.3">
      <c r="J36" s="73"/>
    </row>
    <row r="37" spans="10:17" x14ac:dyDescent="0.3">
      <c r="J37" s="73"/>
      <c r="K37" s="73"/>
    </row>
    <row r="38" spans="10:17" x14ac:dyDescent="0.3">
      <c r="J38" s="73"/>
    </row>
    <row r="39" spans="10:17" x14ac:dyDescent="0.3">
      <c r="J39" s="73"/>
    </row>
  </sheetData>
  <hyperlinks>
    <hyperlink ref="T2" location="Index!A1" display="Index" xr:uid="{E4455624-60E3-4DF0-A460-6856AA6A5D0F}"/>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80DC4-0ED3-449A-94D0-96D6619743BE}">
  <sheetPr codeName="Sheet7"/>
  <dimension ref="B3:G502"/>
  <sheetViews>
    <sheetView topLeftCell="A226" workbookViewId="0">
      <selection activeCell="G5" activeCellId="1" sqref="D5:D252 G5:G252"/>
    </sheetView>
  </sheetViews>
  <sheetFormatPr defaultRowHeight="14.4" x14ac:dyDescent="0.3"/>
  <cols>
    <col min="2" max="3" width="11.5546875" customWidth="1"/>
    <col min="6" max="6" width="16" customWidth="1"/>
  </cols>
  <sheetData>
    <row r="3" spans="2:7" x14ac:dyDescent="0.3">
      <c r="B3" s="426" t="s">
        <v>379</v>
      </c>
      <c r="C3" s="426"/>
      <c r="D3" s="426"/>
      <c r="F3" s="426" t="s">
        <v>643</v>
      </c>
      <c r="G3" s="426"/>
    </row>
    <row r="4" spans="2:7" x14ac:dyDescent="0.3">
      <c r="B4" t="s">
        <v>393</v>
      </c>
      <c r="C4" s="212" t="s">
        <v>394</v>
      </c>
      <c r="F4" t="s">
        <v>394</v>
      </c>
    </row>
    <row r="5" spans="2:7" x14ac:dyDescent="0.3">
      <c r="B5" t="s">
        <v>395</v>
      </c>
      <c r="C5" s="97">
        <v>4046.8</v>
      </c>
      <c r="D5" s="50" t="s">
        <v>88</v>
      </c>
      <c r="F5" s="97">
        <v>23900.65</v>
      </c>
      <c r="G5" s="50" t="s">
        <v>88</v>
      </c>
    </row>
    <row r="6" spans="2:7" x14ac:dyDescent="0.3">
      <c r="B6" t="s">
        <v>396</v>
      </c>
      <c r="C6" s="97">
        <v>4037.8</v>
      </c>
      <c r="D6" s="24">
        <f>C6/C5-1</f>
        <v>-2.2239794405456426E-3</v>
      </c>
      <c r="F6" s="97">
        <v>23913.7</v>
      </c>
      <c r="G6" s="24">
        <f>F6/F5-1</f>
        <v>5.4601025495126798E-4</v>
      </c>
    </row>
    <row r="7" spans="2:7" x14ac:dyDescent="0.3">
      <c r="B7" t="s">
        <v>397</v>
      </c>
      <c r="C7" s="97">
        <v>4033.4</v>
      </c>
      <c r="D7" s="24">
        <f t="shared" ref="D7:D70" si="0">C7/C6-1</f>
        <v>-1.0897023131408723E-3</v>
      </c>
      <c r="F7" s="97">
        <v>24031.7</v>
      </c>
      <c r="G7" s="24">
        <f t="shared" ref="G7:G70" si="1">F7/F6-1</f>
        <v>4.9344099825623378E-3</v>
      </c>
    </row>
    <row r="8" spans="2:7" x14ac:dyDescent="0.3">
      <c r="B8" t="s">
        <v>398</v>
      </c>
      <c r="C8" s="97">
        <v>3926.6</v>
      </c>
      <c r="D8" s="24">
        <f t="shared" si="0"/>
        <v>-2.6478901175187253E-2</v>
      </c>
      <c r="F8" s="97">
        <v>23719.3</v>
      </c>
      <c r="G8" s="24">
        <f t="shared" si="1"/>
        <v>-1.2999496498375174E-2</v>
      </c>
    </row>
    <row r="9" spans="2:7" x14ac:dyDescent="0.3">
      <c r="B9" t="s">
        <v>399</v>
      </c>
      <c r="C9" s="97">
        <v>3890.5</v>
      </c>
      <c r="D9" s="24">
        <f t="shared" si="0"/>
        <v>-9.1937044771558396E-3</v>
      </c>
      <c r="F9" s="97">
        <v>23654.7</v>
      </c>
      <c r="G9" s="24">
        <f t="shared" si="1"/>
        <v>-2.7235205086152403E-3</v>
      </c>
    </row>
    <row r="10" spans="2:7" x14ac:dyDescent="0.3">
      <c r="B10" t="s">
        <v>400</v>
      </c>
      <c r="C10" s="97">
        <v>3872.87</v>
      </c>
      <c r="D10" s="24">
        <f t="shared" si="0"/>
        <v>-4.5315512144968872E-3</v>
      </c>
      <c r="F10" s="97">
        <v>23659</v>
      </c>
      <c r="G10" s="24">
        <f t="shared" si="1"/>
        <v>1.8178205599728159E-4</v>
      </c>
    </row>
    <row r="11" spans="2:7" x14ac:dyDescent="0.3">
      <c r="B11" t="s">
        <v>401</v>
      </c>
      <c r="C11" s="97">
        <v>3883.07</v>
      </c>
      <c r="D11" s="24">
        <f t="shared" si="0"/>
        <v>2.633705753097848E-3</v>
      </c>
      <c r="F11" s="97">
        <v>23618</v>
      </c>
      <c r="G11" s="24">
        <f t="shared" si="1"/>
        <v>-1.7329557462276712E-3</v>
      </c>
    </row>
    <row r="12" spans="2:7" x14ac:dyDescent="0.3">
      <c r="B12" t="s">
        <v>402</v>
      </c>
      <c r="C12" s="97">
        <v>3879.9</v>
      </c>
      <c r="D12" s="24">
        <f t="shared" si="0"/>
        <v>-8.1636437148957519E-4</v>
      </c>
      <c r="F12" s="97">
        <v>23649.95</v>
      </c>
      <c r="G12" s="24">
        <f t="shared" si="1"/>
        <v>1.3527817766110228E-3</v>
      </c>
    </row>
    <row r="13" spans="2:7" x14ac:dyDescent="0.3">
      <c r="B13" t="s">
        <v>403</v>
      </c>
      <c r="C13" s="97">
        <v>3871.19</v>
      </c>
      <c r="D13" s="24">
        <f t="shared" si="0"/>
        <v>-2.2449032191551588E-3</v>
      </c>
      <c r="F13" s="97">
        <v>23643.5</v>
      </c>
      <c r="G13" s="24">
        <f t="shared" si="1"/>
        <v>-2.7272784931897665E-4</v>
      </c>
    </row>
    <row r="14" spans="2:7" x14ac:dyDescent="0.3">
      <c r="B14" t="s">
        <v>404</v>
      </c>
      <c r="C14" s="97">
        <v>3902.28</v>
      </c>
      <c r="D14" s="24">
        <f t="shared" si="0"/>
        <v>8.031122213066233E-3</v>
      </c>
      <c r="F14" s="97">
        <v>23689.599999999999</v>
      </c>
      <c r="G14" s="24">
        <f t="shared" si="1"/>
        <v>1.949795926998954E-3</v>
      </c>
    </row>
    <row r="15" spans="2:7" x14ac:dyDescent="0.3">
      <c r="B15" t="s">
        <v>405</v>
      </c>
      <c r="C15" s="97">
        <v>3877.92</v>
      </c>
      <c r="D15" s="24">
        <f t="shared" si="0"/>
        <v>-6.2425043820536485E-3</v>
      </c>
      <c r="F15" s="97">
        <v>23412.6</v>
      </c>
      <c r="G15" s="24">
        <f t="shared" si="1"/>
        <v>-1.169289477238955E-2</v>
      </c>
    </row>
    <row r="16" spans="2:7" x14ac:dyDescent="0.3">
      <c r="B16" t="s">
        <v>406</v>
      </c>
      <c r="C16" s="97">
        <v>3819.2</v>
      </c>
      <c r="D16" s="24">
        <f t="shared" si="0"/>
        <v>-1.5142138053389487E-2</v>
      </c>
      <c r="F16" s="97">
        <v>23379.55</v>
      </c>
      <c r="G16" s="24">
        <f t="shared" si="1"/>
        <v>-1.411633052288086E-3</v>
      </c>
    </row>
    <row r="17" spans="2:7" x14ac:dyDescent="0.3">
      <c r="B17" t="s">
        <v>407</v>
      </c>
      <c r="C17" s="97">
        <v>3902.09</v>
      </c>
      <c r="D17" s="24">
        <f t="shared" si="0"/>
        <v>2.1703498114788555E-2</v>
      </c>
      <c r="F17" s="97">
        <v>23815.85</v>
      </c>
      <c r="G17" s="24">
        <f t="shared" si="1"/>
        <v>1.8661608114784123E-2</v>
      </c>
    </row>
    <row r="18" spans="2:7" x14ac:dyDescent="0.3">
      <c r="B18" t="s">
        <v>408</v>
      </c>
      <c r="C18" s="97">
        <v>3936.06</v>
      </c>
      <c r="D18" s="24">
        <f t="shared" si="0"/>
        <v>8.7055911063045333E-3</v>
      </c>
      <c r="F18" s="97">
        <v>24176.15</v>
      </c>
      <c r="G18" s="24">
        <f t="shared" si="1"/>
        <v>1.51285803362049E-2</v>
      </c>
    </row>
    <row r="19" spans="2:7" x14ac:dyDescent="0.3">
      <c r="B19" t="s">
        <v>409</v>
      </c>
      <c r="C19" s="97">
        <v>3984.09</v>
      </c>
      <c r="D19" s="24">
        <f t="shared" si="0"/>
        <v>1.2202557887837084E-2</v>
      </c>
      <c r="F19" s="97">
        <v>24326.65</v>
      </c>
      <c r="G19" s="24">
        <f t="shared" si="1"/>
        <v>6.2251433747722018E-3</v>
      </c>
    </row>
    <row r="20" spans="2:7" x14ac:dyDescent="0.3">
      <c r="B20" t="s">
        <v>410</v>
      </c>
      <c r="C20" s="97">
        <v>3969.73</v>
      </c>
      <c r="D20" s="24">
        <f t="shared" si="0"/>
        <v>-3.604336247424178E-3</v>
      </c>
      <c r="F20" s="97">
        <v>24330.95</v>
      </c>
      <c r="G20" s="24">
        <f t="shared" si="1"/>
        <v>1.7676087747386937E-4</v>
      </c>
    </row>
    <row r="21" spans="2:7" x14ac:dyDescent="0.3">
      <c r="B21" t="s">
        <v>411</v>
      </c>
      <c r="C21" s="97">
        <v>4015.28</v>
      </c>
      <c r="D21" s="24">
        <f t="shared" si="0"/>
        <v>1.1474332007466614E-2</v>
      </c>
      <c r="F21" s="97">
        <v>24032.799999999999</v>
      </c>
      <c r="G21" s="24">
        <f t="shared" si="1"/>
        <v>-1.2253939940692904E-2</v>
      </c>
    </row>
    <row r="22" spans="2:7" x14ac:dyDescent="0.3">
      <c r="B22" t="s">
        <v>412</v>
      </c>
      <c r="C22" s="97">
        <v>4061.13</v>
      </c>
      <c r="D22" s="24">
        <f t="shared" si="0"/>
        <v>1.1418879878862809E-2</v>
      </c>
      <c r="F22" s="97">
        <v>24119.3</v>
      </c>
      <c r="G22" s="24">
        <f t="shared" si="1"/>
        <v>3.5992476948170093E-3</v>
      </c>
    </row>
    <row r="23" spans="2:7" x14ac:dyDescent="0.3">
      <c r="B23" t="s">
        <v>413</v>
      </c>
      <c r="C23" s="97">
        <v>3975.17</v>
      </c>
      <c r="D23" s="24">
        <f t="shared" si="0"/>
        <v>-2.1166522618089045E-2</v>
      </c>
      <c r="F23" s="97">
        <v>23997.55</v>
      </c>
      <c r="G23" s="24">
        <f t="shared" si="1"/>
        <v>-5.0478247710339375E-3</v>
      </c>
    </row>
    <row r="24" spans="2:7" x14ac:dyDescent="0.3">
      <c r="B24" t="s">
        <v>414</v>
      </c>
      <c r="C24" s="97">
        <v>3975.17</v>
      </c>
      <c r="D24" s="24">
        <f t="shared" si="0"/>
        <v>0</v>
      </c>
      <c r="F24" s="97">
        <v>24177.65</v>
      </c>
      <c r="G24" s="24">
        <f t="shared" si="1"/>
        <v>7.5049327952230183E-3</v>
      </c>
    </row>
    <row r="25" spans="2:7" x14ac:dyDescent="0.3">
      <c r="B25" t="s">
        <v>415</v>
      </c>
      <c r="C25" s="97">
        <v>4056.48</v>
      </c>
      <c r="D25" s="24">
        <f t="shared" si="0"/>
        <v>2.0454471129536689E-2</v>
      </c>
      <c r="F25" s="97">
        <v>23995.7</v>
      </c>
      <c r="G25" s="24">
        <f t="shared" si="1"/>
        <v>-7.5255452866593853E-3</v>
      </c>
    </row>
    <row r="26" spans="2:7" x14ac:dyDescent="0.3">
      <c r="B26" t="s">
        <v>416</v>
      </c>
      <c r="C26" s="97">
        <v>3998.64</v>
      </c>
      <c r="D26" s="24">
        <f t="shared" si="0"/>
        <v>-1.4258667613300191E-2</v>
      </c>
      <c r="F26" s="97">
        <v>24092.7</v>
      </c>
      <c r="G26" s="24">
        <f t="shared" si="1"/>
        <v>4.0423909283746617E-3</v>
      </c>
    </row>
    <row r="27" spans="2:7" x14ac:dyDescent="0.3">
      <c r="B27" t="s">
        <v>417</v>
      </c>
      <c r="C27" s="97">
        <v>4014.39</v>
      </c>
      <c r="D27" s="24">
        <f t="shared" si="0"/>
        <v>3.9388392053298915E-3</v>
      </c>
      <c r="F27" s="97">
        <v>23897.95</v>
      </c>
      <c r="G27" s="24">
        <f t="shared" si="1"/>
        <v>-8.0833613501184454E-3</v>
      </c>
    </row>
    <row r="28" spans="2:7" x14ac:dyDescent="0.3">
      <c r="B28" t="s">
        <v>418</v>
      </c>
      <c r="C28" s="97">
        <v>3975.47</v>
      </c>
      <c r="D28" s="24">
        <f t="shared" si="0"/>
        <v>-9.6951217993269667E-3</v>
      </c>
      <c r="F28" s="97">
        <v>24173.05</v>
      </c>
      <c r="G28" s="24">
        <f t="shared" si="1"/>
        <v>1.1511447634629635E-2</v>
      </c>
    </row>
    <row r="29" spans="2:7" x14ac:dyDescent="0.3">
      <c r="B29" t="s">
        <v>419</v>
      </c>
      <c r="C29" s="97">
        <v>4014.89</v>
      </c>
      <c r="D29" s="24">
        <f t="shared" si="0"/>
        <v>9.9158086968333947E-3</v>
      </c>
      <c r="F29" s="97">
        <v>24378.1</v>
      </c>
      <c r="G29" s="24">
        <f t="shared" si="1"/>
        <v>8.4825870132234638E-3</v>
      </c>
    </row>
    <row r="30" spans="2:7" x14ac:dyDescent="0.3">
      <c r="B30" t="s">
        <v>420</v>
      </c>
      <c r="C30" s="97">
        <v>3982.2</v>
      </c>
      <c r="D30" s="24">
        <f t="shared" si="0"/>
        <v>-8.1421906951373302E-3</v>
      </c>
      <c r="F30" s="97">
        <v>24576.6</v>
      </c>
      <c r="G30" s="24">
        <f t="shared" si="1"/>
        <v>8.1425541777251365E-3</v>
      </c>
    </row>
    <row r="31" spans="2:7" x14ac:dyDescent="0.3">
      <c r="B31" t="s">
        <v>421</v>
      </c>
      <c r="C31" s="97">
        <v>4035.98</v>
      </c>
      <c r="D31" s="24">
        <f t="shared" si="0"/>
        <v>1.3505097684696876E-2</v>
      </c>
      <c r="F31" s="97">
        <v>24364.85</v>
      </c>
      <c r="G31" s="24">
        <f t="shared" si="1"/>
        <v>-8.6159192077016611E-3</v>
      </c>
    </row>
    <row r="32" spans="2:7" x14ac:dyDescent="0.3">
      <c r="B32" t="s">
        <v>422</v>
      </c>
      <c r="C32" s="97">
        <v>4011.82</v>
      </c>
      <c r="D32" s="24">
        <f t="shared" si="0"/>
        <v>-5.9861545399134686E-3</v>
      </c>
      <c r="F32" s="97">
        <v>24353.55</v>
      </c>
      <c r="G32" s="24">
        <f t="shared" si="1"/>
        <v>-4.6378286753245845E-4</v>
      </c>
    </row>
    <row r="33" spans="2:7" x14ac:dyDescent="0.3">
      <c r="B33" t="s">
        <v>423</v>
      </c>
      <c r="C33" s="97">
        <v>4056.48</v>
      </c>
      <c r="D33" s="24">
        <f t="shared" si="0"/>
        <v>1.1132104630815931E-2</v>
      </c>
      <c r="F33" s="97">
        <v>24196.75</v>
      </c>
      <c r="G33" s="24">
        <f t="shared" si="1"/>
        <v>-6.4384863808356618E-3</v>
      </c>
    </row>
    <row r="34" spans="2:7" x14ac:dyDescent="0.3">
      <c r="B34" t="s">
        <v>424</v>
      </c>
      <c r="C34" s="97">
        <v>4079.95</v>
      </c>
      <c r="D34" s="24">
        <f t="shared" si="0"/>
        <v>5.7858044412888443E-3</v>
      </c>
      <c r="F34" s="97">
        <v>24231.3</v>
      </c>
      <c r="G34" s="24">
        <f t="shared" si="1"/>
        <v>1.4278777108496232E-3</v>
      </c>
    </row>
    <row r="35" spans="2:7" x14ac:dyDescent="0.3">
      <c r="B35" t="s">
        <v>425</v>
      </c>
      <c r="C35" s="97">
        <v>4036.87</v>
      </c>
      <c r="D35" s="24">
        <f t="shared" si="0"/>
        <v>-1.0558952928344745E-2</v>
      </c>
      <c r="F35" s="97">
        <v>23842.65</v>
      </c>
      <c r="G35" s="24">
        <f t="shared" si="1"/>
        <v>-1.6039172475269536E-2</v>
      </c>
    </row>
    <row r="36" spans="2:7" x14ac:dyDescent="0.3">
      <c r="B36" t="s">
        <v>426</v>
      </c>
      <c r="C36" s="97">
        <v>3916.05</v>
      </c>
      <c r="D36" s="24">
        <f t="shared" si="0"/>
        <v>-2.9929128260260951E-2</v>
      </c>
      <c r="F36" s="97">
        <v>24050.6</v>
      </c>
      <c r="G36" s="24">
        <f t="shared" si="1"/>
        <v>8.721765407788018E-3</v>
      </c>
    </row>
    <row r="37" spans="2:7" x14ac:dyDescent="0.3">
      <c r="B37" t="s">
        <v>427</v>
      </c>
      <c r="C37" s="97">
        <v>3921.6</v>
      </c>
      <c r="D37" s="24">
        <f t="shared" si="0"/>
        <v>1.4172444172060317E-3</v>
      </c>
      <c r="F37" s="97">
        <v>23775.1</v>
      </c>
      <c r="G37" s="24">
        <f t="shared" si="1"/>
        <v>-1.1455015675284619E-2</v>
      </c>
    </row>
    <row r="38" spans="2:7" x14ac:dyDescent="0.3">
      <c r="B38" t="s">
        <v>428</v>
      </c>
      <c r="C38" s="97">
        <v>3858.51</v>
      </c>
      <c r="D38" s="24">
        <f t="shared" si="0"/>
        <v>-1.6087821297429583E-2</v>
      </c>
      <c r="F38" s="97">
        <v>23997.35</v>
      </c>
      <c r="G38" s="24">
        <f t="shared" si="1"/>
        <v>9.3480153606084748E-3</v>
      </c>
    </row>
    <row r="39" spans="2:7" x14ac:dyDescent="0.3">
      <c r="B39" t="s">
        <v>429</v>
      </c>
      <c r="C39" s="97">
        <v>3967.15</v>
      </c>
      <c r="D39" s="24">
        <f t="shared" si="0"/>
        <v>2.8155946207214733E-2</v>
      </c>
      <c r="F39" s="97">
        <v>23123.65</v>
      </c>
      <c r="G39" s="24">
        <f t="shared" si="1"/>
        <v>-3.6408186737285408E-2</v>
      </c>
    </row>
    <row r="40" spans="2:7" x14ac:dyDescent="0.3">
      <c r="B40" t="s">
        <v>430</v>
      </c>
      <c r="C40" s="97">
        <v>3687.28</v>
      </c>
      <c r="D40" s="24">
        <f t="shared" si="0"/>
        <v>-7.0546866138159636E-2</v>
      </c>
      <c r="F40" s="97">
        <v>22968.25</v>
      </c>
      <c r="G40" s="24">
        <f t="shared" si="1"/>
        <v>-6.7203923256060616E-3</v>
      </c>
    </row>
    <row r="41" spans="2:7" x14ac:dyDescent="0.3">
      <c r="B41" t="s">
        <v>431</v>
      </c>
      <c r="C41" s="97">
        <v>3691.64</v>
      </c>
      <c r="D41" s="24">
        <f t="shared" si="0"/>
        <v>1.1824434271332507E-3</v>
      </c>
      <c r="F41" s="97">
        <v>22713.1</v>
      </c>
      <c r="G41" s="24">
        <f t="shared" si="1"/>
        <v>-1.1108813253077665E-2</v>
      </c>
    </row>
    <row r="42" spans="2:7" x14ac:dyDescent="0.3">
      <c r="B42" t="s">
        <v>432</v>
      </c>
      <c r="C42" s="97">
        <v>3578.15</v>
      </c>
      <c r="D42" s="24">
        <f t="shared" si="0"/>
        <v>-3.0742434256861406E-2</v>
      </c>
      <c r="F42" s="97">
        <v>22679.4</v>
      </c>
      <c r="G42" s="24">
        <f t="shared" si="1"/>
        <v>-1.4837252510664367E-3</v>
      </c>
    </row>
    <row r="43" spans="2:7" x14ac:dyDescent="0.3">
      <c r="B43" t="s">
        <v>433</v>
      </c>
      <c r="C43" s="97">
        <v>3572.6</v>
      </c>
      <c r="D43" s="24">
        <f t="shared" si="0"/>
        <v>-1.5510808658105724E-3</v>
      </c>
      <c r="F43" s="97">
        <v>22331.4</v>
      </c>
      <c r="G43" s="24">
        <f t="shared" si="1"/>
        <v>-1.5344321278340733E-2</v>
      </c>
    </row>
    <row r="44" spans="2:7" x14ac:dyDescent="0.3">
      <c r="B44" t="s">
        <v>434</v>
      </c>
      <c r="C44" s="97">
        <v>3470.21</v>
      </c>
      <c r="D44" s="24">
        <f t="shared" si="0"/>
        <v>-2.8659799585735835E-2</v>
      </c>
      <c r="F44" s="97">
        <v>22819.599999999999</v>
      </c>
      <c r="G44" s="24">
        <f t="shared" si="1"/>
        <v>2.1861593988733219E-2</v>
      </c>
    </row>
    <row r="45" spans="2:7" x14ac:dyDescent="0.3">
      <c r="B45" t="s">
        <v>435</v>
      </c>
      <c r="C45" s="97">
        <v>3529.63</v>
      </c>
      <c r="D45" s="24">
        <f t="shared" si="0"/>
        <v>1.7122883053187099E-2</v>
      </c>
      <c r="F45" s="97">
        <v>23306.45</v>
      </c>
      <c r="G45" s="24">
        <f t="shared" si="1"/>
        <v>2.1334729793686336E-2</v>
      </c>
    </row>
    <row r="46" spans="2:7" x14ac:dyDescent="0.3">
      <c r="B46" t="s">
        <v>436</v>
      </c>
      <c r="C46" s="97">
        <v>3614</v>
      </c>
      <c r="D46" s="24">
        <f t="shared" si="0"/>
        <v>2.3903355309196739E-2</v>
      </c>
      <c r="F46" s="97">
        <v>22912.400000000001</v>
      </c>
      <c r="G46" s="24">
        <f t="shared" si="1"/>
        <v>-1.6907336810196294E-2</v>
      </c>
    </row>
    <row r="47" spans="2:7" x14ac:dyDescent="0.3">
      <c r="B47" t="s">
        <v>437</v>
      </c>
      <c r="C47" s="97">
        <v>3482.78</v>
      </c>
      <c r="D47" s="24">
        <f t="shared" si="0"/>
        <v>-3.6308799114554424E-2</v>
      </c>
      <c r="F47" s="97">
        <v>22512.65</v>
      </c>
      <c r="G47" s="24">
        <f t="shared" si="1"/>
        <v>-1.7446884656343253E-2</v>
      </c>
    </row>
    <row r="48" spans="2:7" x14ac:dyDescent="0.3">
      <c r="B48" t="s">
        <v>438</v>
      </c>
      <c r="C48" s="97">
        <v>3310.07</v>
      </c>
      <c r="D48" s="24">
        <f t="shared" si="0"/>
        <v>-4.9589695588007299E-2</v>
      </c>
      <c r="F48" s="97">
        <v>23114.5</v>
      </c>
      <c r="G48" s="24">
        <f t="shared" si="1"/>
        <v>2.6733858519543352E-2</v>
      </c>
    </row>
    <row r="49" spans="2:7" x14ac:dyDescent="0.3">
      <c r="B49" t="s">
        <v>439</v>
      </c>
      <c r="C49" s="97">
        <v>3401.58</v>
      </c>
      <c r="D49" s="24">
        <f t="shared" si="0"/>
        <v>2.764594102239526E-2</v>
      </c>
      <c r="F49" s="97">
        <v>23002.15</v>
      </c>
      <c r="G49" s="24">
        <f t="shared" si="1"/>
        <v>-4.8605853468601801E-3</v>
      </c>
    </row>
    <row r="50" spans="2:7" x14ac:dyDescent="0.3">
      <c r="B50" t="s">
        <v>440</v>
      </c>
      <c r="C50" s="97">
        <v>3401.28</v>
      </c>
      <c r="D50" s="24">
        <f t="shared" si="0"/>
        <v>-8.8194309703082396E-5</v>
      </c>
      <c r="F50" s="97">
        <v>23777.8</v>
      </c>
      <c r="G50" s="24">
        <f t="shared" si="1"/>
        <v>3.3720760885395329E-2</v>
      </c>
    </row>
    <row r="51" spans="2:7" x14ac:dyDescent="0.3">
      <c r="B51" t="s">
        <v>441</v>
      </c>
      <c r="C51" s="97">
        <v>3573</v>
      </c>
      <c r="D51" s="24">
        <f t="shared" si="0"/>
        <v>5.0486875529212494E-2</v>
      </c>
      <c r="F51" s="97">
        <v>23581.15</v>
      </c>
      <c r="G51" s="24">
        <f t="shared" si="1"/>
        <v>-8.2703193735331748E-3</v>
      </c>
    </row>
    <row r="52" spans="2:7" x14ac:dyDescent="0.3">
      <c r="B52" t="s">
        <v>442</v>
      </c>
      <c r="C52" s="97">
        <v>3508.53</v>
      </c>
      <c r="D52" s="24">
        <f t="shared" si="0"/>
        <v>-1.804366078925268E-2</v>
      </c>
      <c r="F52" s="97">
        <v>23408.799999999999</v>
      </c>
      <c r="G52" s="24">
        <f t="shared" si="1"/>
        <v>-7.3088038539257383E-3</v>
      </c>
    </row>
    <row r="53" spans="2:7" x14ac:dyDescent="0.3">
      <c r="B53" t="s">
        <v>443</v>
      </c>
      <c r="C53" s="97">
        <v>3435.84</v>
      </c>
      <c r="D53" s="24">
        <f t="shared" si="0"/>
        <v>-2.0718078511513416E-2</v>
      </c>
      <c r="F53" s="97">
        <v>23151.1</v>
      </c>
      <c r="G53" s="24">
        <f t="shared" si="1"/>
        <v>-1.1008680496223722E-2</v>
      </c>
    </row>
    <row r="54" spans="2:7" x14ac:dyDescent="0.3">
      <c r="B54" t="s">
        <v>444</v>
      </c>
      <c r="C54" s="97">
        <v>3405.73</v>
      </c>
      <c r="D54" s="24">
        <f t="shared" si="0"/>
        <v>-8.7635047033622904E-3</v>
      </c>
      <c r="F54" s="97">
        <v>23639.15</v>
      </c>
      <c r="G54" s="24">
        <f t="shared" si="1"/>
        <v>2.1081071741731572E-2</v>
      </c>
    </row>
    <row r="55" spans="2:7" x14ac:dyDescent="0.3">
      <c r="B55" t="s">
        <v>445</v>
      </c>
      <c r="C55" s="97">
        <v>3683.52</v>
      </c>
      <c r="D55" s="24">
        <f t="shared" si="0"/>
        <v>8.1565479353912451E-2</v>
      </c>
      <c r="F55" s="97">
        <v>23866.85</v>
      </c>
      <c r="G55" s="24">
        <f t="shared" si="1"/>
        <v>9.6323260354114204E-3</v>
      </c>
    </row>
    <row r="56" spans="2:7" x14ac:dyDescent="0.3">
      <c r="B56" t="s">
        <v>446</v>
      </c>
      <c r="C56" s="97">
        <v>3801.67</v>
      </c>
      <c r="D56" s="24">
        <f t="shared" si="0"/>
        <v>3.2075297541482195E-2</v>
      </c>
      <c r="F56" s="97">
        <v>24261.599999999999</v>
      </c>
      <c r="G56" s="24">
        <f t="shared" si="1"/>
        <v>1.6539677418679011E-2</v>
      </c>
    </row>
    <row r="57" spans="2:7" x14ac:dyDescent="0.3">
      <c r="B57" t="s">
        <v>447</v>
      </c>
      <c r="C57" s="97">
        <v>3838.51</v>
      </c>
      <c r="D57" s="24">
        <f t="shared" si="0"/>
        <v>9.6904781319788746E-3</v>
      </c>
      <c r="F57" s="97">
        <v>24028.05</v>
      </c>
      <c r="G57" s="24">
        <f t="shared" si="1"/>
        <v>-9.6263230784449094E-3</v>
      </c>
    </row>
    <row r="58" spans="2:7" x14ac:dyDescent="0.3">
      <c r="B58" t="s">
        <v>448</v>
      </c>
      <c r="C58" s="97">
        <v>3804.94</v>
      </c>
      <c r="D58" s="24">
        <f t="shared" si="0"/>
        <v>-8.7455809676151297E-3</v>
      </c>
      <c r="F58" s="97">
        <v>24450.45</v>
      </c>
      <c r="G58" s="24">
        <f t="shared" si="1"/>
        <v>1.757945401312222E-2</v>
      </c>
    </row>
    <row r="59" spans="2:7" x14ac:dyDescent="0.3">
      <c r="B59" t="s">
        <v>449</v>
      </c>
      <c r="C59" s="97">
        <v>3911.59</v>
      </c>
      <c r="D59" s="24">
        <f t="shared" si="0"/>
        <v>2.8029351316972262E-2</v>
      </c>
      <c r="F59" s="97">
        <v>24765.9</v>
      </c>
      <c r="G59" s="24">
        <f t="shared" si="1"/>
        <v>1.2901603037980935E-2</v>
      </c>
    </row>
    <row r="60" spans="2:7" x14ac:dyDescent="0.3">
      <c r="B60" t="s">
        <v>450</v>
      </c>
      <c r="C60" s="97">
        <v>3999.63</v>
      </c>
      <c r="D60" s="24">
        <f t="shared" si="0"/>
        <v>2.2507471386316036E-2</v>
      </c>
      <c r="F60" s="97">
        <v>24480.5</v>
      </c>
      <c r="G60" s="24">
        <f t="shared" si="1"/>
        <v>-1.1523909892230955E-2</v>
      </c>
    </row>
    <row r="61" spans="2:7" x14ac:dyDescent="0.3">
      <c r="B61" t="s">
        <v>451</v>
      </c>
      <c r="C61" s="97">
        <v>3845.04</v>
      </c>
      <c r="D61" s="24">
        <f t="shared" si="0"/>
        <v>-3.865107522445832E-2</v>
      </c>
      <c r="F61" s="97">
        <v>24865.7</v>
      </c>
      <c r="G61" s="24">
        <f t="shared" si="1"/>
        <v>1.5734972733400188E-2</v>
      </c>
    </row>
    <row r="62" spans="2:7" x14ac:dyDescent="0.3">
      <c r="B62" t="s">
        <v>452</v>
      </c>
      <c r="C62" s="97">
        <v>4027.36</v>
      </c>
      <c r="D62" s="24">
        <f t="shared" si="0"/>
        <v>4.7416931943490948E-2</v>
      </c>
      <c r="F62" s="97">
        <v>25178.65</v>
      </c>
      <c r="G62" s="24">
        <f t="shared" si="1"/>
        <v>1.2585609896363259E-2</v>
      </c>
    </row>
    <row r="63" spans="2:7" x14ac:dyDescent="0.3">
      <c r="B63" t="s">
        <v>453</v>
      </c>
      <c r="C63" s="97">
        <v>4236.92</v>
      </c>
      <c r="D63" s="24">
        <f t="shared" si="0"/>
        <v>5.2034086845973437E-2</v>
      </c>
      <c r="F63" s="97">
        <v>25496.55</v>
      </c>
      <c r="G63" s="24">
        <f t="shared" si="1"/>
        <v>1.262577620325156E-2</v>
      </c>
    </row>
    <row r="64" spans="2:7" x14ac:dyDescent="0.3">
      <c r="B64" t="s">
        <v>454</v>
      </c>
      <c r="C64" s="97">
        <v>4245.04</v>
      </c>
      <c r="D64" s="24">
        <f t="shared" si="0"/>
        <v>1.9164865043475032E-3</v>
      </c>
      <c r="F64" s="97">
        <v>25482.5</v>
      </c>
      <c r="G64" s="24">
        <f t="shared" si="1"/>
        <v>-5.5105494664964283E-4</v>
      </c>
    </row>
    <row r="65" spans="2:7" x14ac:dyDescent="0.3">
      <c r="B65" t="s">
        <v>455</v>
      </c>
      <c r="C65" s="97">
        <v>4256.92</v>
      </c>
      <c r="D65" s="24">
        <f t="shared" si="0"/>
        <v>2.7985602020239586E-3</v>
      </c>
      <c r="F65" s="97">
        <v>25424.65</v>
      </c>
      <c r="G65" s="24">
        <f t="shared" si="1"/>
        <v>-2.2701854213675876E-3</v>
      </c>
    </row>
    <row r="66" spans="2:7" x14ac:dyDescent="0.3">
      <c r="B66" t="s">
        <v>456</v>
      </c>
      <c r="C66" s="97">
        <v>4218</v>
      </c>
      <c r="D66" s="24">
        <f t="shared" si="0"/>
        <v>-9.1427604935023776E-3</v>
      </c>
      <c r="F66" s="97">
        <v>25713</v>
      </c>
      <c r="G66" s="24">
        <f t="shared" si="1"/>
        <v>1.1341355731544045E-2</v>
      </c>
    </row>
    <row r="67" spans="2:7" x14ac:dyDescent="0.3">
      <c r="B67" t="s">
        <v>457</v>
      </c>
      <c r="C67" s="97">
        <v>4375.3599999999997</v>
      </c>
      <c r="D67" s="24">
        <f t="shared" si="0"/>
        <v>3.7306780464675171E-2</v>
      </c>
      <c r="F67" s="97">
        <v>25571.25</v>
      </c>
      <c r="G67" s="24">
        <f t="shared" si="1"/>
        <v>-5.5127756387819415E-3</v>
      </c>
    </row>
    <row r="68" spans="2:7" x14ac:dyDescent="0.3">
      <c r="B68" t="s">
        <v>458</v>
      </c>
      <c r="C68" s="97">
        <v>4338.2299999999996</v>
      </c>
      <c r="D68" s="24">
        <f t="shared" si="0"/>
        <v>-8.4861588532143539E-3</v>
      </c>
      <c r="F68" s="97">
        <v>25454.35</v>
      </c>
      <c r="G68" s="24">
        <f t="shared" si="1"/>
        <v>-4.5715403040524905E-3</v>
      </c>
    </row>
    <row r="69" spans="2:7" x14ac:dyDescent="0.3">
      <c r="B69" t="s">
        <v>459</v>
      </c>
      <c r="C69" s="97">
        <v>4239.1000000000004</v>
      </c>
      <c r="D69" s="24">
        <f t="shared" si="0"/>
        <v>-2.2850332969897691E-2</v>
      </c>
      <c r="F69" s="97">
        <v>25819.35</v>
      </c>
      <c r="G69" s="24">
        <f t="shared" si="1"/>
        <v>1.4339395820360812E-2</v>
      </c>
    </row>
    <row r="70" spans="2:7" x14ac:dyDescent="0.3">
      <c r="B70" t="s">
        <v>460</v>
      </c>
      <c r="C70" s="97">
        <v>4284.0600000000004</v>
      </c>
      <c r="D70" s="24">
        <f t="shared" si="0"/>
        <v>1.0606024863768271E-2</v>
      </c>
      <c r="F70" s="97">
        <v>25725.4</v>
      </c>
      <c r="G70" s="24">
        <f t="shared" si="1"/>
        <v>-3.638743810359224E-3</v>
      </c>
    </row>
    <row r="71" spans="2:7" x14ac:dyDescent="0.3">
      <c r="B71" t="s">
        <v>461</v>
      </c>
      <c r="C71" s="97">
        <v>4238.3999999999996</v>
      </c>
      <c r="D71" s="24">
        <f t="shared" ref="D71:D134" si="2">C71/C70-1</f>
        <v>-1.0658114032016552E-2</v>
      </c>
      <c r="F71" s="97">
        <v>25682.75</v>
      </c>
      <c r="G71" s="24">
        <f t="shared" ref="G71:G134" si="3">F71/F70-1</f>
        <v>-1.6578945322521799E-3</v>
      </c>
    </row>
    <row r="72" spans="2:7" x14ac:dyDescent="0.3">
      <c r="B72" t="s">
        <v>462</v>
      </c>
      <c r="C72" s="97">
        <v>4160.8599999999997</v>
      </c>
      <c r="D72" s="24">
        <f t="shared" si="2"/>
        <v>-1.8294639486598707E-2</v>
      </c>
      <c r="F72" s="97">
        <v>25471.1</v>
      </c>
      <c r="G72" s="24">
        <f t="shared" si="3"/>
        <v>-8.2409399304981257E-3</v>
      </c>
    </row>
    <row r="73" spans="2:7" x14ac:dyDescent="0.3">
      <c r="B73" t="s">
        <v>463</v>
      </c>
      <c r="C73" s="97">
        <v>4133.53</v>
      </c>
      <c r="D73" s="24">
        <f t="shared" si="2"/>
        <v>-6.5683536576572887E-3</v>
      </c>
      <c r="F73" s="97">
        <v>25807.200000000001</v>
      </c>
      <c r="G73" s="24">
        <f t="shared" si="3"/>
        <v>1.3195346883330572E-2</v>
      </c>
    </row>
    <row r="74" spans="2:7" x14ac:dyDescent="0.3">
      <c r="B74" t="s">
        <v>464</v>
      </c>
      <c r="C74" s="97">
        <v>4145.41</v>
      </c>
      <c r="D74" s="24">
        <f t="shared" si="2"/>
        <v>2.874056798910507E-3</v>
      </c>
      <c r="F74" s="97">
        <v>25953.85</v>
      </c>
      <c r="G74" s="24">
        <f t="shared" si="3"/>
        <v>5.6825227068413309E-3</v>
      </c>
    </row>
    <row r="75" spans="2:7" x14ac:dyDescent="0.3">
      <c r="B75" t="s">
        <v>465</v>
      </c>
      <c r="C75" s="97">
        <v>4130.0600000000004</v>
      </c>
      <c r="D75" s="24">
        <f t="shared" si="2"/>
        <v>-3.7028906670267814E-3</v>
      </c>
      <c r="F75" s="97">
        <v>25935.15</v>
      </c>
      <c r="G75" s="24">
        <f t="shared" si="3"/>
        <v>-7.2050967390180354E-4</v>
      </c>
    </row>
    <row r="76" spans="2:7" x14ac:dyDescent="0.3">
      <c r="B76" t="s">
        <v>466</v>
      </c>
      <c r="C76" s="97">
        <v>4128.67</v>
      </c>
      <c r="D76" s="24">
        <f t="shared" si="2"/>
        <v>-3.3655685389566425E-4</v>
      </c>
      <c r="F76" s="97">
        <v>25867.3</v>
      </c>
      <c r="G76" s="24">
        <f t="shared" si="3"/>
        <v>-2.6161406431041145E-3</v>
      </c>
    </row>
    <row r="77" spans="2:7" x14ac:dyDescent="0.3">
      <c r="B77" t="s">
        <v>467</v>
      </c>
      <c r="C77" s="97">
        <v>4073.81</v>
      </c>
      <c r="D77" s="24">
        <f t="shared" si="2"/>
        <v>-1.3287572026827066E-2</v>
      </c>
      <c r="F77" s="97">
        <v>25693.7</v>
      </c>
      <c r="G77" s="24">
        <f t="shared" si="3"/>
        <v>-6.7111758861573279E-3</v>
      </c>
    </row>
    <row r="78" spans="2:7" x14ac:dyDescent="0.3">
      <c r="B78" t="s">
        <v>468</v>
      </c>
      <c r="C78" s="97">
        <v>4028.75</v>
      </c>
      <c r="D78" s="24">
        <f t="shared" si="2"/>
        <v>-1.106089876552907E-2</v>
      </c>
      <c r="F78" s="97">
        <v>25642.799999999999</v>
      </c>
      <c r="G78" s="24">
        <f t="shared" si="3"/>
        <v>-1.9810303693124087E-3</v>
      </c>
    </row>
    <row r="79" spans="2:7" x14ac:dyDescent="0.3">
      <c r="B79" t="s">
        <v>469</v>
      </c>
      <c r="C79" s="97">
        <v>4024</v>
      </c>
      <c r="D79" s="24">
        <f t="shared" si="2"/>
        <v>-1.1790257524045833E-3</v>
      </c>
      <c r="F79" s="97">
        <v>25776</v>
      </c>
      <c r="G79" s="24">
        <f t="shared" si="3"/>
        <v>5.1944405447144071E-3</v>
      </c>
    </row>
    <row r="80" spans="2:7" x14ac:dyDescent="0.3">
      <c r="B80" t="s">
        <v>470</v>
      </c>
      <c r="C80" s="97">
        <v>4047.57</v>
      </c>
      <c r="D80" s="24">
        <f t="shared" si="2"/>
        <v>5.8573558648111756E-3</v>
      </c>
      <c r="F80" s="97">
        <v>25727.55</v>
      </c>
      <c r="G80" s="24">
        <f t="shared" si="3"/>
        <v>-1.8796554934823462E-3</v>
      </c>
    </row>
    <row r="81" spans="2:7" x14ac:dyDescent="0.3">
      <c r="B81" t="s">
        <v>471</v>
      </c>
      <c r="C81" s="97">
        <v>3999.73</v>
      </c>
      <c r="D81" s="24">
        <f t="shared" si="2"/>
        <v>-1.1819437341417216E-2</v>
      </c>
      <c r="F81" s="97">
        <v>25088.400000000001</v>
      </c>
      <c r="G81" s="24">
        <f t="shared" si="3"/>
        <v>-2.4843018476302547E-2</v>
      </c>
    </row>
    <row r="82" spans="2:7" x14ac:dyDescent="0.3">
      <c r="B82" t="s">
        <v>472</v>
      </c>
      <c r="C82" s="97">
        <v>3883.37</v>
      </c>
      <c r="D82" s="24">
        <f t="shared" si="2"/>
        <v>-2.9091963707550295E-2</v>
      </c>
      <c r="F82" s="97">
        <v>25320.65</v>
      </c>
      <c r="G82" s="24">
        <f t="shared" si="3"/>
        <v>9.2572663063408278E-3</v>
      </c>
    </row>
    <row r="83" spans="2:7" x14ac:dyDescent="0.3">
      <c r="B83" t="s">
        <v>473</v>
      </c>
      <c r="C83" s="97">
        <v>3894.26</v>
      </c>
      <c r="D83" s="24">
        <f t="shared" si="2"/>
        <v>2.8042653674515972E-3</v>
      </c>
      <c r="F83" s="97">
        <v>25418.9</v>
      </c>
      <c r="G83" s="24">
        <f t="shared" si="3"/>
        <v>3.8802321425397412E-3</v>
      </c>
    </row>
    <row r="84" spans="2:7" x14ac:dyDescent="0.3">
      <c r="B84" t="s">
        <v>474</v>
      </c>
      <c r="C84" s="97">
        <v>3894.86</v>
      </c>
      <c r="D84" s="24">
        <f t="shared" si="2"/>
        <v>1.540729175761868E-4</v>
      </c>
      <c r="F84" s="97">
        <v>25342.75</v>
      </c>
      <c r="G84" s="24">
        <f t="shared" si="3"/>
        <v>-2.9958023360571184E-3</v>
      </c>
    </row>
    <row r="85" spans="2:7" x14ac:dyDescent="0.3">
      <c r="B85" t="s">
        <v>475</v>
      </c>
      <c r="C85" s="97">
        <v>3757.3</v>
      </c>
      <c r="D85" s="24">
        <f t="shared" si="2"/>
        <v>-3.5318342636192268E-2</v>
      </c>
      <c r="F85" s="97">
        <v>25175.4</v>
      </c>
      <c r="G85" s="24">
        <f t="shared" si="3"/>
        <v>-6.6034664746327243E-3</v>
      </c>
    </row>
    <row r="86" spans="2:7" x14ac:dyDescent="0.3">
      <c r="B86" t="s">
        <v>476</v>
      </c>
      <c r="C86" s="97">
        <v>3751.16</v>
      </c>
      <c r="D86" s="24">
        <f t="shared" si="2"/>
        <v>-1.6341521837490713E-3</v>
      </c>
      <c r="F86" s="97">
        <v>25048.65</v>
      </c>
      <c r="G86" s="24">
        <f t="shared" si="3"/>
        <v>-5.0346767082151134E-3</v>
      </c>
    </row>
    <row r="87" spans="2:7" x14ac:dyDescent="0.3">
      <c r="B87" t="s">
        <v>477</v>
      </c>
      <c r="C87" s="97">
        <v>3707.59</v>
      </c>
      <c r="D87" s="24">
        <f t="shared" si="2"/>
        <v>-1.1615073737190507E-2</v>
      </c>
      <c r="F87" s="97">
        <v>25289.9</v>
      </c>
      <c r="G87" s="24">
        <f t="shared" si="3"/>
        <v>9.6312575727635075E-3</v>
      </c>
    </row>
    <row r="88" spans="2:7" x14ac:dyDescent="0.3">
      <c r="B88" t="s">
        <v>478</v>
      </c>
      <c r="C88" s="97">
        <v>3757.1</v>
      </c>
      <c r="D88" s="24">
        <f t="shared" si="2"/>
        <v>1.335368797520764E-2</v>
      </c>
      <c r="F88" s="97">
        <v>25157.5</v>
      </c>
      <c r="G88" s="24">
        <f t="shared" si="3"/>
        <v>-5.235291559080979E-3</v>
      </c>
    </row>
    <row r="89" spans="2:7" x14ac:dyDescent="0.3">
      <c r="B89" t="s">
        <v>479</v>
      </c>
      <c r="C89" s="97">
        <v>3730.07</v>
      </c>
      <c r="D89" s="24">
        <f t="shared" si="2"/>
        <v>-7.1943786431023504E-3</v>
      </c>
      <c r="F89" s="97">
        <v>25232.5</v>
      </c>
      <c r="G89" s="24">
        <f t="shared" si="3"/>
        <v>2.9812183245552237E-3</v>
      </c>
    </row>
    <row r="90" spans="2:7" x14ac:dyDescent="0.3">
      <c r="B90" t="s">
        <v>480</v>
      </c>
      <c r="C90" s="97">
        <v>3773.64</v>
      </c>
      <c r="D90" s="24">
        <f t="shared" si="2"/>
        <v>1.1680745937743708E-2</v>
      </c>
      <c r="F90" s="97">
        <v>25585.5</v>
      </c>
      <c r="G90" s="24">
        <f t="shared" si="3"/>
        <v>1.3989893985930868E-2</v>
      </c>
    </row>
    <row r="91" spans="2:7" x14ac:dyDescent="0.3">
      <c r="B91" t="s">
        <v>481</v>
      </c>
      <c r="C91" s="97">
        <v>3832.37</v>
      </c>
      <c r="D91" s="24">
        <f t="shared" si="2"/>
        <v>1.556322277694755E-2</v>
      </c>
      <c r="F91" s="97">
        <v>25694.35</v>
      </c>
      <c r="G91" s="24">
        <f t="shared" si="3"/>
        <v>4.2543628226925367E-3</v>
      </c>
    </row>
    <row r="92" spans="2:7" x14ac:dyDescent="0.3">
      <c r="B92" t="s">
        <v>482</v>
      </c>
      <c r="C92" s="97">
        <v>3819.1</v>
      </c>
      <c r="D92" s="24">
        <f t="shared" si="2"/>
        <v>-3.4626092992064983E-3</v>
      </c>
      <c r="F92" s="97">
        <v>25665.599999999999</v>
      </c>
      <c r="G92" s="24">
        <f t="shared" si="3"/>
        <v>-1.1189230317171228E-3</v>
      </c>
    </row>
    <row r="93" spans="2:7" x14ac:dyDescent="0.3">
      <c r="B93" t="s">
        <v>483</v>
      </c>
      <c r="C93" s="97">
        <v>3828.41</v>
      </c>
      <c r="D93" s="24">
        <f t="shared" si="2"/>
        <v>2.4377471131942219E-3</v>
      </c>
      <c r="F93" s="97">
        <v>25732.3</v>
      </c>
      <c r="G93" s="24">
        <f t="shared" si="3"/>
        <v>2.5988093011657387E-3</v>
      </c>
    </row>
    <row r="94" spans="2:7" x14ac:dyDescent="0.3">
      <c r="B94" t="s">
        <v>484</v>
      </c>
      <c r="C94" s="97">
        <v>3828.41</v>
      </c>
      <c r="D94" s="24">
        <f t="shared" si="2"/>
        <v>0</v>
      </c>
      <c r="F94" s="97">
        <v>25790.25</v>
      </c>
      <c r="G94" s="24">
        <f t="shared" si="3"/>
        <v>2.2520334365758732E-3</v>
      </c>
    </row>
    <row r="95" spans="2:7" x14ac:dyDescent="0.3">
      <c r="B95" t="s">
        <v>485</v>
      </c>
      <c r="C95" s="97">
        <v>3849.8</v>
      </c>
      <c r="D95" s="24">
        <f t="shared" si="2"/>
        <v>5.58717587719193E-3</v>
      </c>
      <c r="F95" s="97">
        <v>25683.3</v>
      </c>
      <c r="G95" s="24">
        <f t="shared" si="3"/>
        <v>-4.1469159856922788E-3</v>
      </c>
    </row>
    <row r="96" spans="2:7" x14ac:dyDescent="0.3">
      <c r="B96" t="s">
        <v>486</v>
      </c>
      <c r="C96" s="97">
        <v>3980.12</v>
      </c>
      <c r="D96" s="24">
        <f t="shared" si="2"/>
        <v>3.3851109148527181E-2</v>
      </c>
      <c r="F96" s="97">
        <v>25876.85</v>
      </c>
      <c r="G96" s="24">
        <f t="shared" si="3"/>
        <v>7.5360253549972001E-3</v>
      </c>
    </row>
    <row r="97" spans="2:7" x14ac:dyDescent="0.3">
      <c r="B97" t="s">
        <v>487</v>
      </c>
      <c r="C97" s="97">
        <v>3986.26</v>
      </c>
      <c r="D97" s="24">
        <f t="shared" si="2"/>
        <v>1.5426670552647348E-3</v>
      </c>
      <c r="F97" s="97">
        <v>26140.75</v>
      </c>
      <c r="G97" s="24">
        <f t="shared" si="3"/>
        <v>1.0198304662275337E-2</v>
      </c>
    </row>
    <row r="98" spans="2:7" x14ac:dyDescent="0.3">
      <c r="B98" t="s">
        <v>488</v>
      </c>
      <c r="C98" s="97">
        <v>3989.43</v>
      </c>
      <c r="D98" s="24">
        <f t="shared" si="2"/>
        <v>7.9523162061678754E-4</v>
      </c>
      <c r="F98" s="97">
        <v>26178.7</v>
      </c>
      <c r="G98" s="24">
        <f t="shared" si="3"/>
        <v>1.45175635741146E-3</v>
      </c>
    </row>
    <row r="99" spans="2:7" x14ac:dyDescent="0.3">
      <c r="B99" t="s">
        <v>489</v>
      </c>
      <c r="C99" s="97">
        <v>4116.79</v>
      </c>
      <c r="D99" s="24">
        <f t="shared" si="2"/>
        <v>3.1924360121621476E-2</v>
      </c>
      <c r="F99" s="97">
        <v>26250.3</v>
      </c>
      <c r="G99" s="24">
        <f t="shared" si="3"/>
        <v>2.7350479588366117E-3</v>
      </c>
    </row>
    <row r="100" spans="2:7" x14ac:dyDescent="0.3">
      <c r="B100" t="s">
        <v>490</v>
      </c>
      <c r="C100" s="97">
        <v>4100.55</v>
      </c>
      <c r="D100" s="24">
        <f t="shared" si="2"/>
        <v>-3.9448210863317623E-3</v>
      </c>
      <c r="F100" s="97">
        <v>26328.55</v>
      </c>
      <c r="G100" s="24">
        <f t="shared" si="3"/>
        <v>2.9809183133144845E-3</v>
      </c>
    </row>
    <row r="101" spans="2:7" x14ac:dyDescent="0.3">
      <c r="B101" t="s">
        <v>491</v>
      </c>
      <c r="C101" s="97">
        <v>4110.25</v>
      </c>
      <c r="D101" s="24">
        <f t="shared" si="2"/>
        <v>2.3655363304921906E-3</v>
      </c>
      <c r="F101" s="97">
        <v>26146.55</v>
      </c>
      <c r="G101" s="24">
        <f t="shared" si="3"/>
        <v>-6.9126480569571269E-3</v>
      </c>
    </row>
    <row r="102" spans="2:7" x14ac:dyDescent="0.3">
      <c r="B102" t="s">
        <v>492</v>
      </c>
      <c r="C102" s="97">
        <v>4123.13</v>
      </c>
      <c r="D102" s="24">
        <f t="shared" si="2"/>
        <v>3.1336293412809191E-3</v>
      </c>
      <c r="F102" s="97">
        <v>26129.599999999999</v>
      </c>
      <c r="G102" s="24">
        <f t="shared" si="3"/>
        <v>-6.4826908330162247E-4</v>
      </c>
    </row>
    <row r="103" spans="2:7" x14ac:dyDescent="0.3">
      <c r="B103" t="s">
        <v>493</v>
      </c>
      <c r="C103" s="97">
        <v>4100.3500000000004</v>
      </c>
      <c r="D103" s="24">
        <f t="shared" si="2"/>
        <v>-5.5249288768483007E-3</v>
      </c>
      <c r="F103" s="97">
        <v>25938.85</v>
      </c>
      <c r="G103" s="24">
        <f t="shared" si="3"/>
        <v>-7.300150021431584E-3</v>
      </c>
    </row>
    <row r="104" spans="2:7" x14ac:dyDescent="0.3">
      <c r="B104" t="s">
        <v>494</v>
      </c>
      <c r="C104" s="97">
        <v>4044</v>
      </c>
      <c r="D104" s="24">
        <f t="shared" si="2"/>
        <v>-1.3742729279207944E-2</v>
      </c>
      <c r="F104" s="97">
        <v>25942.1</v>
      </c>
      <c r="G104" s="24">
        <f t="shared" si="3"/>
        <v>1.2529468345734429E-4</v>
      </c>
    </row>
    <row r="105" spans="2:7" x14ac:dyDescent="0.3">
      <c r="B105" t="s">
        <v>495</v>
      </c>
      <c r="C105" s="97">
        <v>4012.81</v>
      </c>
      <c r="D105" s="24">
        <f t="shared" si="2"/>
        <v>-7.7126607319485396E-3</v>
      </c>
      <c r="F105" s="97">
        <v>26042.3</v>
      </c>
      <c r="G105" s="24">
        <f t="shared" si="3"/>
        <v>3.8624475273782988E-3</v>
      </c>
    </row>
    <row r="106" spans="2:7" x14ac:dyDescent="0.3">
      <c r="B106" t="s">
        <v>496</v>
      </c>
      <c r="C106" s="97">
        <v>3999.63</v>
      </c>
      <c r="D106" s="24">
        <f t="shared" si="2"/>
        <v>-3.2844814481621798E-3</v>
      </c>
      <c r="F106" s="97">
        <v>26142.1</v>
      </c>
      <c r="G106" s="24">
        <f t="shared" si="3"/>
        <v>3.8322268002441984E-3</v>
      </c>
    </row>
    <row r="107" spans="2:7" x14ac:dyDescent="0.3">
      <c r="B107" t="s">
        <v>497</v>
      </c>
      <c r="C107" s="97">
        <v>4008.15</v>
      </c>
      <c r="D107" s="24">
        <f t="shared" si="2"/>
        <v>2.1301970432265893E-3</v>
      </c>
      <c r="F107" s="97">
        <v>26177.15</v>
      </c>
      <c r="G107" s="24">
        <f t="shared" si="3"/>
        <v>1.34074921295535E-3</v>
      </c>
    </row>
    <row r="108" spans="2:7" x14ac:dyDescent="0.3">
      <c r="B108" t="s">
        <v>498</v>
      </c>
      <c r="C108" s="97">
        <v>4014.39</v>
      </c>
      <c r="D108" s="24">
        <f t="shared" si="2"/>
        <v>1.5568279630253645E-3</v>
      </c>
      <c r="F108" s="97">
        <v>26172.400000000001</v>
      </c>
      <c r="G108" s="24">
        <f t="shared" si="3"/>
        <v>-1.8145596445751089E-4</v>
      </c>
    </row>
    <row r="109" spans="2:7" x14ac:dyDescent="0.3">
      <c r="B109" t="s">
        <v>499</v>
      </c>
      <c r="C109" s="97">
        <v>4019.54</v>
      </c>
      <c r="D109" s="24">
        <f t="shared" si="2"/>
        <v>1.2828848218533473E-3</v>
      </c>
      <c r="F109" s="97">
        <v>25966.400000000001</v>
      </c>
      <c r="G109" s="24">
        <f t="shared" si="3"/>
        <v>-7.8708868884779237E-3</v>
      </c>
    </row>
    <row r="110" spans="2:7" x14ac:dyDescent="0.3">
      <c r="B110" t="s">
        <v>500</v>
      </c>
      <c r="C110" s="97">
        <v>4033.01</v>
      </c>
      <c r="D110" s="24">
        <f t="shared" si="2"/>
        <v>3.3511297312629473E-3</v>
      </c>
      <c r="F110" s="97">
        <v>25815.55</v>
      </c>
      <c r="G110" s="24">
        <f t="shared" si="3"/>
        <v>-5.8094306488385428E-3</v>
      </c>
    </row>
    <row r="111" spans="2:7" x14ac:dyDescent="0.3">
      <c r="B111" t="s">
        <v>501</v>
      </c>
      <c r="C111" s="97">
        <v>4034.1</v>
      </c>
      <c r="D111" s="24">
        <f t="shared" si="2"/>
        <v>2.7026960012488388E-4</v>
      </c>
      <c r="F111" s="97">
        <v>25818.55</v>
      </c>
      <c r="G111" s="24">
        <f t="shared" si="3"/>
        <v>1.1620902905429276E-4</v>
      </c>
    </row>
    <row r="112" spans="2:7" x14ac:dyDescent="0.3">
      <c r="B112" t="s">
        <v>502</v>
      </c>
      <c r="C112" s="97">
        <v>3992.11</v>
      </c>
      <c r="D112" s="24">
        <f t="shared" si="2"/>
        <v>-1.0408765276021859E-2</v>
      </c>
      <c r="F112" s="97">
        <v>25860.1</v>
      </c>
      <c r="G112" s="24">
        <f t="shared" si="3"/>
        <v>1.6093080362762358E-3</v>
      </c>
    </row>
    <row r="113" spans="2:7" x14ac:dyDescent="0.3">
      <c r="B113" t="s">
        <v>503</v>
      </c>
      <c r="C113" s="97">
        <v>4023.1</v>
      </c>
      <c r="D113" s="24">
        <f t="shared" si="2"/>
        <v>7.76281214695973E-3</v>
      </c>
      <c r="F113" s="97">
        <v>26027.3</v>
      </c>
      <c r="G113" s="24">
        <f t="shared" si="3"/>
        <v>6.4655589112183609E-3</v>
      </c>
    </row>
    <row r="114" spans="2:7" x14ac:dyDescent="0.3">
      <c r="B114" t="s">
        <v>504</v>
      </c>
      <c r="C114" s="97">
        <v>4024.49</v>
      </c>
      <c r="D114" s="24">
        <f t="shared" si="2"/>
        <v>3.4550471029803909E-4</v>
      </c>
      <c r="F114" s="97">
        <v>26046.95</v>
      </c>
      <c r="G114" s="24">
        <f t="shared" si="3"/>
        <v>7.5497650543865369E-4</v>
      </c>
    </row>
    <row r="115" spans="2:7" x14ac:dyDescent="0.3">
      <c r="B115" t="s">
        <v>505</v>
      </c>
      <c r="C115" s="97">
        <v>4052.72</v>
      </c>
      <c r="D115" s="24">
        <f t="shared" si="2"/>
        <v>7.0145533968279938E-3</v>
      </c>
      <c r="F115" s="97">
        <v>25898.55</v>
      </c>
      <c r="G115" s="24">
        <f t="shared" si="3"/>
        <v>-5.697404110654114E-3</v>
      </c>
    </row>
    <row r="116" spans="2:7" x14ac:dyDescent="0.3">
      <c r="B116" t="s">
        <v>506</v>
      </c>
      <c r="C116" s="97">
        <v>4034.69</v>
      </c>
      <c r="D116" s="24">
        <f t="shared" si="2"/>
        <v>-4.4488639728379464E-3</v>
      </c>
      <c r="F116" s="97">
        <v>25758</v>
      </c>
      <c r="G116" s="24">
        <f t="shared" si="3"/>
        <v>-5.4269447517332203E-3</v>
      </c>
    </row>
    <row r="117" spans="2:7" x14ac:dyDescent="0.3">
      <c r="B117" t="s">
        <v>507</v>
      </c>
      <c r="C117" s="97">
        <v>3965.17</v>
      </c>
      <c r="D117" s="24">
        <f t="shared" si="2"/>
        <v>-1.7230567899888194E-2</v>
      </c>
      <c r="F117" s="97">
        <v>25839.65</v>
      </c>
      <c r="G117" s="24">
        <f t="shared" si="3"/>
        <v>3.1698889665348062E-3</v>
      </c>
    </row>
    <row r="118" spans="2:7" x14ac:dyDescent="0.3">
      <c r="B118" t="s">
        <v>508</v>
      </c>
      <c r="C118" s="97">
        <v>3952.69</v>
      </c>
      <c r="D118" s="24">
        <f t="shared" si="2"/>
        <v>-3.1474060380765057E-3</v>
      </c>
      <c r="F118" s="97">
        <v>25960.55</v>
      </c>
      <c r="G118" s="24">
        <f t="shared" si="3"/>
        <v>4.6788559442560995E-3</v>
      </c>
    </row>
    <row r="119" spans="2:7" x14ac:dyDescent="0.3">
      <c r="B119" t="s">
        <v>509</v>
      </c>
      <c r="C119" s="97">
        <v>3958.83</v>
      </c>
      <c r="D119" s="24">
        <f t="shared" si="2"/>
        <v>1.5533725134022625E-3</v>
      </c>
      <c r="F119" s="97">
        <v>26186.45</v>
      </c>
      <c r="G119" s="24">
        <f t="shared" si="3"/>
        <v>8.7016646411575138E-3</v>
      </c>
    </row>
    <row r="120" spans="2:7" x14ac:dyDescent="0.3">
      <c r="B120" t="s">
        <v>510</v>
      </c>
      <c r="C120" s="97">
        <v>3958.04</v>
      </c>
      <c r="D120" s="24">
        <f t="shared" si="2"/>
        <v>-1.9955390860426636E-4</v>
      </c>
      <c r="F120" s="97">
        <v>26033.75</v>
      </c>
      <c r="G120" s="24">
        <f t="shared" si="3"/>
        <v>-5.8312600600692877E-3</v>
      </c>
    </row>
    <row r="121" spans="2:7" x14ac:dyDescent="0.3">
      <c r="B121" t="s">
        <v>511</v>
      </c>
      <c r="C121" s="97">
        <v>3999.14</v>
      </c>
      <c r="D121" s="24">
        <f t="shared" si="2"/>
        <v>1.038392739840921E-2</v>
      </c>
      <c r="F121" s="97">
        <v>25986</v>
      </c>
      <c r="G121" s="24">
        <f t="shared" si="3"/>
        <v>-1.8341575839054824E-3</v>
      </c>
    </row>
    <row r="122" spans="2:7" x14ac:dyDescent="0.3">
      <c r="B122" t="s">
        <v>512</v>
      </c>
      <c r="C122" s="97">
        <v>3945.07</v>
      </c>
      <c r="D122" s="24">
        <f t="shared" si="2"/>
        <v>-1.3520406887480685E-2</v>
      </c>
      <c r="F122" s="97">
        <v>26032.2</v>
      </c>
      <c r="G122" s="24">
        <f t="shared" si="3"/>
        <v>1.7778803971368884E-3</v>
      </c>
    </row>
    <row r="123" spans="2:7" x14ac:dyDescent="0.3">
      <c r="B123" t="s">
        <v>513</v>
      </c>
      <c r="C123" s="97">
        <v>3949.42</v>
      </c>
      <c r="D123" s="24">
        <f t="shared" si="2"/>
        <v>1.1026420317004071E-3</v>
      </c>
      <c r="F123" s="97">
        <v>26175.75</v>
      </c>
      <c r="G123" s="24">
        <f t="shared" si="3"/>
        <v>5.5143245672666374E-3</v>
      </c>
    </row>
    <row r="124" spans="2:7" x14ac:dyDescent="0.3">
      <c r="B124" t="s">
        <v>514</v>
      </c>
      <c r="C124" s="97">
        <v>3991.51</v>
      </c>
      <c r="D124" s="24">
        <f t="shared" si="2"/>
        <v>1.0657261066181922E-2</v>
      </c>
      <c r="F124" s="97">
        <v>26202.95</v>
      </c>
      <c r="G124" s="24">
        <f t="shared" si="3"/>
        <v>1.0391297288521173E-3</v>
      </c>
    </row>
    <row r="125" spans="2:7" x14ac:dyDescent="0.3">
      <c r="B125" t="s">
        <v>515</v>
      </c>
      <c r="C125" s="97">
        <v>4033.8</v>
      </c>
      <c r="D125" s="24">
        <f t="shared" si="2"/>
        <v>1.0594987861736627E-2</v>
      </c>
      <c r="F125" s="97">
        <v>26215.55</v>
      </c>
      <c r="G125" s="24">
        <f t="shared" si="3"/>
        <v>4.8086188768814431E-4</v>
      </c>
    </row>
    <row r="126" spans="2:7" x14ac:dyDescent="0.3">
      <c r="B126" t="s">
        <v>516</v>
      </c>
      <c r="C126" s="97">
        <v>4030.24</v>
      </c>
      <c r="D126" s="24">
        <f t="shared" si="2"/>
        <v>-8.8254251574204634E-4</v>
      </c>
      <c r="F126" s="97">
        <v>26205.3</v>
      </c>
      <c r="G126" s="24">
        <f t="shared" si="3"/>
        <v>-3.9098931740899623E-4</v>
      </c>
    </row>
    <row r="127" spans="2:7" x14ac:dyDescent="0.3">
      <c r="B127" t="s">
        <v>517</v>
      </c>
      <c r="C127" s="97">
        <v>4041.82</v>
      </c>
      <c r="D127" s="24">
        <f t="shared" si="2"/>
        <v>2.8732780181826012E-3</v>
      </c>
      <c r="F127" s="97">
        <v>25884.799999999999</v>
      </c>
      <c r="G127" s="24">
        <f t="shared" si="3"/>
        <v>-1.2230350348975239E-2</v>
      </c>
    </row>
    <row r="128" spans="2:7" x14ac:dyDescent="0.3">
      <c r="B128" t="s">
        <v>518</v>
      </c>
      <c r="C128" s="97">
        <v>4022.71</v>
      </c>
      <c r="D128" s="24">
        <f t="shared" si="2"/>
        <v>-4.728068048552414E-3</v>
      </c>
      <c r="F128" s="97">
        <v>25959.5</v>
      </c>
      <c r="G128" s="24">
        <f t="shared" si="3"/>
        <v>2.8858635183584003E-3</v>
      </c>
    </row>
    <row r="129" spans="2:7" x14ac:dyDescent="0.3">
      <c r="B129" t="s">
        <v>519</v>
      </c>
      <c r="C129" s="97">
        <v>3958.04</v>
      </c>
      <c r="D129" s="24">
        <f t="shared" si="2"/>
        <v>-1.6076227219958716E-2</v>
      </c>
      <c r="F129" s="97">
        <v>26068.15</v>
      </c>
      <c r="G129" s="24">
        <f t="shared" si="3"/>
        <v>4.1853656657486749E-3</v>
      </c>
    </row>
    <row r="130" spans="2:7" x14ac:dyDescent="0.3">
      <c r="B130" t="s">
        <v>520</v>
      </c>
      <c r="C130" s="97">
        <v>3974.48</v>
      </c>
      <c r="D130" s="24">
        <f t="shared" si="2"/>
        <v>4.1535709593636394E-3</v>
      </c>
      <c r="F130" s="97">
        <v>26192.15</v>
      </c>
      <c r="G130" s="24">
        <f t="shared" si="3"/>
        <v>4.7567625627442656E-3</v>
      </c>
    </row>
    <row r="131" spans="2:7" x14ac:dyDescent="0.3">
      <c r="B131" t="s">
        <v>521</v>
      </c>
      <c r="C131" s="97">
        <v>3985.97</v>
      </c>
      <c r="D131" s="24">
        <f t="shared" si="2"/>
        <v>2.8909442241500383E-3</v>
      </c>
      <c r="F131" s="97">
        <v>26052.65</v>
      </c>
      <c r="G131" s="24">
        <f t="shared" si="3"/>
        <v>-5.3260232550592645E-3</v>
      </c>
    </row>
    <row r="132" spans="2:7" x14ac:dyDescent="0.3">
      <c r="B132" t="s">
        <v>522</v>
      </c>
      <c r="C132" s="97">
        <v>3998.35</v>
      </c>
      <c r="D132" s="24">
        <f t="shared" si="2"/>
        <v>3.1058939229346993E-3</v>
      </c>
      <c r="F132" s="97">
        <v>25910.05</v>
      </c>
      <c r="G132" s="24">
        <f t="shared" si="3"/>
        <v>-5.4735314833617155E-3</v>
      </c>
    </row>
    <row r="133" spans="2:7" x14ac:dyDescent="0.3">
      <c r="B133" t="s">
        <v>523</v>
      </c>
      <c r="C133" s="97">
        <v>3980.72</v>
      </c>
      <c r="D133" s="24">
        <f t="shared" si="2"/>
        <v>-4.4093188440231801E-3</v>
      </c>
      <c r="F133" s="97">
        <v>26013.45</v>
      </c>
      <c r="G133" s="24">
        <f t="shared" si="3"/>
        <v>3.9907294659795589E-3</v>
      </c>
    </row>
    <row r="134" spans="2:7" x14ac:dyDescent="0.3">
      <c r="B134" t="s">
        <v>524</v>
      </c>
      <c r="C134" s="97">
        <v>3960.91</v>
      </c>
      <c r="D134" s="24">
        <f t="shared" si="2"/>
        <v>-4.9764866657288076E-3</v>
      </c>
      <c r="F134" s="97">
        <v>25910.05</v>
      </c>
      <c r="G134" s="24">
        <f t="shared" si="3"/>
        <v>-3.9748668477268545E-3</v>
      </c>
    </row>
    <row r="135" spans="2:7" x14ac:dyDescent="0.3">
      <c r="B135" t="s">
        <v>525</v>
      </c>
      <c r="C135" s="97">
        <v>3988.74</v>
      </c>
      <c r="D135" s="24">
        <f t="shared" ref="D135:D198" si="4">C135/C134-1</f>
        <v>7.0261631796733059E-3</v>
      </c>
      <c r="F135" s="97">
        <v>25879.15</v>
      </c>
      <c r="G135" s="24">
        <f t="shared" ref="G135:G198" si="5">F135/F134-1</f>
        <v>-1.1925874322896712E-3</v>
      </c>
    </row>
    <row r="136" spans="2:7" x14ac:dyDescent="0.3">
      <c r="B136" t="s">
        <v>526</v>
      </c>
      <c r="C136" s="97">
        <v>3965.67</v>
      </c>
      <c r="D136" s="24">
        <f t="shared" si="4"/>
        <v>-5.7837813444846509E-3</v>
      </c>
      <c r="F136" s="97">
        <v>25875.8</v>
      </c>
      <c r="G136" s="24">
        <f t="shared" si="5"/>
        <v>-1.2944783735180376E-4</v>
      </c>
    </row>
    <row r="137" spans="2:7" x14ac:dyDescent="0.3">
      <c r="B137" t="s">
        <v>527</v>
      </c>
      <c r="C137" s="97">
        <v>3963.78</v>
      </c>
      <c r="D137" s="24">
        <f t="shared" si="4"/>
        <v>-4.7659033656355376E-4</v>
      </c>
      <c r="F137" s="97">
        <v>25694.95</v>
      </c>
      <c r="G137" s="24">
        <f t="shared" si="5"/>
        <v>-6.989155890832266E-3</v>
      </c>
    </row>
    <row r="138" spans="2:7" x14ac:dyDescent="0.3">
      <c r="B138" t="s">
        <v>528</v>
      </c>
      <c r="C138" s="97">
        <v>3916.35</v>
      </c>
      <c r="D138" s="24">
        <f t="shared" si="4"/>
        <v>-1.1965850778802078E-2</v>
      </c>
      <c r="F138" s="97">
        <v>25574.35</v>
      </c>
      <c r="G138" s="24">
        <f t="shared" si="5"/>
        <v>-4.6935292732619427E-3</v>
      </c>
    </row>
    <row r="139" spans="2:7" x14ac:dyDescent="0.3">
      <c r="B139" t="s">
        <v>529</v>
      </c>
      <c r="C139" s="97">
        <v>3916.74</v>
      </c>
      <c r="D139" s="24">
        <f t="shared" si="4"/>
        <v>9.9582519437646511E-5</v>
      </c>
      <c r="F139" s="97">
        <v>25492.3</v>
      </c>
      <c r="G139" s="24">
        <f t="shared" si="5"/>
        <v>-3.2082926838804537E-3</v>
      </c>
    </row>
    <row r="140" spans="2:7" x14ac:dyDescent="0.3">
      <c r="B140" t="s">
        <v>530</v>
      </c>
      <c r="C140" s="97">
        <v>3880.6</v>
      </c>
      <c r="D140" s="24">
        <f t="shared" si="4"/>
        <v>-9.227061280554727E-3</v>
      </c>
      <c r="F140" s="97">
        <v>25509.7</v>
      </c>
      <c r="G140" s="24">
        <f t="shared" si="5"/>
        <v>6.8255904724168204E-4</v>
      </c>
    </row>
    <row r="141" spans="2:7" x14ac:dyDescent="0.3">
      <c r="B141" t="s">
        <v>531</v>
      </c>
      <c r="C141" s="97">
        <v>3844.95</v>
      </c>
      <c r="D141" s="24">
        <f t="shared" si="4"/>
        <v>-9.1867237025202719E-3</v>
      </c>
      <c r="F141" s="97">
        <v>25597.65</v>
      </c>
      <c r="G141" s="24">
        <f t="shared" si="5"/>
        <v>3.4477081267125786E-3</v>
      </c>
    </row>
    <row r="142" spans="2:7" x14ac:dyDescent="0.3">
      <c r="B142" t="s">
        <v>532</v>
      </c>
      <c r="C142" s="97">
        <v>3844.05</v>
      </c>
      <c r="D142" s="24">
        <f t="shared" si="4"/>
        <v>-2.3407326493185554E-4</v>
      </c>
      <c r="F142" s="97">
        <v>25763.35</v>
      </c>
      <c r="G142" s="24">
        <f t="shared" si="5"/>
        <v>6.4732504741644714E-3</v>
      </c>
    </row>
    <row r="143" spans="2:7" x14ac:dyDescent="0.3">
      <c r="B143" t="s">
        <v>533</v>
      </c>
      <c r="C143" s="97">
        <v>3886.44</v>
      </c>
      <c r="D143" s="24">
        <f t="shared" si="4"/>
        <v>1.1027432005306759E-2</v>
      </c>
      <c r="F143" s="97">
        <v>25722.1</v>
      </c>
      <c r="G143" s="24">
        <f t="shared" si="5"/>
        <v>-1.6011116566750916E-3</v>
      </c>
    </row>
    <row r="144" spans="2:7" x14ac:dyDescent="0.3">
      <c r="B144" t="s">
        <v>534</v>
      </c>
      <c r="C144" s="97">
        <v>3942</v>
      </c>
      <c r="D144" s="24">
        <f t="shared" si="4"/>
        <v>1.4295859449779291E-2</v>
      </c>
      <c r="F144" s="97">
        <v>25877.85</v>
      </c>
      <c r="G144" s="24">
        <f t="shared" si="5"/>
        <v>6.0551043655066028E-3</v>
      </c>
    </row>
    <row r="145" spans="2:7" x14ac:dyDescent="0.3">
      <c r="B145" t="s">
        <v>535</v>
      </c>
      <c r="C145" s="97">
        <v>3991.91</v>
      </c>
      <c r="D145" s="24">
        <f t="shared" si="4"/>
        <v>1.26610857432774E-2</v>
      </c>
      <c r="F145" s="97">
        <v>26053.9</v>
      </c>
      <c r="G145" s="24">
        <f t="shared" si="5"/>
        <v>6.803115405646265E-3</v>
      </c>
    </row>
    <row r="146" spans="2:7" x14ac:dyDescent="0.3">
      <c r="B146" t="s">
        <v>536</v>
      </c>
      <c r="C146" s="97">
        <v>3948.93</v>
      </c>
      <c r="D146" s="24">
        <f t="shared" si="4"/>
        <v>-1.0766775804063711E-2</v>
      </c>
      <c r="F146" s="97">
        <v>25936.2</v>
      </c>
      <c r="G146" s="24">
        <f t="shared" si="5"/>
        <v>-4.5175578320328924E-3</v>
      </c>
    </row>
    <row r="147" spans="2:7" x14ac:dyDescent="0.3">
      <c r="B147" t="s">
        <v>537</v>
      </c>
      <c r="C147" s="97">
        <v>3919.81</v>
      </c>
      <c r="D147" s="24">
        <f t="shared" si="4"/>
        <v>-7.3741494531429641E-3</v>
      </c>
      <c r="F147" s="97">
        <v>25966.05</v>
      </c>
      <c r="G147" s="24">
        <f t="shared" si="5"/>
        <v>1.1509010572094969E-3</v>
      </c>
    </row>
    <row r="148" spans="2:7" x14ac:dyDescent="0.3">
      <c r="B148" t="s">
        <v>538</v>
      </c>
      <c r="C148" s="97">
        <v>3934.37</v>
      </c>
      <c r="D148" s="24">
        <f t="shared" si="4"/>
        <v>3.7144657521666069E-3</v>
      </c>
      <c r="F148" s="97">
        <v>25795.15</v>
      </c>
      <c r="G148" s="24">
        <f t="shared" si="5"/>
        <v>-6.581671066642758E-3</v>
      </c>
    </row>
    <row r="149" spans="2:7" x14ac:dyDescent="0.3">
      <c r="B149" t="s">
        <v>539</v>
      </c>
      <c r="C149" s="97">
        <v>3885.85</v>
      </c>
      <c r="D149" s="24">
        <f t="shared" si="4"/>
        <v>-1.233234291640084E-2</v>
      </c>
      <c r="F149" s="97">
        <v>25891.4</v>
      </c>
      <c r="G149" s="24">
        <f t="shared" si="5"/>
        <v>3.7313215856469295E-3</v>
      </c>
    </row>
    <row r="150" spans="2:7" x14ac:dyDescent="0.3">
      <c r="B150" t="s">
        <v>540</v>
      </c>
      <c r="C150" s="97">
        <v>3867.13</v>
      </c>
      <c r="D150" s="24">
        <f t="shared" si="4"/>
        <v>-4.8174788012917968E-3</v>
      </c>
      <c r="F150" s="97">
        <v>25868.6</v>
      </c>
      <c r="G150" s="24">
        <f t="shared" si="5"/>
        <v>-8.8060128073430555E-4</v>
      </c>
    </row>
    <row r="151" spans="2:7" x14ac:dyDescent="0.3">
      <c r="B151" t="s">
        <v>541</v>
      </c>
      <c r="C151" s="97">
        <v>3880.79</v>
      </c>
      <c r="D151" s="24">
        <f t="shared" si="4"/>
        <v>3.5323353494709497E-3</v>
      </c>
      <c r="F151" s="97">
        <v>25843.15</v>
      </c>
      <c r="G151" s="24">
        <f t="shared" si="5"/>
        <v>-9.8381821977211459E-4</v>
      </c>
    </row>
    <row r="152" spans="2:7" x14ac:dyDescent="0.3">
      <c r="B152" t="s">
        <v>542</v>
      </c>
      <c r="C152" s="97">
        <v>3850.59</v>
      </c>
      <c r="D152" s="24">
        <f t="shared" si="4"/>
        <v>-7.7819206914055972E-3</v>
      </c>
      <c r="F152" s="97">
        <v>25709.85</v>
      </c>
      <c r="G152" s="24">
        <f t="shared" si="5"/>
        <v>-5.1580399448211134E-3</v>
      </c>
    </row>
    <row r="153" spans="2:7" x14ac:dyDescent="0.3">
      <c r="B153" t="s">
        <v>543</v>
      </c>
      <c r="C153" s="97">
        <v>3835.24</v>
      </c>
      <c r="D153" s="24">
        <f t="shared" si="4"/>
        <v>-3.9864020838366043E-3</v>
      </c>
      <c r="F153" s="97">
        <v>25585.3</v>
      </c>
      <c r="G153" s="24">
        <f t="shared" si="5"/>
        <v>-4.8444467781803002E-3</v>
      </c>
    </row>
    <row r="154" spans="2:7" x14ac:dyDescent="0.3">
      <c r="B154" t="s">
        <v>544</v>
      </c>
      <c r="C154" s="97">
        <v>3802.26</v>
      </c>
      <c r="D154" s="24">
        <f t="shared" si="4"/>
        <v>-8.5992010930214802E-3</v>
      </c>
      <c r="F154" s="97">
        <v>25323.55</v>
      </c>
      <c r="G154" s="24">
        <f t="shared" si="5"/>
        <v>-1.0230483910683041E-2</v>
      </c>
    </row>
    <row r="155" spans="2:7" x14ac:dyDescent="0.3">
      <c r="B155" t="s">
        <v>545</v>
      </c>
      <c r="C155" s="97">
        <v>3824.45</v>
      </c>
      <c r="D155" s="24">
        <f t="shared" si="4"/>
        <v>5.8360027983355156E-3</v>
      </c>
      <c r="F155" s="97">
        <v>25145.5</v>
      </c>
      <c r="G155" s="24">
        <f t="shared" si="5"/>
        <v>-7.0310047366975992E-3</v>
      </c>
    </row>
    <row r="156" spans="2:7" x14ac:dyDescent="0.3">
      <c r="B156" t="s">
        <v>546</v>
      </c>
      <c r="C156" s="97">
        <v>3791.67</v>
      </c>
      <c r="D156" s="24">
        <f t="shared" si="4"/>
        <v>-8.5711670959222053E-3</v>
      </c>
      <c r="F156" s="97">
        <v>25227.35</v>
      </c>
      <c r="G156" s="24">
        <f t="shared" si="5"/>
        <v>3.2550555765444855E-3</v>
      </c>
    </row>
    <row r="157" spans="2:7" x14ac:dyDescent="0.3">
      <c r="B157" t="s">
        <v>547</v>
      </c>
      <c r="C157" s="97">
        <v>3708.08</v>
      </c>
      <c r="D157" s="24">
        <f t="shared" si="4"/>
        <v>-2.2045694904883617E-2</v>
      </c>
      <c r="F157" s="97">
        <v>25285.35</v>
      </c>
      <c r="G157" s="24">
        <f t="shared" si="5"/>
        <v>2.2990920568350948E-3</v>
      </c>
    </row>
    <row r="158" spans="2:7" x14ac:dyDescent="0.3">
      <c r="B158" t="s">
        <v>548</v>
      </c>
      <c r="C158" s="97">
        <v>3733.04</v>
      </c>
      <c r="D158" s="24">
        <f t="shared" si="4"/>
        <v>6.7312463593018901E-3</v>
      </c>
      <c r="F158" s="97">
        <v>25181.8</v>
      </c>
      <c r="G158" s="24">
        <f t="shared" si="5"/>
        <v>-4.0952567395744488E-3</v>
      </c>
    </row>
    <row r="159" spans="2:7" x14ac:dyDescent="0.3">
      <c r="B159" t="s">
        <v>549</v>
      </c>
      <c r="C159" s="97">
        <v>3747.4</v>
      </c>
      <c r="D159" s="24">
        <f t="shared" si="4"/>
        <v>3.8467308145639922E-3</v>
      </c>
      <c r="F159" s="97">
        <v>25046.15</v>
      </c>
      <c r="G159" s="24">
        <f t="shared" si="5"/>
        <v>-5.38682699409887E-3</v>
      </c>
    </row>
    <row r="160" spans="2:7" x14ac:dyDescent="0.3">
      <c r="B160" t="s">
        <v>550</v>
      </c>
      <c r="C160" s="97">
        <v>3732.74</v>
      </c>
      <c r="D160" s="24">
        <f t="shared" si="4"/>
        <v>-3.9120456850083585E-3</v>
      </c>
      <c r="F160" s="97">
        <v>25108.3</v>
      </c>
      <c r="G160" s="24">
        <f t="shared" si="5"/>
        <v>2.481419299972254E-3</v>
      </c>
    </row>
    <row r="161" spans="2:7" x14ac:dyDescent="0.3">
      <c r="B161" t="s">
        <v>551</v>
      </c>
      <c r="C161" s="97">
        <v>3693.72</v>
      </c>
      <c r="D161" s="24">
        <f t="shared" si="4"/>
        <v>-1.0453447065694399E-2</v>
      </c>
      <c r="F161" s="97">
        <v>25077.65</v>
      </c>
      <c r="G161" s="24">
        <f t="shared" si="5"/>
        <v>-1.2207118761524693E-3</v>
      </c>
    </row>
    <row r="162" spans="2:7" x14ac:dyDescent="0.3">
      <c r="B162" t="s">
        <v>552</v>
      </c>
      <c r="C162" s="97">
        <v>3693.62</v>
      </c>
      <c r="D162" s="24">
        <f t="shared" si="4"/>
        <v>-2.7072977919262442E-5</v>
      </c>
      <c r="F162" s="97">
        <v>24894.25</v>
      </c>
      <c r="G162" s="24">
        <f t="shared" si="5"/>
        <v>-7.3132849369857977E-3</v>
      </c>
    </row>
    <row r="163" spans="2:7" x14ac:dyDescent="0.3">
      <c r="B163" t="s">
        <v>553</v>
      </c>
      <c r="C163" s="97">
        <v>3700.85</v>
      </c>
      <c r="D163" s="24">
        <f t="shared" si="4"/>
        <v>1.957429297003932E-3</v>
      </c>
      <c r="F163" s="97">
        <v>24836.3</v>
      </c>
      <c r="G163" s="24">
        <f t="shared" si="5"/>
        <v>-2.3278467919298773E-3</v>
      </c>
    </row>
    <row r="164" spans="2:7" x14ac:dyDescent="0.3">
      <c r="B164" t="s">
        <v>554</v>
      </c>
      <c r="C164" s="97">
        <v>3696.99</v>
      </c>
      <c r="D164" s="24">
        <f t="shared" si="4"/>
        <v>-1.0430036343002103E-3</v>
      </c>
      <c r="F164" s="97">
        <v>24611.1</v>
      </c>
      <c r="G164" s="24">
        <f t="shared" si="5"/>
        <v>-9.0673731594480556E-3</v>
      </c>
    </row>
    <row r="165" spans="2:7" x14ac:dyDescent="0.3">
      <c r="B165" t="s">
        <v>555</v>
      </c>
      <c r="C165" s="97">
        <v>3634.8</v>
      </c>
      <c r="D165" s="24">
        <f t="shared" si="4"/>
        <v>-1.6821792863924379E-2</v>
      </c>
      <c r="F165" s="97">
        <v>24634.9</v>
      </c>
      <c r="G165" s="24">
        <f t="shared" si="5"/>
        <v>9.6704332597896681E-4</v>
      </c>
    </row>
    <row r="166" spans="2:7" x14ac:dyDescent="0.3">
      <c r="B166" t="s">
        <v>556</v>
      </c>
      <c r="C166" s="97">
        <v>3623.61</v>
      </c>
      <c r="D166" s="24">
        <f t="shared" si="4"/>
        <v>-3.078573786728267E-3</v>
      </c>
      <c r="F166" s="97">
        <v>24654.7</v>
      </c>
      <c r="G166" s="24">
        <f t="shared" si="5"/>
        <v>8.0373778663589412E-4</v>
      </c>
    </row>
    <row r="167" spans="2:7" x14ac:dyDescent="0.3">
      <c r="B167" t="s">
        <v>557</v>
      </c>
      <c r="C167" s="97">
        <v>3652.72</v>
      </c>
      <c r="D167" s="24">
        <f t="shared" si="4"/>
        <v>8.03342523063999E-3</v>
      </c>
      <c r="F167" s="97">
        <v>24890.85</v>
      </c>
      <c r="G167" s="24">
        <f t="shared" si="5"/>
        <v>9.5782954162897394E-3</v>
      </c>
    </row>
    <row r="168" spans="2:7" x14ac:dyDescent="0.3">
      <c r="B168" t="s">
        <v>558</v>
      </c>
      <c r="C168" s="97">
        <v>3693.43</v>
      </c>
      <c r="D168" s="24">
        <f t="shared" si="4"/>
        <v>1.1145119253597402E-2</v>
      </c>
      <c r="F168" s="97">
        <v>25056.9</v>
      </c>
      <c r="G168" s="24">
        <f t="shared" si="5"/>
        <v>6.671126136712946E-3</v>
      </c>
    </row>
    <row r="169" spans="2:7" x14ac:dyDescent="0.3">
      <c r="B169" t="s">
        <v>559</v>
      </c>
      <c r="C169" s="97">
        <v>3609.15</v>
      </c>
      <c r="D169" s="24">
        <f t="shared" si="4"/>
        <v>-2.2818897339329514E-2</v>
      </c>
      <c r="F169" s="97">
        <v>25169.5</v>
      </c>
      <c r="G169" s="24">
        <f t="shared" si="5"/>
        <v>4.4937721745306192E-3</v>
      </c>
    </row>
    <row r="170" spans="2:7" x14ac:dyDescent="0.3">
      <c r="B170" t="s">
        <v>560</v>
      </c>
      <c r="C170" s="97">
        <v>3638.26</v>
      </c>
      <c r="D170" s="24">
        <f t="shared" si="4"/>
        <v>8.0656110164443184E-3</v>
      </c>
      <c r="F170" s="97">
        <v>25202.35</v>
      </c>
      <c r="G170" s="24">
        <f t="shared" si="5"/>
        <v>1.3051510757067231E-3</v>
      </c>
    </row>
    <row r="171" spans="2:7" x14ac:dyDescent="0.3">
      <c r="B171" t="s">
        <v>561</v>
      </c>
      <c r="C171" s="97">
        <v>3622.22</v>
      </c>
      <c r="D171" s="24">
        <f t="shared" si="4"/>
        <v>-4.4087008625003365E-3</v>
      </c>
      <c r="F171" s="97">
        <v>25327.05</v>
      </c>
      <c r="G171" s="24">
        <f t="shared" si="5"/>
        <v>4.9479512823209504E-3</v>
      </c>
    </row>
    <row r="172" spans="2:7" x14ac:dyDescent="0.3">
      <c r="B172" t="s">
        <v>562</v>
      </c>
      <c r="C172" s="97">
        <v>3609.25</v>
      </c>
      <c r="D172" s="24">
        <f t="shared" si="4"/>
        <v>-3.5806770433600699E-3</v>
      </c>
      <c r="F172" s="97">
        <v>25423.599999999999</v>
      </c>
      <c r="G172" s="24">
        <f t="shared" si="5"/>
        <v>3.8121297190158998E-3</v>
      </c>
    </row>
    <row r="173" spans="2:7" x14ac:dyDescent="0.3">
      <c r="B173" t="s">
        <v>563</v>
      </c>
      <c r="C173" s="97">
        <v>3639.85</v>
      </c>
      <c r="D173" s="24">
        <f t="shared" si="4"/>
        <v>8.4782156957816657E-3</v>
      </c>
      <c r="F173" s="97">
        <v>25330.25</v>
      </c>
      <c r="G173" s="24">
        <f t="shared" si="5"/>
        <v>-3.6717852703785914E-3</v>
      </c>
    </row>
    <row r="174" spans="2:7" x14ac:dyDescent="0.3">
      <c r="B174" t="s">
        <v>564</v>
      </c>
      <c r="C174" s="97">
        <v>3650.35</v>
      </c>
      <c r="D174" s="24">
        <f t="shared" si="4"/>
        <v>2.8847342610271998E-3</v>
      </c>
      <c r="F174" s="97">
        <v>25239.1</v>
      </c>
      <c r="G174" s="24">
        <f t="shared" si="5"/>
        <v>-3.5984642867717964E-3</v>
      </c>
    </row>
    <row r="175" spans="2:7" x14ac:dyDescent="0.3">
      <c r="B175" t="s">
        <v>565</v>
      </c>
      <c r="C175" s="97">
        <v>3649.85</v>
      </c>
      <c r="D175" s="24">
        <f t="shared" si="4"/>
        <v>-1.3697316695659989E-4</v>
      </c>
      <c r="F175" s="97">
        <v>25069.200000000001</v>
      </c>
      <c r="G175" s="24">
        <f t="shared" si="5"/>
        <v>-6.7316187978175845E-3</v>
      </c>
    </row>
    <row r="176" spans="2:7" x14ac:dyDescent="0.3">
      <c r="B176" t="s">
        <v>566</v>
      </c>
      <c r="C176" s="97">
        <v>3632.32</v>
      </c>
      <c r="D176" s="24">
        <f t="shared" si="4"/>
        <v>-4.8029371070043014E-3</v>
      </c>
      <c r="F176" s="97">
        <v>25114</v>
      </c>
      <c r="G176" s="24">
        <f t="shared" si="5"/>
        <v>1.7870534360888701E-3</v>
      </c>
    </row>
    <row r="177" spans="2:7" x14ac:dyDescent="0.3">
      <c r="B177" t="s">
        <v>567</v>
      </c>
      <c r="C177" s="97">
        <v>3551.51</v>
      </c>
      <c r="D177" s="24">
        <f t="shared" si="4"/>
        <v>-2.2247489207999238E-2</v>
      </c>
      <c r="F177" s="97">
        <v>25005.5</v>
      </c>
      <c r="G177" s="24">
        <f t="shared" si="5"/>
        <v>-4.3202994345783452E-3</v>
      </c>
    </row>
    <row r="178" spans="2:7" x14ac:dyDescent="0.3">
      <c r="B178" t="s">
        <v>568</v>
      </c>
      <c r="C178" s="97">
        <v>3545.17</v>
      </c>
      <c r="D178" s="24">
        <f t="shared" si="4"/>
        <v>-1.7851561730081178E-3</v>
      </c>
      <c r="F178" s="97">
        <v>24973.1</v>
      </c>
      <c r="G178" s="24">
        <f t="shared" si="5"/>
        <v>-1.2957149427126335E-3</v>
      </c>
    </row>
    <row r="179" spans="2:7" x14ac:dyDescent="0.3">
      <c r="B179" t="s">
        <v>569</v>
      </c>
      <c r="C179" s="97">
        <v>3505.46</v>
      </c>
      <c r="D179" s="24">
        <f t="shared" si="4"/>
        <v>-1.1201155374777505E-2</v>
      </c>
      <c r="F179" s="97">
        <v>24868.6</v>
      </c>
      <c r="G179" s="24">
        <f t="shared" si="5"/>
        <v>-4.1845025247165824E-3</v>
      </c>
    </row>
    <row r="180" spans="2:7" x14ac:dyDescent="0.3">
      <c r="B180" t="s">
        <v>570</v>
      </c>
      <c r="C180" s="97">
        <v>3515.66</v>
      </c>
      <c r="D180" s="24">
        <f t="shared" si="4"/>
        <v>2.9097465097305264E-3</v>
      </c>
      <c r="F180" s="97">
        <v>24773.15</v>
      </c>
      <c r="G180" s="24">
        <f t="shared" si="5"/>
        <v>-3.838173439598358E-3</v>
      </c>
    </row>
    <row r="181" spans="2:7" x14ac:dyDescent="0.3">
      <c r="B181" t="s">
        <v>571</v>
      </c>
      <c r="C181" s="97">
        <v>3490.9</v>
      </c>
      <c r="D181" s="24">
        <f t="shared" si="4"/>
        <v>-7.0427743297132306E-3</v>
      </c>
      <c r="F181" s="97">
        <v>24741</v>
      </c>
      <c r="G181" s="24">
        <f t="shared" si="5"/>
        <v>-1.2977760196019039E-3</v>
      </c>
    </row>
    <row r="182" spans="2:7" x14ac:dyDescent="0.3">
      <c r="B182" t="s">
        <v>572</v>
      </c>
      <c r="C182" s="97">
        <v>3495.46</v>
      </c>
      <c r="D182" s="24">
        <f t="shared" si="4"/>
        <v>1.3062534017016514E-3</v>
      </c>
      <c r="F182" s="97">
        <v>24734.3</v>
      </c>
      <c r="G182" s="24">
        <f t="shared" si="5"/>
        <v>-2.7080554545089175E-4</v>
      </c>
    </row>
    <row r="183" spans="2:7" x14ac:dyDescent="0.3">
      <c r="B183" t="s">
        <v>573</v>
      </c>
      <c r="C183" s="97">
        <v>3519.23</v>
      </c>
      <c r="D183" s="24">
        <f t="shared" si="4"/>
        <v>6.8002494664507473E-3</v>
      </c>
      <c r="F183" s="97">
        <v>24715.05</v>
      </c>
      <c r="G183" s="24">
        <f t="shared" si="5"/>
        <v>-7.7827146917441858E-4</v>
      </c>
    </row>
    <row r="184" spans="2:7" x14ac:dyDescent="0.3">
      <c r="B184" t="s">
        <v>574</v>
      </c>
      <c r="C184" s="97">
        <v>3557.85</v>
      </c>
      <c r="D184" s="24">
        <f t="shared" si="4"/>
        <v>1.0973991469724886E-2</v>
      </c>
      <c r="F184" s="97">
        <v>24579.599999999999</v>
      </c>
      <c r="G184" s="24">
        <f t="shared" si="5"/>
        <v>-5.4804663555202415E-3</v>
      </c>
    </row>
    <row r="185" spans="2:7" x14ac:dyDescent="0.3">
      <c r="B185" t="s">
        <v>575</v>
      </c>
      <c r="C185" s="97">
        <v>3565.97</v>
      </c>
      <c r="D185" s="24">
        <f t="shared" si="4"/>
        <v>2.2822772179826867E-3</v>
      </c>
      <c r="F185" s="97">
        <v>24625.05</v>
      </c>
      <c r="G185" s="24">
        <f t="shared" si="5"/>
        <v>1.8490943709417174E-3</v>
      </c>
    </row>
    <row r="186" spans="2:7" x14ac:dyDescent="0.3">
      <c r="B186" t="s">
        <v>576</v>
      </c>
      <c r="C186" s="97">
        <v>3540.32</v>
      </c>
      <c r="D186" s="24">
        <f t="shared" si="4"/>
        <v>-7.1929937716805892E-3</v>
      </c>
      <c r="F186" s="97">
        <v>24426.85</v>
      </c>
      <c r="G186" s="24">
        <f t="shared" si="5"/>
        <v>-8.0487146218992667E-3</v>
      </c>
    </row>
    <row r="187" spans="2:7" x14ac:dyDescent="0.3">
      <c r="B187" t="s">
        <v>577</v>
      </c>
      <c r="C187" s="97">
        <v>3563.59</v>
      </c>
      <c r="D187" s="24">
        <f t="shared" si="4"/>
        <v>6.5728521715551214E-3</v>
      </c>
      <c r="F187" s="97">
        <v>24500.9</v>
      </c>
      <c r="G187" s="24">
        <f t="shared" si="5"/>
        <v>3.0315001729654956E-3</v>
      </c>
    </row>
    <row r="188" spans="2:7" x14ac:dyDescent="0.3">
      <c r="B188" t="s">
        <v>578</v>
      </c>
      <c r="C188" s="97">
        <v>3566.17</v>
      </c>
      <c r="D188" s="24">
        <f t="shared" si="4"/>
        <v>7.2398901108150504E-4</v>
      </c>
      <c r="F188" s="97">
        <v>24712.05</v>
      </c>
      <c r="G188" s="24">
        <f t="shared" si="5"/>
        <v>8.6180507654820548E-3</v>
      </c>
    </row>
    <row r="189" spans="2:7" x14ac:dyDescent="0.3">
      <c r="B189" t="s">
        <v>579</v>
      </c>
      <c r="C189" s="97">
        <v>3525.66</v>
      </c>
      <c r="D189" s="24">
        <f t="shared" si="4"/>
        <v>-1.135952576573751E-2</v>
      </c>
      <c r="F189" s="97">
        <v>24967.75</v>
      </c>
      <c r="G189" s="24">
        <f t="shared" si="5"/>
        <v>1.0347178805481638E-2</v>
      </c>
    </row>
    <row r="190" spans="2:7" x14ac:dyDescent="0.3">
      <c r="B190" t="s">
        <v>580</v>
      </c>
      <c r="C190" s="97">
        <v>3507.05</v>
      </c>
      <c r="D190" s="24">
        <f t="shared" si="4"/>
        <v>-5.2784443196449704E-3</v>
      </c>
      <c r="F190" s="97">
        <v>24870.1</v>
      </c>
      <c r="G190" s="24">
        <f t="shared" si="5"/>
        <v>-3.9110452483704927E-3</v>
      </c>
    </row>
    <row r="191" spans="2:7" x14ac:dyDescent="0.3">
      <c r="B191" t="s">
        <v>581</v>
      </c>
      <c r="C191" s="97">
        <v>3568.25</v>
      </c>
      <c r="D191" s="24">
        <f t="shared" si="4"/>
        <v>1.7450563864216395E-2</v>
      </c>
      <c r="F191" s="97">
        <v>25083.75</v>
      </c>
      <c r="G191" s="24">
        <f t="shared" si="5"/>
        <v>8.5906369495900581E-3</v>
      </c>
    </row>
    <row r="192" spans="2:7" x14ac:dyDescent="0.3">
      <c r="B192" t="s">
        <v>582</v>
      </c>
      <c r="C192" s="97">
        <v>3561.02</v>
      </c>
      <c r="D192" s="24">
        <f t="shared" si="4"/>
        <v>-2.0262033209557107E-3</v>
      </c>
      <c r="F192" s="97">
        <v>25050.55</v>
      </c>
      <c r="G192" s="24">
        <f t="shared" si="5"/>
        <v>-1.3235660537200822E-3</v>
      </c>
    </row>
    <row r="193" spans="2:7" x14ac:dyDescent="0.3">
      <c r="B193" t="s">
        <v>583</v>
      </c>
      <c r="C193" s="97">
        <v>3577.66</v>
      </c>
      <c r="D193" s="24">
        <f t="shared" si="4"/>
        <v>4.6728184621260827E-3</v>
      </c>
      <c r="F193" s="97">
        <v>24980.65</v>
      </c>
      <c r="G193" s="24">
        <f t="shared" si="5"/>
        <v>-2.7903578963335285E-3</v>
      </c>
    </row>
    <row r="194" spans="2:7" x14ac:dyDescent="0.3">
      <c r="B194" t="s">
        <v>584</v>
      </c>
      <c r="C194" s="97">
        <v>3557.55</v>
      </c>
      <c r="D194" s="24">
        <f t="shared" si="4"/>
        <v>-5.6209924922993038E-3</v>
      </c>
      <c r="F194" s="97">
        <v>24876.95</v>
      </c>
      <c r="G194" s="24">
        <f t="shared" si="5"/>
        <v>-4.1512130388920987E-3</v>
      </c>
    </row>
    <row r="195" spans="2:7" x14ac:dyDescent="0.3">
      <c r="B195" t="s">
        <v>585</v>
      </c>
      <c r="C195" s="97">
        <v>3578.05</v>
      </c>
      <c r="D195" s="24">
        <f t="shared" si="4"/>
        <v>5.762392657868487E-3</v>
      </c>
      <c r="F195" s="97">
        <v>24631.3</v>
      </c>
      <c r="G195" s="24">
        <f t="shared" si="5"/>
        <v>-9.8746027949568882E-3</v>
      </c>
    </row>
    <row r="196" spans="2:7" x14ac:dyDescent="0.3">
      <c r="B196" t="s">
        <v>586</v>
      </c>
      <c r="C196" s="97">
        <v>3599.94</v>
      </c>
      <c r="D196" s="24">
        <f t="shared" si="4"/>
        <v>6.1178574922093887E-3</v>
      </c>
      <c r="F196" s="97">
        <v>24619.35</v>
      </c>
      <c r="G196" s="24">
        <f t="shared" si="5"/>
        <v>-4.8515506692703436E-4</v>
      </c>
    </row>
    <row r="197" spans="2:7" x14ac:dyDescent="0.3">
      <c r="B197" t="s">
        <v>587</v>
      </c>
      <c r="C197" s="97">
        <v>3641.43</v>
      </c>
      <c r="D197" s="24">
        <f t="shared" si="4"/>
        <v>1.1525192086534686E-2</v>
      </c>
      <c r="F197" s="97">
        <v>24487.4</v>
      </c>
      <c r="G197" s="24">
        <f t="shared" si="5"/>
        <v>-5.3596053510753805E-3</v>
      </c>
    </row>
    <row r="198" spans="2:7" x14ac:dyDescent="0.3">
      <c r="B198" t="s">
        <v>588</v>
      </c>
      <c r="C198" s="97">
        <v>3657.97</v>
      </c>
      <c r="D198" s="24">
        <f t="shared" si="4"/>
        <v>4.5421716193911887E-3</v>
      </c>
      <c r="F198" s="97">
        <v>24585.05</v>
      </c>
      <c r="G198" s="24">
        <f t="shared" si="5"/>
        <v>3.987765136355792E-3</v>
      </c>
    </row>
    <row r="199" spans="2:7" x14ac:dyDescent="0.3">
      <c r="B199" t="s">
        <v>589</v>
      </c>
      <c r="C199" s="97">
        <v>3650.44</v>
      </c>
      <c r="D199" s="24">
        <f t="shared" ref="D199:D252" si="6">C199/C198-1</f>
        <v>-2.0585187959440976E-3</v>
      </c>
      <c r="F199" s="97">
        <v>24363.3</v>
      </c>
      <c r="G199" s="24">
        <f t="shared" ref="G199:G252" si="7">F199/F198-1</f>
        <v>-9.0197091321758682E-3</v>
      </c>
    </row>
    <row r="200" spans="2:7" x14ac:dyDescent="0.3">
      <c r="B200" t="s">
        <v>590</v>
      </c>
      <c r="C200" s="97">
        <v>3632.92</v>
      </c>
      <c r="D200" s="24">
        <f t="shared" si="6"/>
        <v>-4.7994214396073209E-3</v>
      </c>
      <c r="F200" s="97">
        <v>24596.15</v>
      </c>
      <c r="G200" s="24">
        <f t="shared" si="7"/>
        <v>9.5574080686935403E-3</v>
      </c>
    </row>
    <row r="201" spans="2:7" x14ac:dyDescent="0.3">
      <c r="B201" t="s">
        <v>591</v>
      </c>
      <c r="C201" s="97">
        <v>3572.7</v>
      </c>
      <c r="D201" s="24">
        <f t="shared" si="6"/>
        <v>-1.6576197659183278E-2</v>
      </c>
      <c r="F201" s="97">
        <v>24574.2</v>
      </c>
      <c r="G201" s="24">
        <f t="shared" si="7"/>
        <v>-8.9241608950996199E-4</v>
      </c>
    </row>
    <row r="202" spans="2:7" x14ac:dyDescent="0.3">
      <c r="B202" t="s">
        <v>592</v>
      </c>
      <c r="C202" s="97">
        <v>3606.38</v>
      </c>
      <c r="D202" s="24">
        <f t="shared" si="6"/>
        <v>9.4270439723458388E-3</v>
      </c>
      <c r="F202" s="97">
        <v>24649.55</v>
      </c>
      <c r="G202" s="24">
        <f t="shared" si="7"/>
        <v>3.0662239259060531E-3</v>
      </c>
    </row>
    <row r="203" spans="2:7" x14ac:dyDescent="0.3">
      <c r="B203" t="s">
        <v>593</v>
      </c>
      <c r="C203" s="97">
        <v>3593.3</v>
      </c>
      <c r="D203" s="24">
        <f t="shared" si="6"/>
        <v>-3.6269056505414676E-3</v>
      </c>
      <c r="F203" s="97">
        <v>24722.75</v>
      </c>
      <c r="G203" s="24">
        <f t="shared" si="7"/>
        <v>2.9696282487916559E-3</v>
      </c>
    </row>
    <row r="204" spans="2:7" x14ac:dyDescent="0.3">
      <c r="B204" t="s">
        <v>594</v>
      </c>
      <c r="C204" s="97">
        <v>3617.27</v>
      </c>
      <c r="D204" s="24">
        <f t="shared" si="6"/>
        <v>6.6707483371830634E-3</v>
      </c>
      <c r="F204" s="97">
        <v>24565.35</v>
      </c>
      <c r="G204" s="24">
        <f t="shared" si="7"/>
        <v>-6.366605656733193E-3</v>
      </c>
    </row>
    <row r="205" spans="2:7" x14ac:dyDescent="0.3">
      <c r="B205" t="s">
        <v>595</v>
      </c>
      <c r="C205" s="97">
        <v>3595.98</v>
      </c>
      <c r="D205" s="24">
        <f t="shared" si="6"/>
        <v>-5.8856540982563654E-3</v>
      </c>
      <c r="F205" s="97">
        <v>24768.35</v>
      </c>
      <c r="G205" s="24">
        <f t="shared" si="7"/>
        <v>8.2636722049553857E-3</v>
      </c>
    </row>
    <row r="206" spans="2:7" x14ac:dyDescent="0.3">
      <c r="B206" t="s">
        <v>596</v>
      </c>
      <c r="C206" s="97">
        <v>3552.6</v>
      </c>
      <c r="D206" s="24">
        <f t="shared" si="6"/>
        <v>-1.2063470875811388E-2</v>
      </c>
      <c r="F206" s="97">
        <v>24855.05</v>
      </c>
      <c r="G206" s="24">
        <f t="shared" si="7"/>
        <v>3.5004350309972843E-3</v>
      </c>
    </row>
    <row r="207" spans="2:7" x14ac:dyDescent="0.3">
      <c r="B207" t="s">
        <v>597</v>
      </c>
      <c r="C207" s="97">
        <v>3601.32</v>
      </c>
      <c r="D207" s="24">
        <f t="shared" si="6"/>
        <v>1.371389967910841E-2</v>
      </c>
      <c r="F207" s="97">
        <v>24821.1</v>
      </c>
      <c r="G207" s="24">
        <f t="shared" si="7"/>
        <v>-1.3659196018516173E-3</v>
      </c>
    </row>
    <row r="208" spans="2:7" x14ac:dyDescent="0.3">
      <c r="B208" t="s">
        <v>598</v>
      </c>
      <c r="C208" s="97">
        <v>3629.65</v>
      </c>
      <c r="D208" s="24">
        <f t="shared" si="6"/>
        <v>7.8665600390968038E-3</v>
      </c>
      <c r="F208" s="97">
        <v>24680.9</v>
      </c>
      <c r="G208" s="24">
        <f t="shared" si="7"/>
        <v>-5.6484200941939733E-3</v>
      </c>
    </row>
    <row r="209" spans="2:7" x14ac:dyDescent="0.3">
      <c r="B209" t="s">
        <v>599</v>
      </c>
      <c r="C209" s="97">
        <v>3461.79</v>
      </c>
      <c r="D209" s="24">
        <f t="shared" si="6"/>
        <v>-4.6246883308307951E-2</v>
      </c>
      <c r="F209" s="97">
        <v>24837</v>
      </c>
      <c r="G209" s="24">
        <f t="shared" si="7"/>
        <v>6.3247288388996736E-3</v>
      </c>
    </row>
    <row r="210" spans="2:7" x14ac:dyDescent="0.3">
      <c r="B210" t="s">
        <v>600</v>
      </c>
      <c r="C210" s="97">
        <v>3389.1</v>
      </c>
      <c r="D210" s="24">
        <f t="shared" si="6"/>
        <v>-2.0997807492655562E-2</v>
      </c>
      <c r="F210" s="97">
        <v>25062.1</v>
      </c>
      <c r="G210" s="24">
        <f t="shared" si="7"/>
        <v>9.0630913556386528E-3</v>
      </c>
    </row>
    <row r="211" spans="2:7" x14ac:dyDescent="0.3">
      <c r="B211" t="s">
        <v>601</v>
      </c>
      <c r="C211" s="97">
        <v>3409.6</v>
      </c>
      <c r="D211" s="24">
        <f t="shared" si="6"/>
        <v>6.0488035171579746E-3</v>
      </c>
      <c r="F211" s="97">
        <v>25219.9</v>
      </c>
      <c r="G211" s="24">
        <f t="shared" si="7"/>
        <v>6.2963598421521549E-3</v>
      </c>
    </row>
    <row r="212" spans="2:7" x14ac:dyDescent="0.3">
      <c r="B212" t="s">
        <v>602</v>
      </c>
      <c r="C212" s="97">
        <v>3443.86</v>
      </c>
      <c r="D212" s="24">
        <f t="shared" si="6"/>
        <v>1.004809948381058E-2</v>
      </c>
      <c r="F212" s="97">
        <v>25060.9</v>
      </c>
      <c r="G212" s="24">
        <f t="shared" si="7"/>
        <v>-6.3045452202427077E-3</v>
      </c>
    </row>
    <row r="213" spans="2:7" x14ac:dyDescent="0.3">
      <c r="B213" t="s">
        <v>603</v>
      </c>
      <c r="C213" s="97">
        <v>3451.19</v>
      </c>
      <c r="D213" s="24">
        <f t="shared" si="6"/>
        <v>2.1284256619025221E-3</v>
      </c>
      <c r="F213" s="97">
        <v>25090.7</v>
      </c>
      <c r="G213" s="24">
        <f t="shared" si="7"/>
        <v>1.1891033442532617E-3</v>
      </c>
    </row>
    <row r="214" spans="2:7" x14ac:dyDescent="0.3">
      <c r="B214" t="s">
        <v>604</v>
      </c>
      <c r="C214" s="97">
        <v>3431.09</v>
      </c>
      <c r="D214" s="24">
        <f t="shared" si="6"/>
        <v>-5.8240780716216634E-3</v>
      </c>
      <c r="F214" s="97">
        <v>24968.400000000001</v>
      </c>
      <c r="G214" s="24">
        <f t="shared" si="7"/>
        <v>-4.8743159816186932E-3</v>
      </c>
    </row>
    <row r="215" spans="2:7" x14ac:dyDescent="0.3">
      <c r="B215" t="s">
        <v>605</v>
      </c>
      <c r="C215" s="97">
        <v>3468.92</v>
      </c>
      <c r="D215" s="24">
        <f t="shared" si="6"/>
        <v>1.10256507407267E-2</v>
      </c>
      <c r="F215" s="97">
        <v>25111.45</v>
      </c>
      <c r="G215" s="24">
        <f t="shared" si="7"/>
        <v>5.7292417615866231E-3</v>
      </c>
    </row>
    <row r="216" spans="2:7" x14ac:dyDescent="0.3">
      <c r="B216" t="s">
        <v>606</v>
      </c>
      <c r="C216" s="97">
        <v>3431.29</v>
      </c>
      <c r="D216" s="24">
        <f t="shared" si="6"/>
        <v>-1.0847756650484874E-2</v>
      </c>
      <c r="F216" s="97">
        <v>25212.05</v>
      </c>
      <c r="G216" s="24">
        <f t="shared" si="7"/>
        <v>4.0061406250933018E-3</v>
      </c>
    </row>
    <row r="217" spans="2:7" x14ac:dyDescent="0.3">
      <c r="B217" t="s">
        <v>607</v>
      </c>
      <c r="C217" s="97">
        <v>3440.4</v>
      </c>
      <c r="D217" s="24">
        <f t="shared" si="6"/>
        <v>2.6549781569031872E-3</v>
      </c>
      <c r="F217" s="97">
        <v>25195.8</v>
      </c>
      <c r="G217" s="24">
        <f t="shared" si="7"/>
        <v>-6.4453307049605613E-4</v>
      </c>
    </row>
    <row r="218" spans="2:7" x14ac:dyDescent="0.3">
      <c r="B218" t="s">
        <v>608</v>
      </c>
      <c r="C218" s="97">
        <v>3469.91</v>
      </c>
      <c r="D218" s="24">
        <f t="shared" si="6"/>
        <v>8.5774909894198448E-3</v>
      </c>
      <c r="F218" s="97">
        <v>25082.3</v>
      </c>
      <c r="G218" s="24">
        <f t="shared" si="7"/>
        <v>-4.5047190404750026E-3</v>
      </c>
    </row>
    <row r="219" spans="2:7" x14ac:dyDescent="0.3">
      <c r="B219" t="s">
        <v>609</v>
      </c>
      <c r="C219" s="97">
        <v>3460.2</v>
      </c>
      <c r="D219" s="24">
        <f t="shared" si="6"/>
        <v>-2.7983434728854339E-3</v>
      </c>
      <c r="F219" s="97">
        <v>25149.85</v>
      </c>
      <c r="G219" s="24">
        <f t="shared" si="7"/>
        <v>2.6931342022062932E-3</v>
      </c>
    </row>
    <row r="220" spans="2:7" x14ac:dyDescent="0.3">
      <c r="B220" t="s">
        <v>610</v>
      </c>
      <c r="C220" s="97">
        <v>3462.08</v>
      </c>
      <c r="D220" s="24">
        <f t="shared" si="6"/>
        <v>5.4332119530675627E-4</v>
      </c>
      <c r="F220" s="97">
        <v>25355.25</v>
      </c>
      <c r="G220" s="24">
        <f t="shared" si="7"/>
        <v>8.1670467219487897E-3</v>
      </c>
    </row>
    <row r="221" spans="2:7" x14ac:dyDescent="0.3">
      <c r="B221" t="s">
        <v>611</v>
      </c>
      <c r="C221" s="97">
        <v>3506.35</v>
      </c>
      <c r="D221" s="24">
        <f t="shared" si="6"/>
        <v>1.2787110638691201E-2</v>
      </c>
      <c r="F221" s="97">
        <v>25476.1</v>
      </c>
      <c r="G221" s="24">
        <f t="shared" si="7"/>
        <v>4.7662712850395916E-3</v>
      </c>
    </row>
    <row r="222" spans="2:7" x14ac:dyDescent="0.3">
      <c r="B222" t="s">
        <v>612</v>
      </c>
      <c r="C222" s="97">
        <v>3540.12</v>
      </c>
      <c r="D222" s="24">
        <f t="shared" si="6"/>
        <v>9.6310978653015855E-3</v>
      </c>
      <c r="F222" s="97">
        <v>25522.5</v>
      </c>
      <c r="G222" s="24">
        <f t="shared" si="7"/>
        <v>1.8213148794361533E-3</v>
      </c>
    </row>
    <row r="223" spans="2:7" x14ac:dyDescent="0.3">
      <c r="B223" t="s">
        <v>613</v>
      </c>
      <c r="C223" s="97">
        <v>3545.07</v>
      </c>
      <c r="D223" s="24">
        <f t="shared" si="6"/>
        <v>1.3982576861801821E-3</v>
      </c>
      <c r="F223" s="97">
        <v>25461.3</v>
      </c>
      <c r="G223" s="24">
        <f t="shared" si="7"/>
        <v>-2.3978842198061345E-3</v>
      </c>
    </row>
    <row r="224" spans="2:7" x14ac:dyDescent="0.3">
      <c r="B224" t="s">
        <v>614</v>
      </c>
      <c r="C224" s="97">
        <v>3571.52</v>
      </c>
      <c r="D224" s="24">
        <f t="shared" si="6"/>
        <v>7.4610656489151328E-3</v>
      </c>
      <c r="F224" s="97">
        <v>25461</v>
      </c>
      <c r="G224" s="24">
        <f t="shared" si="7"/>
        <v>-1.1782587691855362E-5</v>
      </c>
    </row>
    <row r="225" spans="2:7" x14ac:dyDescent="0.3">
      <c r="B225" t="s">
        <v>615</v>
      </c>
      <c r="C225" s="97">
        <v>3546.76</v>
      </c>
      <c r="D225" s="24">
        <f t="shared" si="6"/>
        <v>-6.9326225248632634E-3</v>
      </c>
      <c r="F225" s="97">
        <v>25405.3</v>
      </c>
      <c r="G225" s="24">
        <f t="shared" si="7"/>
        <v>-2.1876595577550173E-3</v>
      </c>
    </row>
    <row r="226" spans="2:7" x14ac:dyDescent="0.3">
      <c r="B226" t="s">
        <v>616</v>
      </c>
      <c r="C226" s="97">
        <v>3559.83</v>
      </c>
      <c r="D226" s="24">
        <f t="shared" si="6"/>
        <v>3.6850534008503466E-3</v>
      </c>
      <c r="F226" s="97">
        <v>25453.4</v>
      </c>
      <c r="G226" s="24">
        <f t="shared" si="7"/>
        <v>1.8933057275452025E-3</v>
      </c>
    </row>
    <row r="227" spans="2:7" x14ac:dyDescent="0.3">
      <c r="B227" t="s">
        <v>617</v>
      </c>
      <c r="C227" s="97">
        <v>3548.24</v>
      </c>
      <c r="D227" s="24">
        <f t="shared" si="6"/>
        <v>-3.2557734498558366E-3</v>
      </c>
      <c r="F227" s="97">
        <v>25541.8</v>
      </c>
      <c r="G227" s="24">
        <f t="shared" si="7"/>
        <v>3.4730134284612912E-3</v>
      </c>
    </row>
    <row r="228" spans="2:7" x14ac:dyDescent="0.3">
      <c r="B228" t="s">
        <v>618</v>
      </c>
      <c r="C228" s="97">
        <v>3562.01</v>
      </c>
      <c r="D228" s="24">
        <f t="shared" si="6"/>
        <v>3.8807972403220869E-3</v>
      </c>
      <c r="F228" s="97">
        <v>25517.05</v>
      </c>
      <c r="G228" s="24">
        <f t="shared" si="7"/>
        <v>-9.6899983556364422E-4</v>
      </c>
    </row>
    <row r="229" spans="2:7" x14ac:dyDescent="0.3">
      <c r="B229" t="s">
        <v>619</v>
      </c>
      <c r="C229" s="97">
        <v>3631.23</v>
      </c>
      <c r="D229" s="24">
        <f t="shared" si="6"/>
        <v>1.9432848307556538E-2</v>
      </c>
      <c r="F229" s="97">
        <v>25637.8</v>
      </c>
      <c r="G229" s="24">
        <f t="shared" si="7"/>
        <v>4.7321300855702741E-3</v>
      </c>
    </row>
    <row r="230" spans="2:7" x14ac:dyDescent="0.3">
      <c r="B230" t="s">
        <v>620</v>
      </c>
      <c r="C230" s="97">
        <v>3634.3</v>
      </c>
      <c r="D230" s="24">
        <f t="shared" si="6"/>
        <v>8.4544355493876289E-4</v>
      </c>
      <c r="F230" s="97">
        <v>25549</v>
      </c>
      <c r="G230" s="24">
        <f t="shared" si="7"/>
        <v>-3.4636357253742256E-3</v>
      </c>
    </row>
    <row r="231" spans="2:7" x14ac:dyDescent="0.3">
      <c r="B231" t="s">
        <v>621</v>
      </c>
      <c r="C231" s="97">
        <v>3643.61</v>
      </c>
      <c r="D231" s="24">
        <f t="shared" si="6"/>
        <v>2.5617037668876907E-3</v>
      </c>
      <c r="F231" s="97">
        <v>25244.75</v>
      </c>
      <c r="G231" s="24">
        <f t="shared" si="7"/>
        <v>-1.1908489569063319E-2</v>
      </c>
    </row>
    <row r="232" spans="2:7" x14ac:dyDescent="0.3">
      <c r="B232" t="s">
        <v>622</v>
      </c>
      <c r="C232" s="97">
        <v>3624.2</v>
      </c>
      <c r="D232" s="24">
        <f t="shared" si="6"/>
        <v>-5.3271343530181259E-3</v>
      </c>
      <c r="F232" s="97">
        <v>25044.35</v>
      </c>
      <c r="G232" s="24">
        <f t="shared" si="7"/>
        <v>-7.9382841977044816E-3</v>
      </c>
    </row>
    <row r="233" spans="2:7" x14ac:dyDescent="0.3">
      <c r="B233" t="s">
        <v>623</v>
      </c>
      <c r="C233" s="97">
        <v>3584.79</v>
      </c>
      <c r="D233" s="24">
        <f t="shared" si="6"/>
        <v>-1.0874123944594638E-2</v>
      </c>
      <c r="F233" s="97">
        <v>24971.9</v>
      </c>
      <c r="G233" s="24">
        <f t="shared" si="7"/>
        <v>-2.8928680520754479E-3</v>
      </c>
    </row>
    <row r="234" spans="2:7" x14ac:dyDescent="0.3">
      <c r="B234" t="s">
        <v>624</v>
      </c>
      <c r="C234" s="97">
        <v>3569.93</v>
      </c>
      <c r="D234" s="24">
        <f t="shared" si="6"/>
        <v>-4.1452916349353774E-3</v>
      </c>
      <c r="F234" s="97">
        <v>25112.400000000001</v>
      </c>
      <c r="G234" s="24">
        <f t="shared" si="7"/>
        <v>5.6263239881626514E-3</v>
      </c>
    </row>
    <row r="235" spans="2:7" x14ac:dyDescent="0.3">
      <c r="B235" t="s">
        <v>625</v>
      </c>
      <c r="C235" s="97">
        <v>3549.04</v>
      </c>
      <c r="D235" s="24">
        <f t="shared" si="6"/>
        <v>-5.85165535458676E-3</v>
      </c>
      <c r="F235" s="97">
        <v>24793.25</v>
      </c>
      <c r="G235" s="24">
        <f t="shared" si="7"/>
        <v>-1.2708860961118895E-2</v>
      </c>
    </row>
    <row r="236" spans="2:7" x14ac:dyDescent="0.3">
      <c r="B236" t="s">
        <v>626</v>
      </c>
      <c r="C236" s="97">
        <v>3626.58</v>
      </c>
      <c r="D236" s="24">
        <f t="shared" si="6"/>
        <v>2.1848161756418571E-2</v>
      </c>
      <c r="F236" s="97">
        <v>24812.05</v>
      </c>
      <c r="G236" s="24">
        <f t="shared" si="7"/>
        <v>7.5827090034574773E-4</v>
      </c>
    </row>
    <row r="237" spans="2:7" x14ac:dyDescent="0.3">
      <c r="B237" t="s">
        <v>627</v>
      </c>
      <c r="C237" s="97">
        <v>3586.07</v>
      </c>
      <c r="D237" s="24">
        <f t="shared" si="6"/>
        <v>-1.1170303702110473E-2</v>
      </c>
      <c r="F237" s="97">
        <v>24853.4</v>
      </c>
      <c r="G237" s="24">
        <f t="shared" si="7"/>
        <v>1.6665289647570525E-3</v>
      </c>
    </row>
    <row r="238" spans="2:7" x14ac:dyDescent="0.3">
      <c r="B238" t="s">
        <v>628</v>
      </c>
      <c r="C238" s="97">
        <v>3566.66</v>
      </c>
      <c r="D238" s="24">
        <f t="shared" si="6"/>
        <v>-5.4126104621494697E-3</v>
      </c>
      <c r="F238" s="97">
        <v>24946.5</v>
      </c>
      <c r="G238" s="24">
        <f t="shared" si="7"/>
        <v>3.7459663466568038E-3</v>
      </c>
    </row>
    <row r="239" spans="2:7" x14ac:dyDescent="0.3">
      <c r="B239" t="s">
        <v>629</v>
      </c>
      <c r="C239" s="97">
        <v>3587.26</v>
      </c>
      <c r="D239" s="24">
        <f t="shared" si="6"/>
        <v>5.7757117303023353E-3</v>
      </c>
      <c r="F239" s="97">
        <v>24718.6</v>
      </c>
      <c r="G239" s="24">
        <f t="shared" si="7"/>
        <v>-9.1355500771651554E-3</v>
      </c>
    </row>
    <row r="240" spans="2:7" x14ac:dyDescent="0.3">
      <c r="B240" t="s">
        <v>630</v>
      </c>
      <c r="C240" s="97">
        <v>3593.6</v>
      </c>
      <c r="D240" s="24">
        <f t="shared" si="6"/>
        <v>1.7673656216721234E-3</v>
      </c>
      <c r="F240" s="97">
        <v>24888.2</v>
      </c>
      <c r="G240" s="24">
        <f t="shared" si="7"/>
        <v>6.8612300049355479E-3</v>
      </c>
    </row>
    <row r="241" spans="2:7" x14ac:dyDescent="0.3">
      <c r="B241" t="s">
        <v>631</v>
      </c>
      <c r="C241" s="97">
        <v>3552.7</v>
      </c>
      <c r="D241" s="24">
        <f t="shared" si="6"/>
        <v>-1.1381344612644728E-2</v>
      </c>
      <c r="F241" s="97">
        <v>25141.4</v>
      </c>
      <c r="G241" s="24">
        <f t="shared" si="7"/>
        <v>1.0173495873546434E-2</v>
      </c>
    </row>
    <row r="242" spans="2:7" x14ac:dyDescent="0.3">
      <c r="B242" t="s">
        <v>632</v>
      </c>
      <c r="C242" s="97">
        <v>3569.04</v>
      </c>
      <c r="D242" s="24">
        <f t="shared" si="6"/>
        <v>4.5993188279336294E-3</v>
      </c>
      <c r="F242" s="97">
        <v>25104.25</v>
      </c>
      <c r="G242" s="24">
        <f t="shared" si="7"/>
        <v>-1.477642454278616E-3</v>
      </c>
    </row>
    <row r="243" spans="2:7" x14ac:dyDescent="0.3">
      <c r="B243" t="s">
        <v>633</v>
      </c>
      <c r="C243" s="97">
        <v>3649.16</v>
      </c>
      <c r="D243" s="24">
        <f t="shared" si="6"/>
        <v>2.2448613632797487E-2</v>
      </c>
      <c r="F243" s="97">
        <v>25103.200000000001</v>
      </c>
      <c r="G243" s="24">
        <f t="shared" si="7"/>
        <v>-4.1825587300925449E-5</v>
      </c>
    </row>
    <row r="244" spans="2:7" x14ac:dyDescent="0.3">
      <c r="B244" t="s">
        <v>634</v>
      </c>
      <c r="C244" s="97">
        <v>3644.21</v>
      </c>
      <c r="D244" s="24">
        <f t="shared" si="6"/>
        <v>-1.3564765589888506E-3</v>
      </c>
      <c r="F244" s="97">
        <v>25003.05</v>
      </c>
      <c r="G244" s="24">
        <f t="shared" si="7"/>
        <v>-3.9895312151438933E-3</v>
      </c>
    </row>
    <row r="245" spans="2:7" x14ac:dyDescent="0.3">
      <c r="B245" t="s">
        <v>635</v>
      </c>
      <c r="C245" s="97">
        <v>3643.31</v>
      </c>
      <c r="D245" s="24">
        <f t="shared" si="6"/>
        <v>-2.4696710672544864E-4</v>
      </c>
      <c r="F245" s="97">
        <v>24750.9</v>
      </c>
      <c r="G245" s="24">
        <f t="shared" si="7"/>
        <v>-1.0084769658101678E-2</v>
      </c>
    </row>
    <row r="246" spans="2:7" x14ac:dyDescent="0.3">
      <c r="B246" t="s">
        <v>636</v>
      </c>
      <c r="C246" s="97">
        <v>3620.93</v>
      </c>
      <c r="D246" s="24">
        <f t="shared" si="6"/>
        <v>-6.1427657816656156E-3</v>
      </c>
      <c r="F246" s="97">
        <v>24620.2</v>
      </c>
      <c r="G246" s="24">
        <f t="shared" si="7"/>
        <v>-5.280616058406018E-3</v>
      </c>
    </row>
    <row r="247" spans="2:7" x14ac:dyDescent="0.3">
      <c r="B247" t="s">
        <v>637</v>
      </c>
      <c r="C247" s="97">
        <v>3607.37</v>
      </c>
      <c r="D247" s="24">
        <f t="shared" si="6"/>
        <v>-3.7448942674948027E-3</v>
      </c>
      <c r="F247" s="97">
        <v>24542.5</v>
      </c>
      <c r="G247" s="24">
        <f t="shared" si="7"/>
        <v>-3.1559451182362475E-3</v>
      </c>
    </row>
    <row r="248" spans="2:7" x14ac:dyDescent="0.3">
      <c r="B248" t="s">
        <v>638</v>
      </c>
      <c r="C248" s="97">
        <v>3591.42</v>
      </c>
      <c r="D248" s="24">
        <f t="shared" si="6"/>
        <v>-4.4215037548129832E-3</v>
      </c>
      <c r="F248" s="97">
        <v>24716.6</v>
      </c>
      <c r="G248" s="24">
        <f t="shared" si="7"/>
        <v>7.0938168483243302E-3</v>
      </c>
    </row>
    <row r="249" spans="2:7" x14ac:dyDescent="0.3">
      <c r="B249" t="s">
        <v>639</v>
      </c>
      <c r="C249" s="97">
        <v>3609.54</v>
      </c>
      <c r="D249" s="24">
        <f t="shared" si="6"/>
        <v>5.0453581034799466E-3</v>
      </c>
      <c r="F249" s="97">
        <v>24750.7</v>
      </c>
      <c r="G249" s="24">
        <f t="shared" si="7"/>
        <v>1.3796395944427609E-3</v>
      </c>
    </row>
    <row r="250" spans="2:7" x14ac:dyDescent="0.3">
      <c r="B250" t="s">
        <v>640</v>
      </c>
      <c r="C250" s="97">
        <v>3610.34</v>
      </c>
      <c r="D250" s="24">
        <f t="shared" si="6"/>
        <v>2.2163488976434387E-4</v>
      </c>
      <c r="F250" s="97">
        <v>24833.599999999999</v>
      </c>
      <c r="G250" s="24">
        <f t="shared" si="7"/>
        <v>3.3494002189835559E-3</v>
      </c>
    </row>
    <row r="251" spans="2:7" x14ac:dyDescent="0.3">
      <c r="B251" t="s">
        <v>641</v>
      </c>
      <c r="C251" s="97">
        <v>3605.92</v>
      </c>
      <c r="D251" s="24">
        <f t="shared" si="6"/>
        <v>-1.2242614269016849E-3</v>
      </c>
      <c r="F251" s="97">
        <v>24752.45</v>
      </c>
      <c r="G251" s="24">
        <f t="shared" si="7"/>
        <v>-3.2677501449648316E-3</v>
      </c>
    </row>
    <row r="252" spans="2:7" x14ac:dyDescent="0.3">
      <c r="B252" t="s">
        <v>642</v>
      </c>
      <c r="C252" s="97">
        <v>3586.49</v>
      </c>
      <c r="D252" s="24">
        <f t="shared" si="6"/>
        <v>-5.38836136131704E-3</v>
      </c>
      <c r="F252" s="97">
        <v>24826.2</v>
      </c>
      <c r="G252" s="24">
        <f t="shared" si="7"/>
        <v>2.9795030390931121E-3</v>
      </c>
    </row>
    <row r="253" spans="2:7" x14ac:dyDescent="0.3">
      <c r="C253" s="97"/>
      <c r="D253" s="24"/>
    </row>
    <row r="254" spans="2:7" x14ac:dyDescent="0.3">
      <c r="C254" s="97"/>
      <c r="D254" s="24"/>
    </row>
    <row r="255" spans="2:7" x14ac:dyDescent="0.3">
      <c r="C255" s="97"/>
      <c r="D255" s="24"/>
    </row>
    <row r="256" spans="2:7" x14ac:dyDescent="0.3">
      <c r="C256" s="97"/>
      <c r="D256" s="24"/>
    </row>
    <row r="257" spans="3:4" x14ac:dyDescent="0.3">
      <c r="C257" s="97"/>
      <c r="D257" s="24"/>
    </row>
    <row r="258" spans="3:4" x14ac:dyDescent="0.3">
      <c r="C258" s="97"/>
      <c r="D258" s="24"/>
    </row>
    <row r="259" spans="3:4" x14ac:dyDescent="0.3">
      <c r="C259" s="97"/>
      <c r="D259" s="24"/>
    </row>
    <row r="260" spans="3:4" x14ac:dyDescent="0.3">
      <c r="C260" s="97"/>
      <c r="D260" s="24"/>
    </row>
    <row r="261" spans="3:4" x14ac:dyDescent="0.3">
      <c r="C261" s="97"/>
      <c r="D261" s="24"/>
    </row>
    <row r="262" spans="3:4" x14ac:dyDescent="0.3">
      <c r="C262" s="97"/>
      <c r="D262" s="24"/>
    </row>
    <row r="263" spans="3:4" x14ac:dyDescent="0.3">
      <c r="C263" s="97"/>
      <c r="D263" s="24"/>
    </row>
    <row r="264" spans="3:4" x14ac:dyDescent="0.3">
      <c r="C264" s="97"/>
      <c r="D264" s="24"/>
    </row>
    <row r="265" spans="3:4" x14ac:dyDescent="0.3">
      <c r="C265" s="97"/>
      <c r="D265" s="24"/>
    </row>
    <row r="266" spans="3:4" x14ac:dyDescent="0.3">
      <c r="C266" s="97"/>
      <c r="D266" s="24"/>
    </row>
    <row r="267" spans="3:4" x14ac:dyDescent="0.3">
      <c r="C267" s="97"/>
      <c r="D267" s="24"/>
    </row>
    <row r="268" spans="3:4" x14ac:dyDescent="0.3">
      <c r="C268" s="97"/>
      <c r="D268" s="24"/>
    </row>
    <row r="269" spans="3:4" x14ac:dyDescent="0.3">
      <c r="C269" s="97"/>
      <c r="D269" s="24"/>
    </row>
    <row r="270" spans="3:4" x14ac:dyDescent="0.3">
      <c r="C270" s="97"/>
      <c r="D270" s="24"/>
    </row>
    <row r="271" spans="3:4" x14ac:dyDescent="0.3">
      <c r="C271" s="97"/>
      <c r="D271" s="24"/>
    </row>
    <row r="272" spans="3:4" x14ac:dyDescent="0.3">
      <c r="C272" s="97"/>
      <c r="D272" s="24"/>
    </row>
    <row r="273" spans="3:4" x14ac:dyDescent="0.3">
      <c r="C273" s="97"/>
      <c r="D273" s="24"/>
    </row>
    <row r="274" spans="3:4" x14ac:dyDescent="0.3">
      <c r="C274" s="97"/>
      <c r="D274" s="24"/>
    </row>
    <row r="275" spans="3:4" x14ac:dyDescent="0.3">
      <c r="C275" s="97"/>
      <c r="D275" s="24"/>
    </row>
    <row r="276" spans="3:4" x14ac:dyDescent="0.3">
      <c r="C276" s="97"/>
      <c r="D276" s="24"/>
    </row>
    <row r="277" spans="3:4" x14ac:dyDescent="0.3">
      <c r="C277" s="97"/>
      <c r="D277" s="24"/>
    </row>
    <row r="278" spans="3:4" x14ac:dyDescent="0.3">
      <c r="C278" s="97"/>
      <c r="D278" s="24"/>
    </row>
    <row r="279" spans="3:4" x14ac:dyDescent="0.3">
      <c r="C279" s="97"/>
      <c r="D279" s="24"/>
    </row>
    <row r="280" spans="3:4" x14ac:dyDescent="0.3">
      <c r="C280" s="97"/>
      <c r="D280" s="24"/>
    </row>
    <row r="281" spans="3:4" x14ac:dyDescent="0.3">
      <c r="C281" s="97"/>
      <c r="D281" s="24"/>
    </row>
    <row r="282" spans="3:4" x14ac:dyDescent="0.3">
      <c r="C282" s="97"/>
      <c r="D282" s="24"/>
    </row>
    <row r="283" spans="3:4" x14ac:dyDescent="0.3">
      <c r="C283" s="97"/>
      <c r="D283" s="24"/>
    </row>
    <row r="284" spans="3:4" x14ac:dyDescent="0.3">
      <c r="C284" s="97"/>
      <c r="D284" s="24"/>
    </row>
    <row r="285" spans="3:4" x14ac:dyDescent="0.3">
      <c r="C285" s="97"/>
      <c r="D285" s="24"/>
    </row>
    <row r="286" spans="3:4" x14ac:dyDescent="0.3">
      <c r="C286" s="97"/>
      <c r="D286" s="24"/>
    </row>
    <row r="287" spans="3:4" x14ac:dyDescent="0.3">
      <c r="C287" s="97"/>
      <c r="D287" s="24"/>
    </row>
    <row r="288" spans="3:4" x14ac:dyDescent="0.3">
      <c r="C288" s="97"/>
      <c r="D288" s="24"/>
    </row>
    <row r="289" spans="3:4" x14ac:dyDescent="0.3">
      <c r="C289" s="97"/>
      <c r="D289" s="24"/>
    </row>
    <row r="290" spans="3:4" x14ac:dyDescent="0.3">
      <c r="C290" s="97"/>
      <c r="D290" s="24"/>
    </row>
    <row r="291" spans="3:4" x14ac:dyDescent="0.3">
      <c r="C291" s="97"/>
      <c r="D291" s="24"/>
    </row>
    <row r="292" spans="3:4" x14ac:dyDescent="0.3">
      <c r="C292" s="97"/>
      <c r="D292" s="24"/>
    </row>
    <row r="293" spans="3:4" x14ac:dyDescent="0.3">
      <c r="C293" s="97"/>
      <c r="D293" s="24"/>
    </row>
    <row r="294" spans="3:4" x14ac:dyDescent="0.3">
      <c r="C294" s="97"/>
      <c r="D294" s="24"/>
    </row>
    <row r="295" spans="3:4" x14ac:dyDescent="0.3">
      <c r="C295" s="97"/>
      <c r="D295" s="24"/>
    </row>
    <row r="296" spans="3:4" x14ac:dyDescent="0.3">
      <c r="C296" s="97"/>
      <c r="D296" s="24"/>
    </row>
    <row r="297" spans="3:4" x14ac:dyDescent="0.3">
      <c r="C297" s="97"/>
      <c r="D297" s="24"/>
    </row>
    <row r="298" spans="3:4" x14ac:dyDescent="0.3">
      <c r="C298" s="97"/>
      <c r="D298" s="24"/>
    </row>
    <row r="299" spans="3:4" x14ac:dyDescent="0.3">
      <c r="C299" s="97"/>
      <c r="D299" s="24"/>
    </row>
    <row r="300" spans="3:4" x14ac:dyDescent="0.3">
      <c r="C300" s="97"/>
      <c r="D300" s="24"/>
    </row>
    <row r="301" spans="3:4" x14ac:dyDescent="0.3">
      <c r="C301" s="97"/>
      <c r="D301" s="24"/>
    </row>
    <row r="302" spans="3:4" x14ac:dyDescent="0.3">
      <c r="C302" s="97"/>
      <c r="D302" s="24"/>
    </row>
    <row r="303" spans="3:4" x14ac:dyDescent="0.3">
      <c r="C303" s="97"/>
      <c r="D303" s="24"/>
    </row>
    <row r="304" spans="3:4" x14ac:dyDescent="0.3">
      <c r="C304" s="97"/>
      <c r="D304" s="24"/>
    </row>
    <row r="305" spans="3:4" x14ac:dyDescent="0.3">
      <c r="C305" s="97"/>
      <c r="D305" s="24"/>
    </row>
    <row r="306" spans="3:4" x14ac:dyDescent="0.3">
      <c r="C306" s="97"/>
      <c r="D306" s="24"/>
    </row>
    <row r="307" spans="3:4" x14ac:dyDescent="0.3">
      <c r="C307" s="97"/>
      <c r="D307" s="24"/>
    </row>
    <row r="308" spans="3:4" x14ac:dyDescent="0.3">
      <c r="C308" s="97"/>
      <c r="D308" s="24"/>
    </row>
    <row r="309" spans="3:4" x14ac:dyDescent="0.3">
      <c r="C309" s="97"/>
      <c r="D309" s="24"/>
    </row>
    <row r="310" spans="3:4" x14ac:dyDescent="0.3">
      <c r="C310" s="97"/>
      <c r="D310" s="24"/>
    </row>
    <row r="311" spans="3:4" x14ac:dyDescent="0.3">
      <c r="C311" s="97"/>
      <c r="D311" s="24"/>
    </row>
    <row r="312" spans="3:4" x14ac:dyDescent="0.3">
      <c r="C312" s="97"/>
      <c r="D312" s="24"/>
    </row>
    <row r="313" spans="3:4" x14ac:dyDescent="0.3">
      <c r="C313" s="97"/>
      <c r="D313" s="24"/>
    </row>
    <row r="314" spans="3:4" x14ac:dyDescent="0.3">
      <c r="C314" s="97"/>
      <c r="D314" s="24"/>
    </row>
    <row r="315" spans="3:4" x14ac:dyDescent="0.3">
      <c r="C315" s="97"/>
      <c r="D315" s="24"/>
    </row>
    <row r="316" spans="3:4" x14ac:dyDescent="0.3">
      <c r="C316" s="97"/>
      <c r="D316" s="24"/>
    </row>
    <row r="317" spans="3:4" x14ac:dyDescent="0.3">
      <c r="C317" s="97"/>
      <c r="D317" s="24"/>
    </row>
    <row r="318" spans="3:4" x14ac:dyDescent="0.3">
      <c r="C318" s="97"/>
      <c r="D318" s="24"/>
    </row>
    <row r="319" spans="3:4" x14ac:dyDescent="0.3">
      <c r="C319" s="97"/>
      <c r="D319" s="24"/>
    </row>
    <row r="320" spans="3:4" x14ac:dyDescent="0.3">
      <c r="C320" s="97"/>
      <c r="D320" s="24"/>
    </row>
    <row r="321" spans="3:4" x14ac:dyDescent="0.3">
      <c r="C321" s="97"/>
      <c r="D321" s="24"/>
    </row>
    <row r="322" spans="3:4" x14ac:dyDescent="0.3">
      <c r="C322" s="97"/>
      <c r="D322" s="24"/>
    </row>
    <row r="323" spans="3:4" x14ac:dyDescent="0.3">
      <c r="C323" s="97"/>
      <c r="D323" s="24"/>
    </row>
    <row r="324" spans="3:4" x14ac:dyDescent="0.3">
      <c r="C324" s="97"/>
      <c r="D324" s="24"/>
    </row>
    <row r="325" spans="3:4" x14ac:dyDescent="0.3">
      <c r="C325" s="97"/>
      <c r="D325" s="24"/>
    </row>
    <row r="326" spans="3:4" x14ac:dyDescent="0.3">
      <c r="C326" s="97"/>
      <c r="D326" s="24"/>
    </row>
    <row r="327" spans="3:4" x14ac:dyDescent="0.3">
      <c r="C327" s="97"/>
      <c r="D327" s="24"/>
    </row>
    <row r="328" spans="3:4" x14ac:dyDescent="0.3">
      <c r="C328" s="97"/>
      <c r="D328" s="24"/>
    </row>
    <row r="329" spans="3:4" x14ac:dyDescent="0.3">
      <c r="C329" s="97"/>
      <c r="D329" s="24"/>
    </row>
    <row r="330" spans="3:4" x14ac:dyDescent="0.3">
      <c r="C330" s="97"/>
      <c r="D330" s="24"/>
    </row>
    <row r="331" spans="3:4" x14ac:dyDescent="0.3">
      <c r="C331" s="97"/>
      <c r="D331" s="24"/>
    </row>
    <row r="332" spans="3:4" x14ac:dyDescent="0.3">
      <c r="C332" s="97"/>
      <c r="D332" s="24"/>
    </row>
    <row r="333" spans="3:4" x14ac:dyDescent="0.3">
      <c r="C333" s="97"/>
      <c r="D333" s="24"/>
    </row>
    <row r="334" spans="3:4" x14ac:dyDescent="0.3">
      <c r="C334" s="97"/>
      <c r="D334" s="24"/>
    </row>
    <row r="335" spans="3:4" x14ac:dyDescent="0.3">
      <c r="C335" s="97"/>
      <c r="D335" s="24"/>
    </row>
    <row r="336" spans="3:4" x14ac:dyDescent="0.3">
      <c r="C336" s="97"/>
      <c r="D336" s="24"/>
    </row>
    <row r="337" spans="3:4" x14ac:dyDescent="0.3">
      <c r="C337" s="97"/>
      <c r="D337" s="24"/>
    </row>
    <row r="338" spans="3:4" x14ac:dyDescent="0.3">
      <c r="C338" s="97"/>
      <c r="D338" s="24"/>
    </row>
    <row r="339" spans="3:4" x14ac:dyDescent="0.3">
      <c r="C339" s="97"/>
      <c r="D339" s="24"/>
    </row>
    <row r="340" spans="3:4" x14ac:dyDescent="0.3">
      <c r="C340" s="97"/>
      <c r="D340" s="24"/>
    </row>
    <row r="341" spans="3:4" x14ac:dyDescent="0.3">
      <c r="C341" s="97"/>
      <c r="D341" s="24"/>
    </row>
    <row r="342" spans="3:4" x14ac:dyDescent="0.3">
      <c r="C342" s="97"/>
      <c r="D342" s="24"/>
    </row>
    <row r="343" spans="3:4" x14ac:dyDescent="0.3">
      <c r="C343" s="97"/>
      <c r="D343" s="24"/>
    </row>
    <row r="344" spans="3:4" x14ac:dyDescent="0.3">
      <c r="C344" s="97"/>
      <c r="D344" s="24"/>
    </row>
    <row r="345" spans="3:4" x14ac:dyDescent="0.3">
      <c r="C345" s="97"/>
      <c r="D345" s="24"/>
    </row>
    <row r="346" spans="3:4" x14ac:dyDescent="0.3">
      <c r="C346" s="97"/>
      <c r="D346" s="24"/>
    </row>
    <row r="347" spans="3:4" x14ac:dyDescent="0.3">
      <c r="C347" s="97"/>
      <c r="D347" s="24"/>
    </row>
    <row r="348" spans="3:4" x14ac:dyDescent="0.3">
      <c r="C348" s="97"/>
      <c r="D348" s="24"/>
    </row>
    <row r="349" spans="3:4" x14ac:dyDescent="0.3">
      <c r="C349" s="97"/>
      <c r="D349" s="24"/>
    </row>
    <row r="350" spans="3:4" x14ac:dyDescent="0.3">
      <c r="C350" s="97"/>
      <c r="D350" s="24"/>
    </row>
    <row r="351" spans="3:4" x14ac:dyDescent="0.3">
      <c r="C351" s="97"/>
      <c r="D351" s="24"/>
    </row>
    <row r="352" spans="3:4" x14ac:dyDescent="0.3">
      <c r="C352" s="97"/>
      <c r="D352" s="24"/>
    </row>
    <row r="353" spans="3:4" x14ac:dyDescent="0.3">
      <c r="C353" s="97"/>
      <c r="D353" s="24"/>
    </row>
    <row r="354" spans="3:4" x14ac:dyDescent="0.3">
      <c r="C354" s="97"/>
      <c r="D354" s="24"/>
    </row>
    <row r="355" spans="3:4" x14ac:dyDescent="0.3">
      <c r="C355" s="97"/>
      <c r="D355" s="24"/>
    </row>
    <row r="356" spans="3:4" x14ac:dyDescent="0.3">
      <c r="C356" s="97"/>
      <c r="D356" s="24"/>
    </row>
    <row r="357" spans="3:4" x14ac:dyDescent="0.3">
      <c r="C357" s="97"/>
      <c r="D357" s="24"/>
    </row>
    <row r="358" spans="3:4" x14ac:dyDescent="0.3">
      <c r="C358" s="97"/>
      <c r="D358" s="24"/>
    </row>
    <row r="359" spans="3:4" x14ac:dyDescent="0.3">
      <c r="C359" s="97"/>
      <c r="D359" s="24"/>
    </row>
    <row r="360" spans="3:4" x14ac:dyDescent="0.3">
      <c r="C360" s="97"/>
      <c r="D360" s="24"/>
    </row>
    <row r="361" spans="3:4" x14ac:dyDescent="0.3">
      <c r="C361" s="97"/>
      <c r="D361" s="24"/>
    </row>
    <row r="362" spans="3:4" x14ac:dyDescent="0.3">
      <c r="C362" s="97"/>
      <c r="D362" s="24"/>
    </row>
    <row r="363" spans="3:4" x14ac:dyDescent="0.3">
      <c r="C363" s="97"/>
      <c r="D363" s="24"/>
    </row>
    <row r="364" spans="3:4" x14ac:dyDescent="0.3">
      <c r="C364" s="97"/>
      <c r="D364" s="24"/>
    </row>
    <row r="365" spans="3:4" x14ac:dyDescent="0.3">
      <c r="C365" s="97"/>
      <c r="D365" s="24"/>
    </row>
    <row r="366" spans="3:4" x14ac:dyDescent="0.3">
      <c r="C366" s="97"/>
      <c r="D366" s="24"/>
    </row>
    <row r="367" spans="3:4" x14ac:dyDescent="0.3">
      <c r="C367" s="97"/>
      <c r="D367" s="24"/>
    </row>
    <row r="368" spans="3:4" x14ac:dyDescent="0.3">
      <c r="C368" s="97"/>
      <c r="D368" s="24"/>
    </row>
    <row r="369" spans="3:4" x14ac:dyDescent="0.3">
      <c r="C369" s="97"/>
      <c r="D369" s="24"/>
    </row>
    <row r="370" spans="3:4" x14ac:dyDescent="0.3">
      <c r="C370" s="97"/>
      <c r="D370" s="24"/>
    </row>
    <row r="371" spans="3:4" x14ac:dyDescent="0.3">
      <c r="C371" s="97"/>
      <c r="D371" s="24"/>
    </row>
    <row r="372" spans="3:4" x14ac:dyDescent="0.3">
      <c r="C372" s="97"/>
      <c r="D372" s="24"/>
    </row>
    <row r="373" spans="3:4" x14ac:dyDescent="0.3">
      <c r="C373" s="97"/>
      <c r="D373" s="24"/>
    </row>
    <row r="374" spans="3:4" x14ac:dyDescent="0.3">
      <c r="C374" s="97"/>
      <c r="D374" s="24"/>
    </row>
    <row r="375" spans="3:4" x14ac:dyDescent="0.3">
      <c r="C375" s="97"/>
      <c r="D375" s="24"/>
    </row>
    <row r="376" spans="3:4" x14ac:dyDescent="0.3">
      <c r="C376" s="97"/>
      <c r="D376" s="24"/>
    </row>
    <row r="377" spans="3:4" x14ac:dyDescent="0.3">
      <c r="C377" s="97"/>
      <c r="D377" s="24"/>
    </row>
    <row r="378" spans="3:4" x14ac:dyDescent="0.3">
      <c r="C378" s="97"/>
      <c r="D378" s="24"/>
    </row>
    <row r="379" spans="3:4" x14ac:dyDescent="0.3">
      <c r="C379" s="97"/>
      <c r="D379" s="24"/>
    </row>
    <row r="380" spans="3:4" x14ac:dyDescent="0.3">
      <c r="C380" s="97"/>
      <c r="D380" s="24"/>
    </row>
    <row r="381" spans="3:4" x14ac:dyDescent="0.3">
      <c r="C381" s="97"/>
      <c r="D381" s="24"/>
    </row>
    <row r="382" spans="3:4" x14ac:dyDescent="0.3">
      <c r="C382" s="97"/>
      <c r="D382" s="24"/>
    </row>
    <row r="383" spans="3:4" x14ac:dyDescent="0.3">
      <c r="C383" s="97"/>
      <c r="D383" s="24"/>
    </row>
    <row r="384" spans="3:4" x14ac:dyDescent="0.3">
      <c r="C384" s="97"/>
      <c r="D384" s="24"/>
    </row>
    <row r="385" spans="3:4" x14ac:dyDescent="0.3">
      <c r="C385" s="97"/>
      <c r="D385" s="24"/>
    </row>
    <row r="386" spans="3:4" x14ac:dyDescent="0.3">
      <c r="C386" s="97"/>
      <c r="D386" s="24"/>
    </row>
    <row r="387" spans="3:4" x14ac:dyDescent="0.3">
      <c r="C387" s="97"/>
      <c r="D387" s="24"/>
    </row>
    <row r="388" spans="3:4" x14ac:dyDescent="0.3">
      <c r="C388" s="97"/>
      <c r="D388" s="24"/>
    </row>
    <row r="389" spans="3:4" x14ac:dyDescent="0.3">
      <c r="C389" s="97"/>
      <c r="D389" s="24"/>
    </row>
    <row r="390" spans="3:4" x14ac:dyDescent="0.3">
      <c r="C390" s="97"/>
      <c r="D390" s="24"/>
    </row>
    <row r="391" spans="3:4" x14ac:dyDescent="0.3">
      <c r="C391" s="97"/>
      <c r="D391" s="24"/>
    </row>
    <row r="392" spans="3:4" x14ac:dyDescent="0.3">
      <c r="C392" s="97"/>
      <c r="D392" s="24"/>
    </row>
    <row r="393" spans="3:4" x14ac:dyDescent="0.3">
      <c r="C393" s="97"/>
      <c r="D393" s="24"/>
    </row>
    <row r="394" spans="3:4" x14ac:dyDescent="0.3">
      <c r="C394" s="97"/>
      <c r="D394" s="24"/>
    </row>
    <row r="395" spans="3:4" x14ac:dyDescent="0.3">
      <c r="C395" s="97"/>
      <c r="D395" s="24"/>
    </row>
    <row r="396" spans="3:4" x14ac:dyDescent="0.3">
      <c r="C396" s="97"/>
      <c r="D396" s="24"/>
    </row>
    <row r="397" spans="3:4" x14ac:dyDescent="0.3">
      <c r="C397" s="97"/>
      <c r="D397" s="24"/>
    </row>
    <row r="398" spans="3:4" x14ac:dyDescent="0.3">
      <c r="C398" s="97"/>
      <c r="D398" s="24"/>
    </row>
    <row r="399" spans="3:4" x14ac:dyDescent="0.3">
      <c r="C399" s="97"/>
      <c r="D399" s="24"/>
    </row>
    <row r="400" spans="3:4" x14ac:dyDescent="0.3">
      <c r="C400" s="97"/>
      <c r="D400" s="24"/>
    </row>
    <row r="401" spans="3:4" x14ac:dyDescent="0.3">
      <c r="C401" s="97"/>
      <c r="D401" s="24"/>
    </row>
    <row r="402" spans="3:4" x14ac:dyDescent="0.3">
      <c r="C402" s="97"/>
      <c r="D402" s="24"/>
    </row>
    <row r="403" spans="3:4" x14ac:dyDescent="0.3">
      <c r="C403" s="97"/>
      <c r="D403" s="24"/>
    </row>
    <row r="404" spans="3:4" x14ac:dyDescent="0.3">
      <c r="C404" s="97"/>
      <c r="D404" s="24"/>
    </row>
    <row r="405" spans="3:4" x14ac:dyDescent="0.3">
      <c r="C405" s="97"/>
      <c r="D405" s="24"/>
    </row>
    <row r="406" spans="3:4" x14ac:dyDescent="0.3">
      <c r="C406" s="97"/>
      <c r="D406" s="24"/>
    </row>
    <row r="407" spans="3:4" x14ac:dyDescent="0.3">
      <c r="C407" s="97"/>
      <c r="D407" s="24"/>
    </row>
    <row r="408" spans="3:4" x14ac:dyDescent="0.3">
      <c r="C408" s="97"/>
      <c r="D408" s="24"/>
    </row>
    <row r="409" spans="3:4" x14ac:dyDescent="0.3">
      <c r="C409" s="97"/>
      <c r="D409" s="24"/>
    </row>
    <row r="410" spans="3:4" x14ac:dyDescent="0.3">
      <c r="C410" s="97"/>
      <c r="D410" s="24"/>
    </row>
    <row r="411" spans="3:4" x14ac:dyDescent="0.3">
      <c r="C411" s="97"/>
      <c r="D411" s="24"/>
    </row>
    <row r="412" spans="3:4" x14ac:dyDescent="0.3">
      <c r="C412" s="97"/>
      <c r="D412" s="24"/>
    </row>
    <row r="413" spans="3:4" x14ac:dyDescent="0.3">
      <c r="C413" s="97"/>
      <c r="D413" s="24"/>
    </row>
    <row r="414" spans="3:4" x14ac:dyDescent="0.3">
      <c r="C414" s="97"/>
      <c r="D414" s="24"/>
    </row>
    <row r="415" spans="3:4" x14ac:dyDescent="0.3">
      <c r="C415" s="97"/>
      <c r="D415" s="24"/>
    </row>
    <row r="416" spans="3:4" x14ac:dyDescent="0.3">
      <c r="C416" s="97"/>
      <c r="D416" s="24"/>
    </row>
    <row r="417" spans="3:4" x14ac:dyDescent="0.3">
      <c r="C417" s="97"/>
      <c r="D417" s="24"/>
    </row>
    <row r="418" spans="3:4" x14ac:dyDescent="0.3">
      <c r="C418" s="97"/>
      <c r="D418" s="24"/>
    </row>
    <row r="419" spans="3:4" x14ac:dyDescent="0.3">
      <c r="C419" s="97"/>
      <c r="D419" s="24"/>
    </row>
    <row r="420" spans="3:4" x14ac:dyDescent="0.3">
      <c r="C420" s="97"/>
      <c r="D420" s="24"/>
    </row>
    <row r="421" spans="3:4" x14ac:dyDescent="0.3">
      <c r="C421" s="97"/>
      <c r="D421" s="24"/>
    </row>
    <row r="422" spans="3:4" x14ac:dyDescent="0.3">
      <c r="C422" s="97"/>
      <c r="D422" s="24"/>
    </row>
    <row r="423" spans="3:4" x14ac:dyDescent="0.3">
      <c r="C423" s="97"/>
      <c r="D423" s="24"/>
    </row>
    <row r="424" spans="3:4" x14ac:dyDescent="0.3">
      <c r="C424" s="97"/>
      <c r="D424" s="24"/>
    </row>
    <row r="425" spans="3:4" x14ac:dyDescent="0.3">
      <c r="C425" s="97"/>
      <c r="D425" s="24"/>
    </row>
    <row r="426" spans="3:4" x14ac:dyDescent="0.3">
      <c r="C426" s="97"/>
      <c r="D426" s="24"/>
    </row>
    <row r="427" spans="3:4" x14ac:dyDescent="0.3">
      <c r="C427" s="97"/>
      <c r="D427" s="24"/>
    </row>
    <row r="428" spans="3:4" x14ac:dyDescent="0.3">
      <c r="C428" s="97"/>
      <c r="D428" s="24"/>
    </row>
    <row r="429" spans="3:4" x14ac:dyDescent="0.3">
      <c r="C429" s="97"/>
      <c r="D429" s="24"/>
    </row>
    <row r="430" spans="3:4" x14ac:dyDescent="0.3">
      <c r="C430" s="97"/>
      <c r="D430" s="24"/>
    </row>
    <row r="431" spans="3:4" x14ac:dyDescent="0.3">
      <c r="C431" s="97"/>
      <c r="D431" s="24"/>
    </row>
    <row r="432" spans="3:4" x14ac:dyDescent="0.3">
      <c r="C432" s="97"/>
      <c r="D432" s="24"/>
    </row>
    <row r="433" spans="3:4" x14ac:dyDescent="0.3">
      <c r="C433" s="97"/>
      <c r="D433" s="24"/>
    </row>
    <row r="434" spans="3:4" x14ac:dyDescent="0.3">
      <c r="C434" s="97"/>
      <c r="D434" s="24"/>
    </row>
    <row r="435" spans="3:4" x14ac:dyDescent="0.3">
      <c r="C435" s="97"/>
      <c r="D435" s="24"/>
    </row>
    <row r="436" spans="3:4" x14ac:dyDescent="0.3">
      <c r="C436" s="97"/>
      <c r="D436" s="24"/>
    </row>
    <row r="437" spans="3:4" x14ac:dyDescent="0.3">
      <c r="C437" s="97"/>
      <c r="D437" s="24"/>
    </row>
    <row r="438" spans="3:4" x14ac:dyDescent="0.3">
      <c r="C438" s="97"/>
      <c r="D438" s="24"/>
    </row>
    <row r="439" spans="3:4" x14ac:dyDescent="0.3">
      <c r="C439" s="97"/>
      <c r="D439" s="24"/>
    </row>
    <row r="440" spans="3:4" x14ac:dyDescent="0.3">
      <c r="C440" s="97"/>
      <c r="D440" s="24"/>
    </row>
    <row r="441" spans="3:4" x14ac:dyDescent="0.3">
      <c r="C441" s="97"/>
      <c r="D441" s="24"/>
    </row>
    <row r="442" spans="3:4" x14ac:dyDescent="0.3">
      <c r="C442" s="97"/>
      <c r="D442" s="24"/>
    </row>
    <row r="443" spans="3:4" x14ac:dyDescent="0.3">
      <c r="C443" s="97"/>
      <c r="D443" s="24"/>
    </row>
    <row r="444" spans="3:4" x14ac:dyDescent="0.3">
      <c r="C444" s="97"/>
      <c r="D444" s="24"/>
    </row>
    <row r="445" spans="3:4" x14ac:dyDescent="0.3">
      <c r="C445" s="97"/>
      <c r="D445" s="24"/>
    </row>
    <row r="446" spans="3:4" x14ac:dyDescent="0.3">
      <c r="C446" s="97"/>
      <c r="D446" s="24"/>
    </row>
    <row r="447" spans="3:4" x14ac:dyDescent="0.3">
      <c r="C447" s="97"/>
      <c r="D447" s="24"/>
    </row>
    <row r="448" spans="3:4" x14ac:dyDescent="0.3">
      <c r="C448" s="97"/>
      <c r="D448" s="24"/>
    </row>
    <row r="449" spans="3:4" x14ac:dyDescent="0.3">
      <c r="C449" s="97"/>
      <c r="D449" s="24"/>
    </row>
    <row r="450" spans="3:4" x14ac:dyDescent="0.3">
      <c r="C450" s="97"/>
      <c r="D450" s="24"/>
    </row>
    <row r="451" spans="3:4" x14ac:dyDescent="0.3">
      <c r="C451" s="97"/>
      <c r="D451" s="24"/>
    </row>
    <row r="452" spans="3:4" x14ac:dyDescent="0.3">
      <c r="C452" s="97"/>
      <c r="D452" s="24"/>
    </row>
    <row r="453" spans="3:4" x14ac:dyDescent="0.3">
      <c r="C453" s="97"/>
      <c r="D453" s="24"/>
    </row>
    <row r="454" spans="3:4" x14ac:dyDescent="0.3">
      <c r="C454" s="97"/>
      <c r="D454" s="24"/>
    </row>
    <row r="455" spans="3:4" x14ac:dyDescent="0.3">
      <c r="C455" s="97"/>
      <c r="D455" s="24"/>
    </row>
    <row r="456" spans="3:4" x14ac:dyDescent="0.3">
      <c r="C456" s="97"/>
      <c r="D456" s="24"/>
    </row>
    <row r="457" spans="3:4" x14ac:dyDescent="0.3">
      <c r="C457" s="97"/>
      <c r="D457" s="24"/>
    </row>
    <row r="458" spans="3:4" x14ac:dyDescent="0.3">
      <c r="C458" s="97"/>
      <c r="D458" s="24"/>
    </row>
    <row r="459" spans="3:4" x14ac:dyDescent="0.3">
      <c r="C459" s="97"/>
      <c r="D459" s="24"/>
    </row>
    <row r="460" spans="3:4" x14ac:dyDescent="0.3">
      <c r="C460" s="97"/>
      <c r="D460" s="24"/>
    </row>
    <row r="461" spans="3:4" x14ac:dyDescent="0.3">
      <c r="C461" s="97"/>
      <c r="D461" s="24"/>
    </row>
    <row r="462" spans="3:4" x14ac:dyDescent="0.3">
      <c r="C462" s="97"/>
      <c r="D462" s="24"/>
    </row>
    <row r="463" spans="3:4" x14ac:dyDescent="0.3">
      <c r="C463" s="97"/>
      <c r="D463" s="24"/>
    </row>
    <row r="464" spans="3:4" x14ac:dyDescent="0.3">
      <c r="C464" s="97"/>
      <c r="D464" s="24"/>
    </row>
    <row r="465" spans="3:4" x14ac:dyDescent="0.3">
      <c r="C465" s="97"/>
      <c r="D465" s="24"/>
    </row>
    <row r="466" spans="3:4" x14ac:dyDescent="0.3">
      <c r="C466" s="97"/>
      <c r="D466" s="24"/>
    </row>
    <row r="467" spans="3:4" x14ac:dyDescent="0.3">
      <c r="C467" s="97"/>
      <c r="D467" s="24"/>
    </row>
    <row r="468" spans="3:4" x14ac:dyDescent="0.3">
      <c r="C468" s="97"/>
      <c r="D468" s="24"/>
    </row>
    <row r="469" spans="3:4" x14ac:dyDescent="0.3">
      <c r="C469" s="97"/>
      <c r="D469" s="24"/>
    </row>
    <row r="470" spans="3:4" x14ac:dyDescent="0.3">
      <c r="C470" s="97"/>
      <c r="D470" s="24"/>
    </row>
    <row r="471" spans="3:4" x14ac:dyDescent="0.3">
      <c r="C471" s="97"/>
      <c r="D471" s="24"/>
    </row>
    <row r="472" spans="3:4" x14ac:dyDescent="0.3">
      <c r="C472" s="97"/>
      <c r="D472" s="24"/>
    </row>
    <row r="473" spans="3:4" x14ac:dyDescent="0.3">
      <c r="C473" s="97"/>
      <c r="D473" s="24"/>
    </row>
    <row r="474" spans="3:4" x14ac:dyDescent="0.3">
      <c r="C474" s="97"/>
      <c r="D474" s="24"/>
    </row>
    <row r="475" spans="3:4" x14ac:dyDescent="0.3">
      <c r="C475" s="97"/>
      <c r="D475" s="24"/>
    </row>
    <row r="476" spans="3:4" x14ac:dyDescent="0.3">
      <c r="C476" s="97"/>
      <c r="D476" s="24"/>
    </row>
    <row r="477" spans="3:4" x14ac:dyDescent="0.3">
      <c r="C477" s="97"/>
      <c r="D477" s="24"/>
    </row>
    <row r="478" spans="3:4" x14ac:dyDescent="0.3">
      <c r="C478" s="97"/>
      <c r="D478" s="24"/>
    </row>
    <row r="479" spans="3:4" x14ac:dyDescent="0.3">
      <c r="C479" s="97"/>
      <c r="D479" s="24"/>
    </row>
    <row r="480" spans="3:4" x14ac:dyDescent="0.3">
      <c r="C480" s="97"/>
      <c r="D480" s="24"/>
    </row>
    <row r="481" spans="3:4" x14ac:dyDescent="0.3">
      <c r="C481" s="97"/>
      <c r="D481" s="24"/>
    </row>
    <row r="482" spans="3:4" x14ac:dyDescent="0.3">
      <c r="C482" s="97"/>
      <c r="D482" s="24"/>
    </row>
    <row r="483" spans="3:4" x14ac:dyDescent="0.3">
      <c r="C483" s="97"/>
      <c r="D483" s="24"/>
    </row>
    <row r="484" spans="3:4" x14ac:dyDescent="0.3">
      <c r="C484" s="97"/>
      <c r="D484" s="24"/>
    </row>
    <row r="485" spans="3:4" x14ac:dyDescent="0.3">
      <c r="C485" s="97"/>
      <c r="D485" s="24"/>
    </row>
    <row r="486" spans="3:4" x14ac:dyDescent="0.3">
      <c r="C486" s="97"/>
      <c r="D486" s="24"/>
    </row>
    <row r="487" spans="3:4" x14ac:dyDescent="0.3">
      <c r="C487" s="97"/>
      <c r="D487" s="24"/>
    </row>
    <row r="488" spans="3:4" x14ac:dyDescent="0.3">
      <c r="C488" s="97"/>
      <c r="D488" s="24"/>
    </row>
    <row r="489" spans="3:4" x14ac:dyDescent="0.3">
      <c r="C489" s="97"/>
      <c r="D489" s="24"/>
    </row>
    <row r="490" spans="3:4" x14ac:dyDescent="0.3">
      <c r="C490" s="97"/>
      <c r="D490" s="24"/>
    </row>
    <row r="491" spans="3:4" x14ac:dyDescent="0.3">
      <c r="C491" s="97"/>
      <c r="D491" s="24"/>
    </row>
    <row r="492" spans="3:4" x14ac:dyDescent="0.3">
      <c r="C492" s="97"/>
      <c r="D492" s="24"/>
    </row>
    <row r="493" spans="3:4" x14ac:dyDescent="0.3">
      <c r="C493" s="97"/>
      <c r="D493" s="24"/>
    </row>
    <row r="494" spans="3:4" x14ac:dyDescent="0.3">
      <c r="C494" s="97"/>
      <c r="D494" s="24"/>
    </row>
    <row r="495" spans="3:4" x14ac:dyDescent="0.3">
      <c r="C495" s="97"/>
      <c r="D495" s="24"/>
    </row>
    <row r="496" spans="3:4" x14ac:dyDescent="0.3">
      <c r="C496" s="97"/>
      <c r="D496" s="24"/>
    </row>
    <row r="497" spans="3:4" x14ac:dyDescent="0.3">
      <c r="C497" s="97"/>
      <c r="D497" s="24"/>
    </row>
    <row r="498" spans="3:4" x14ac:dyDescent="0.3">
      <c r="C498" s="97"/>
      <c r="D498" s="24"/>
    </row>
    <row r="499" spans="3:4" x14ac:dyDescent="0.3">
      <c r="C499" s="97"/>
      <c r="D499" s="24"/>
    </row>
    <row r="500" spans="3:4" x14ac:dyDescent="0.3">
      <c r="C500" s="97"/>
      <c r="D500" s="24"/>
    </row>
    <row r="501" spans="3:4" x14ac:dyDescent="0.3">
      <c r="C501" s="97"/>
      <c r="D501" s="24"/>
    </row>
    <row r="502" spans="3:4" x14ac:dyDescent="0.3">
      <c r="C502" s="97"/>
      <c r="D502" s="24"/>
    </row>
  </sheetData>
  <mergeCells count="2">
    <mergeCell ref="B3:D3"/>
    <mergeCell ref="F3:G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DCEA7-C4A2-4AE5-BB81-7091B3D5A5A2}">
  <sheetPr codeName="Sheet8"/>
  <dimension ref="A1:Q26"/>
  <sheetViews>
    <sheetView showGridLines="0" topLeftCell="A4" zoomScale="88" zoomScaleNormal="100" workbookViewId="0">
      <selection activeCell="R1" sqref="R1:XFD1048576"/>
    </sheetView>
  </sheetViews>
  <sheetFormatPr defaultColWidth="0" defaultRowHeight="14.4" x14ac:dyDescent="0.3"/>
  <cols>
    <col min="1" max="1" width="1.88671875" customWidth="1"/>
    <col min="2" max="2" width="21" customWidth="1"/>
    <col min="3" max="9" width="13" customWidth="1"/>
    <col min="10" max="10" width="4.33203125" customWidth="1"/>
    <col min="11" max="13" width="13" customWidth="1"/>
    <col min="14" max="14" width="4" customWidth="1"/>
    <col min="15" max="17" width="13" customWidth="1"/>
    <col min="18" max="16384" width="8.88671875" hidden="1"/>
  </cols>
  <sheetData>
    <row r="1" spans="2:17" x14ac:dyDescent="0.3">
      <c r="Q1" s="210"/>
    </row>
    <row r="2" spans="2:17" ht="25.8" x14ac:dyDescent="0.5">
      <c r="B2" s="182" t="s">
        <v>228</v>
      </c>
      <c r="Q2" s="210" t="s">
        <v>190</v>
      </c>
    </row>
    <row r="3" spans="2:17" x14ac:dyDescent="0.3">
      <c r="B3" s="27" t="s">
        <v>229</v>
      </c>
    </row>
    <row r="4" spans="2:17" x14ac:dyDescent="0.3">
      <c r="B4" s="183"/>
      <c r="C4" s="427" t="s">
        <v>238</v>
      </c>
      <c r="D4" s="427"/>
      <c r="E4" s="427"/>
      <c r="F4" s="427"/>
      <c r="G4" s="427"/>
      <c r="H4" s="427"/>
      <c r="I4" s="427"/>
      <c r="J4" s="183"/>
      <c r="K4" s="427" t="s">
        <v>239</v>
      </c>
      <c r="L4" s="427"/>
      <c r="M4" s="427"/>
      <c r="N4" s="183"/>
      <c r="O4" s="427" t="s">
        <v>243</v>
      </c>
      <c r="P4" s="427"/>
      <c r="Q4" s="427"/>
    </row>
    <row r="5" spans="2:17" ht="28.8" x14ac:dyDescent="0.3">
      <c r="B5" s="184" t="s">
        <v>230</v>
      </c>
      <c r="C5" s="185" t="s">
        <v>231</v>
      </c>
      <c r="D5" s="185" t="s">
        <v>232</v>
      </c>
      <c r="E5" s="185" t="s">
        <v>233</v>
      </c>
      <c r="F5" s="185" t="s">
        <v>234</v>
      </c>
      <c r="G5" s="185" t="s">
        <v>235</v>
      </c>
      <c r="H5" s="185" t="s">
        <v>236</v>
      </c>
      <c r="I5" s="185" t="s">
        <v>237</v>
      </c>
      <c r="J5" s="185"/>
      <c r="K5" s="185" t="s">
        <v>90</v>
      </c>
      <c r="L5" s="185" t="s">
        <v>58</v>
      </c>
      <c r="M5" s="185" t="s">
        <v>115</v>
      </c>
      <c r="N5" s="185"/>
      <c r="O5" s="185" t="s">
        <v>240</v>
      </c>
      <c r="P5" s="185" t="s">
        <v>241</v>
      </c>
      <c r="Q5" s="185" t="s">
        <v>242</v>
      </c>
    </row>
    <row r="6" spans="2:17" x14ac:dyDescent="0.3">
      <c r="B6" s="279" t="s">
        <v>379</v>
      </c>
      <c r="C6" s="280">
        <v>4037.8</v>
      </c>
      <c r="D6" s="280">
        <v>555505.69999999995</v>
      </c>
      <c r="E6" s="281">
        <f>D6/C6</f>
        <v>137.57632869384315</v>
      </c>
      <c r="F6" s="280">
        <v>125496.59</v>
      </c>
      <c r="G6" s="280">
        <v>20847.669999999998</v>
      </c>
      <c r="H6" s="282">
        <f>F6-G6</f>
        <v>104648.92</v>
      </c>
      <c r="I6" s="282">
        <f>D6+H6</f>
        <v>660154.62</v>
      </c>
      <c r="J6" s="279"/>
      <c r="K6" s="280">
        <v>285874.36</v>
      </c>
      <c r="L6" s="280">
        <v>40912.379999999997</v>
      </c>
      <c r="M6" s="280">
        <v>18953.88</v>
      </c>
      <c r="N6" s="279"/>
      <c r="O6" s="283">
        <f>I6/K6</f>
        <v>2.3092473910566866</v>
      </c>
      <c r="P6" s="283">
        <f>I6/L6</f>
        <v>16.135815613757988</v>
      </c>
      <c r="Q6" s="283">
        <f>D6/M6</f>
        <v>29.308284108583567</v>
      </c>
    </row>
    <row r="7" spans="2:17" x14ac:dyDescent="0.3">
      <c r="B7" t="s">
        <v>380</v>
      </c>
      <c r="C7" s="278">
        <v>259.75</v>
      </c>
      <c r="D7" s="278">
        <v>54138.52</v>
      </c>
      <c r="E7" s="200">
        <f t="shared" ref="E7:E12" si="0">D7/C7</f>
        <v>208.42548604427333</v>
      </c>
      <c r="F7" s="278">
        <v>4818.49</v>
      </c>
      <c r="G7" s="278">
        <v>968.25</v>
      </c>
      <c r="H7" s="165">
        <f t="shared" ref="H7:H12" si="1">F7-G7</f>
        <v>3850.24</v>
      </c>
      <c r="I7" s="165">
        <f t="shared" ref="I7:I12" si="2">D7+H7</f>
        <v>57988.759999999995</v>
      </c>
      <c r="K7" s="278">
        <v>20412.12</v>
      </c>
      <c r="L7" s="278">
        <v>1636.59</v>
      </c>
      <c r="M7" s="278">
        <v>870.66</v>
      </c>
      <c r="O7" s="202">
        <f t="shared" ref="O7:O12" si="3">I7/K7</f>
        <v>2.8408984466091711</v>
      </c>
      <c r="P7" s="202">
        <f t="shared" ref="P7:P12" si="4">I7/L7</f>
        <v>35.432674035647288</v>
      </c>
      <c r="Q7" s="202">
        <f t="shared" ref="Q7:Q12" si="5">D7/M7</f>
        <v>62.181012105758846</v>
      </c>
    </row>
    <row r="8" spans="2:17" x14ac:dyDescent="0.3">
      <c r="B8" t="s">
        <v>381</v>
      </c>
      <c r="C8" s="278">
        <v>21.66</v>
      </c>
      <c r="D8" s="278">
        <v>26124.7</v>
      </c>
      <c r="E8" s="200">
        <f t="shared" si="0"/>
        <v>1206.1265004616805</v>
      </c>
      <c r="F8" s="278">
        <v>20027.060000000001</v>
      </c>
      <c r="G8" s="278">
        <v>1910.96</v>
      </c>
      <c r="H8" s="165">
        <f t="shared" si="1"/>
        <v>18116.100000000002</v>
      </c>
      <c r="I8" s="165">
        <f t="shared" si="2"/>
        <v>44240.800000000003</v>
      </c>
      <c r="K8" s="278">
        <v>7648.15</v>
      </c>
      <c r="L8" s="278">
        <v>4187.6499999999996</v>
      </c>
      <c r="M8" s="278">
        <v>850.36</v>
      </c>
      <c r="O8" s="202">
        <f t="shared" si="3"/>
        <v>5.7845099795375363</v>
      </c>
      <c r="P8" s="202">
        <f t="shared" si="4"/>
        <v>10.56458873114993</v>
      </c>
      <c r="Q8" s="202">
        <f t="shared" si="5"/>
        <v>30.721929535726044</v>
      </c>
    </row>
    <row r="9" spans="2:17" x14ac:dyDescent="0.3">
      <c r="B9" t="s">
        <v>382</v>
      </c>
      <c r="C9" s="278">
        <v>95.55</v>
      </c>
      <c r="D9" s="278">
        <v>25801.17</v>
      </c>
      <c r="E9" s="200">
        <f t="shared" si="0"/>
        <v>270.02794348508633</v>
      </c>
      <c r="F9" s="278">
        <v>0.26</v>
      </c>
      <c r="G9" s="278">
        <v>6515.72</v>
      </c>
      <c r="H9" s="165">
        <f t="shared" si="1"/>
        <v>-6515.46</v>
      </c>
      <c r="I9" s="165">
        <f t="shared" si="2"/>
        <v>19285.71</v>
      </c>
      <c r="K9" s="278">
        <v>12888.61</v>
      </c>
      <c r="L9" s="278">
        <v>924.26</v>
      </c>
      <c r="M9" s="278">
        <v>742.45</v>
      </c>
      <c r="O9" s="202">
        <f t="shared" si="3"/>
        <v>1.4963374638537437</v>
      </c>
      <c r="P9" s="202">
        <f t="shared" si="4"/>
        <v>20.866109103499014</v>
      </c>
      <c r="Q9" s="202">
        <f t="shared" si="5"/>
        <v>34.751390666038112</v>
      </c>
    </row>
    <row r="10" spans="2:17" x14ac:dyDescent="0.3">
      <c r="B10" t="s">
        <v>383</v>
      </c>
      <c r="C10" s="278">
        <v>1297.0999999999999</v>
      </c>
      <c r="D10" s="278">
        <v>22145.68</v>
      </c>
      <c r="E10" s="200">
        <f t="shared" si="0"/>
        <v>17.073224886284791</v>
      </c>
      <c r="F10" s="278">
        <v>3542.62</v>
      </c>
      <c r="G10" s="278">
        <v>1842.19</v>
      </c>
      <c r="H10" s="165">
        <f t="shared" si="1"/>
        <v>1700.4299999999998</v>
      </c>
      <c r="I10" s="165">
        <f t="shared" si="2"/>
        <v>23846.11</v>
      </c>
      <c r="K10" s="278">
        <v>27143.06</v>
      </c>
      <c r="L10" s="278">
        <v>2344.77</v>
      </c>
      <c r="M10" s="278">
        <v>1030.6300000000001</v>
      </c>
      <c r="O10" s="202">
        <f t="shared" si="3"/>
        <v>0.8785343288487002</v>
      </c>
      <c r="P10" s="202">
        <f t="shared" si="4"/>
        <v>10.169914319954623</v>
      </c>
      <c r="Q10" s="202">
        <f t="shared" si="5"/>
        <v>21.487517343760612</v>
      </c>
    </row>
    <row r="11" spans="2:17" x14ac:dyDescent="0.3">
      <c r="B11" t="s">
        <v>384</v>
      </c>
      <c r="C11" s="278">
        <v>245.61</v>
      </c>
      <c r="D11" s="278">
        <v>17533.68</v>
      </c>
      <c r="E11" s="200">
        <f t="shared" si="0"/>
        <v>71.388298522047151</v>
      </c>
      <c r="F11" s="278">
        <v>1.45</v>
      </c>
      <c r="G11" s="278">
        <v>1430</v>
      </c>
      <c r="H11" s="165">
        <f t="shared" si="1"/>
        <v>-1428.55</v>
      </c>
      <c r="I11" s="165">
        <f t="shared" si="2"/>
        <v>16105.130000000001</v>
      </c>
      <c r="K11" s="278">
        <v>2316.5300000000002</v>
      </c>
      <c r="L11" s="278">
        <v>858.48</v>
      </c>
      <c r="M11" s="278">
        <v>613.17999999999995</v>
      </c>
      <c r="O11" s="202">
        <f t="shared" si="3"/>
        <v>6.952264809866481</v>
      </c>
      <c r="P11" s="202">
        <f t="shared" si="4"/>
        <v>18.760052651197466</v>
      </c>
      <c r="Q11" s="202">
        <f t="shared" si="5"/>
        <v>28.594670406732121</v>
      </c>
    </row>
    <row r="12" spans="2:17" x14ac:dyDescent="0.3">
      <c r="B12" t="s">
        <v>385</v>
      </c>
      <c r="C12" s="278">
        <v>943.3</v>
      </c>
      <c r="D12" s="278">
        <v>16156.07</v>
      </c>
      <c r="E12" s="200">
        <f t="shared" si="0"/>
        <v>17.127181172479592</v>
      </c>
      <c r="F12" s="278">
        <v>904.91</v>
      </c>
      <c r="G12" s="278">
        <v>948.85</v>
      </c>
      <c r="H12" s="165">
        <f t="shared" si="1"/>
        <v>-43.940000000000055</v>
      </c>
      <c r="I12" s="165">
        <f t="shared" si="2"/>
        <v>16112.13</v>
      </c>
      <c r="K12" s="278">
        <v>10060.58</v>
      </c>
      <c r="L12" s="278">
        <v>1198.52</v>
      </c>
      <c r="M12" s="278">
        <v>597.73</v>
      </c>
      <c r="O12" s="202">
        <f t="shared" si="3"/>
        <v>1.6015110460828301</v>
      </c>
      <c r="P12" s="202">
        <f t="shared" si="4"/>
        <v>13.443355138003538</v>
      </c>
      <c r="Q12" s="202">
        <f t="shared" si="5"/>
        <v>27.02904321349104</v>
      </c>
    </row>
    <row r="14" spans="2:17" x14ac:dyDescent="0.3">
      <c r="B14" s="201" t="s">
        <v>260</v>
      </c>
      <c r="C14" s="201"/>
      <c r="D14" s="201"/>
      <c r="E14" s="201"/>
      <c r="F14" s="201"/>
      <c r="G14" s="201"/>
      <c r="H14" s="201"/>
      <c r="I14" s="201"/>
      <c r="J14" s="201"/>
      <c r="K14" s="201"/>
      <c r="L14" s="201"/>
      <c r="M14" s="201"/>
      <c r="N14" s="201"/>
      <c r="O14" s="203">
        <f>MAX(O7:O12)</f>
        <v>6.952264809866481</v>
      </c>
      <c r="P14" s="203">
        <f>MAX(P7:P12)</f>
        <v>35.432674035647288</v>
      </c>
      <c r="Q14" s="203">
        <f>MAX(Q7:Q12)</f>
        <v>62.181012105758846</v>
      </c>
    </row>
    <row r="15" spans="2:17" x14ac:dyDescent="0.3">
      <c r="B15" s="201" t="s">
        <v>261</v>
      </c>
      <c r="C15" s="201"/>
      <c r="D15" s="201"/>
      <c r="E15" s="201"/>
      <c r="F15" s="201"/>
      <c r="G15" s="201"/>
      <c r="H15" s="201"/>
      <c r="I15" s="201"/>
      <c r="J15" s="201"/>
      <c r="K15" s="201"/>
      <c r="L15" s="201"/>
      <c r="M15" s="201"/>
      <c r="N15" s="201"/>
      <c r="O15" s="203">
        <f>QUARTILE(O7:O12,3)</f>
        <v>5.048607096305445</v>
      </c>
      <c r="P15" s="203">
        <f>QUARTILE(P7:P12,3)</f>
        <v>20.339594990423628</v>
      </c>
      <c r="Q15" s="203">
        <f>QUARTILE(Q7:Q12,3)</f>
        <v>33.744025383460098</v>
      </c>
    </row>
    <row r="16" spans="2:17" x14ac:dyDescent="0.3">
      <c r="B16" s="204" t="s">
        <v>262</v>
      </c>
      <c r="C16" s="201"/>
      <c r="D16" s="201"/>
      <c r="E16" s="201"/>
      <c r="F16" s="201"/>
      <c r="G16" s="201"/>
      <c r="H16" s="201"/>
      <c r="I16" s="201"/>
      <c r="J16" s="201"/>
      <c r="K16" s="201"/>
      <c r="L16" s="201"/>
      <c r="M16" s="201"/>
      <c r="N16" s="201"/>
      <c r="O16" s="205">
        <f>AVERAGE(O7:O12)</f>
        <v>3.2590093457997438</v>
      </c>
      <c r="P16" s="205">
        <f>AVERAGE(P7:P12)</f>
        <v>18.206115663241977</v>
      </c>
      <c r="Q16" s="205">
        <f>AVERAGE(Q7:Q12)</f>
        <v>34.127593878584456</v>
      </c>
    </row>
    <row r="17" spans="2:17" x14ac:dyDescent="0.3">
      <c r="B17" s="204" t="s">
        <v>227</v>
      </c>
      <c r="C17" s="201"/>
      <c r="D17" s="201"/>
      <c r="E17" s="201"/>
      <c r="F17" s="201"/>
      <c r="G17" s="201"/>
      <c r="H17" s="201"/>
      <c r="I17" s="201"/>
      <c r="J17" s="201"/>
      <c r="K17" s="201"/>
      <c r="L17" s="201"/>
      <c r="M17" s="201"/>
      <c r="N17" s="201"/>
      <c r="O17" s="205">
        <f>MEDIAN(O7:O12)</f>
        <v>2.2212047463460007</v>
      </c>
      <c r="P17" s="205">
        <f>MEDIAN(P7:P12)</f>
        <v>16.101703894600501</v>
      </c>
      <c r="Q17" s="205">
        <f>MEDIAN(Q7:Q12)</f>
        <v>29.658299971229084</v>
      </c>
    </row>
    <row r="18" spans="2:17" x14ac:dyDescent="0.3">
      <c r="B18" s="201" t="s">
        <v>263</v>
      </c>
      <c r="C18" s="201"/>
      <c r="D18" s="201"/>
      <c r="E18" s="201"/>
      <c r="F18" s="201"/>
      <c r="G18" s="201"/>
      <c r="H18" s="201"/>
      <c r="I18" s="201"/>
      <c r="J18" s="201"/>
      <c r="K18" s="201"/>
      <c r="L18" s="201"/>
      <c r="M18" s="201"/>
      <c r="N18" s="201"/>
      <c r="O18" s="203">
        <f>QUARTILE(O7:O12,1)</f>
        <v>1.5226308594110152</v>
      </c>
      <c r="P18" s="203">
        <f>QUARTILE(P7:P12,1)</f>
        <v>11.284280332863332</v>
      </c>
      <c r="Q18" s="203">
        <f>QUARTILE(Q7:Q12,1)</f>
        <v>27.420450011801311</v>
      </c>
    </row>
    <row r="19" spans="2:17" x14ac:dyDescent="0.3">
      <c r="B19" s="201" t="s">
        <v>264</v>
      </c>
      <c r="C19" s="201"/>
      <c r="D19" s="201"/>
      <c r="E19" s="201"/>
      <c r="F19" s="201"/>
      <c r="G19" s="201"/>
      <c r="H19" s="201"/>
      <c r="I19" s="201"/>
      <c r="J19" s="201"/>
      <c r="K19" s="201"/>
      <c r="L19" s="201"/>
      <c r="M19" s="201"/>
      <c r="N19" s="201"/>
      <c r="O19" s="203">
        <f>MIN(O7:O12)</f>
        <v>0.8785343288487002</v>
      </c>
      <c r="P19" s="203">
        <f>MIN(P7:P12)</f>
        <v>10.169914319954623</v>
      </c>
      <c r="Q19" s="203">
        <f>MIN(Q7:Q12)</f>
        <v>21.487517343760612</v>
      </c>
    </row>
    <row r="21" spans="2:17" x14ac:dyDescent="0.3">
      <c r="B21" s="184" t="s">
        <v>265</v>
      </c>
      <c r="C21" s="207"/>
      <c r="D21" s="207"/>
      <c r="E21" s="207"/>
      <c r="F21" s="207"/>
      <c r="G21" s="207"/>
      <c r="H21" s="207"/>
      <c r="I21" s="207"/>
      <c r="J21" s="207"/>
      <c r="K21" s="207"/>
      <c r="L21" s="207"/>
      <c r="M21" s="207"/>
      <c r="N21" s="207"/>
      <c r="O21" s="206" t="s">
        <v>240</v>
      </c>
      <c r="P21" s="206" t="s">
        <v>241</v>
      </c>
      <c r="Q21" s="206" t="s">
        <v>242</v>
      </c>
    </row>
    <row r="22" spans="2:17" x14ac:dyDescent="0.3">
      <c r="B22" t="s">
        <v>266</v>
      </c>
      <c r="O22" s="22">
        <f>O16*K6</f>
        <v>931667.21096452035</v>
      </c>
      <c r="P22" s="22">
        <f>P16*L6</f>
        <v>744855.52233850781</v>
      </c>
      <c r="Q22" s="22">
        <f>Q24+Q23</f>
        <v>666788.77865867957</v>
      </c>
    </row>
    <row r="23" spans="2:17" x14ac:dyDescent="0.3">
      <c r="B23" t="s">
        <v>236</v>
      </c>
      <c r="O23" s="165">
        <f>H6</f>
        <v>104648.92</v>
      </c>
      <c r="P23" s="165">
        <f>O23</f>
        <v>104648.92</v>
      </c>
      <c r="Q23" s="165">
        <f>P23</f>
        <v>104648.92</v>
      </c>
    </row>
    <row r="24" spans="2:17" x14ac:dyDescent="0.3">
      <c r="B24" t="s">
        <v>267</v>
      </c>
      <c r="O24" s="22">
        <f>O22-O23</f>
        <v>827018.2909645203</v>
      </c>
      <c r="P24" s="22">
        <f>P22-P23</f>
        <v>640206.60233850777</v>
      </c>
      <c r="Q24" s="22">
        <f>Q17*M6</f>
        <v>562139.85865867953</v>
      </c>
    </row>
    <row r="25" spans="2:17" x14ac:dyDescent="0.3">
      <c r="B25" t="s">
        <v>268</v>
      </c>
      <c r="O25" s="200">
        <f>E6</f>
        <v>137.57632869384315</v>
      </c>
      <c r="P25" s="200">
        <f>O25</f>
        <v>137.57632869384315</v>
      </c>
      <c r="Q25" s="200">
        <f>P25</f>
        <v>137.57632869384315</v>
      </c>
    </row>
    <row r="26" spans="2:17" x14ac:dyDescent="0.3">
      <c r="B26" s="208" t="s">
        <v>269</v>
      </c>
      <c r="C26" s="208"/>
      <c r="D26" s="208"/>
      <c r="E26" s="208"/>
      <c r="F26" s="208"/>
      <c r="G26" s="208"/>
      <c r="H26" s="208"/>
      <c r="I26" s="208"/>
      <c r="J26" s="208"/>
      <c r="K26" s="208"/>
      <c r="L26" s="208"/>
      <c r="M26" s="208"/>
      <c r="N26" s="208"/>
      <c r="O26" s="209">
        <f>O24/O25</f>
        <v>6011.3414772459419</v>
      </c>
      <c r="P26" s="209">
        <f>P24/P25</f>
        <v>4653.4647959911617</v>
      </c>
      <c r="Q26" s="209">
        <f>Q24/Q25</f>
        <v>4086.0216579092107</v>
      </c>
    </row>
  </sheetData>
  <mergeCells count="3">
    <mergeCell ref="C4:I4"/>
    <mergeCell ref="K4:M4"/>
    <mergeCell ref="O4:Q4"/>
  </mergeCells>
  <hyperlinks>
    <hyperlink ref="Q2" location="Comparative!A1" display="Comparative!A1" xr:uid="{B5087840-CF8A-470B-A5C2-C8ECB2DAE3A9}"/>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C189A-A9A1-45D1-8097-C7D1D015FA00}">
  <sheetPr codeName="Sheet9"/>
  <dimension ref="B2:J9"/>
  <sheetViews>
    <sheetView workbookViewId="0">
      <selection activeCell="J3" sqref="J3:J9"/>
    </sheetView>
  </sheetViews>
  <sheetFormatPr defaultRowHeight="14.4" x14ac:dyDescent="0.3"/>
  <cols>
    <col min="2" max="2" width="14.44140625" customWidth="1"/>
    <col min="3" max="3" width="22.109375" customWidth="1"/>
    <col min="4" max="10" width="14.44140625" customWidth="1"/>
  </cols>
  <sheetData>
    <row r="2" spans="2:10" x14ac:dyDescent="0.3">
      <c r="B2" t="s">
        <v>244</v>
      </c>
      <c r="C2" t="s">
        <v>245</v>
      </c>
      <c r="D2" t="s">
        <v>372</v>
      </c>
      <c r="E2" t="s">
        <v>373</v>
      </c>
      <c r="F2" t="s">
        <v>374</v>
      </c>
      <c r="G2" t="s">
        <v>375</v>
      </c>
      <c r="H2" t="s">
        <v>376</v>
      </c>
      <c r="I2" t="s">
        <v>377</v>
      </c>
      <c r="J2" t="s">
        <v>378</v>
      </c>
    </row>
    <row r="3" spans="2:10" x14ac:dyDescent="0.3">
      <c r="B3">
        <v>1</v>
      </c>
      <c r="C3" t="s">
        <v>379</v>
      </c>
      <c r="D3">
        <v>4037.8</v>
      </c>
      <c r="E3">
        <v>125496.59</v>
      </c>
      <c r="F3">
        <v>20847.669999999998</v>
      </c>
      <c r="G3">
        <v>285874.36</v>
      </c>
      <c r="H3">
        <v>40912.379999999997</v>
      </c>
      <c r="I3">
        <v>555505.69999999995</v>
      </c>
      <c r="J3">
        <v>18953.88</v>
      </c>
    </row>
    <row r="4" spans="2:10" x14ac:dyDescent="0.3">
      <c r="B4">
        <v>2</v>
      </c>
      <c r="C4" t="s">
        <v>380</v>
      </c>
      <c r="D4">
        <v>259.75</v>
      </c>
      <c r="E4">
        <v>4818.49</v>
      </c>
      <c r="F4">
        <v>968.25</v>
      </c>
      <c r="G4">
        <v>20412.12</v>
      </c>
      <c r="H4">
        <v>1636.59</v>
      </c>
      <c r="I4">
        <v>54138.52</v>
      </c>
      <c r="J4">
        <v>870.66</v>
      </c>
    </row>
    <row r="5" spans="2:10" x14ac:dyDescent="0.3">
      <c r="B5">
        <v>3</v>
      </c>
      <c r="C5" t="s">
        <v>381</v>
      </c>
      <c r="D5">
        <v>21.66</v>
      </c>
      <c r="E5">
        <v>20027.060000000001</v>
      </c>
      <c r="F5">
        <v>1910.96</v>
      </c>
      <c r="G5">
        <v>7648.15</v>
      </c>
      <c r="H5">
        <v>4187.6499999999996</v>
      </c>
      <c r="I5">
        <v>26124.7</v>
      </c>
      <c r="J5">
        <v>850.36</v>
      </c>
    </row>
    <row r="6" spans="2:10" x14ac:dyDescent="0.3">
      <c r="B6">
        <v>4</v>
      </c>
      <c r="C6" t="s">
        <v>382</v>
      </c>
      <c r="D6">
        <v>95.55</v>
      </c>
      <c r="E6">
        <v>0.26</v>
      </c>
      <c r="F6">
        <v>6515.72</v>
      </c>
      <c r="G6">
        <v>12888.61</v>
      </c>
      <c r="H6">
        <v>924.26</v>
      </c>
      <c r="I6">
        <v>25801.17</v>
      </c>
      <c r="J6">
        <v>742.45</v>
      </c>
    </row>
    <row r="7" spans="2:10" x14ac:dyDescent="0.3">
      <c r="B7">
        <v>5</v>
      </c>
      <c r="C7" t="s">
        <v>383</v>
      </c>
      <c r="D7">
        <v>1297.0999999999999</v>
      </c>
      <c r="E7">
        <v>3542.62</v>
      </c>
      <c r="F7">
        <v>1842.19</v>
      </c>
      <c r="G7">
        <v>27143.06</v>
      </c>
      <c r="H7">
        <v>2344.77</v>
      </c>
      <c r="I7">
        <v>22145.68</v>
      </c>
      <c r="J7">
        <v>1030.6300000000001</v>
      </c>
    </row>
    <row r="8" spans="2:10" x14ac:dyDescent="0.3">
      <c r="B8">
        <v>6</v>
      </c>
      <c r="C8" t="s">
        <v>384</v>
      </c>
      <c r="D8">
        <v>245.61</v>
      </c>
      <c r="E8">
        <v>1.45</v>
      </c>
      <c r="F8">
        <v>1430</v>
      </c>
      <c r="G8">
        <v>2316.5300000000002</v>
      </c>
      <c r="H8">
        <v>858.48</v>
      </c>
      <c r="I8">
        <v>17533.68</v>
      </c>
      <c r="J8">
        <v>613.17999999999995</v>
      </c>
    </row>
    <row r="9" spans="2:10" x14ac:dyDescent="0.3">
      <c r="B9">
        <v>7</v>
      </c>
      <c r="C9" t="s">
        <v>385</v>
      </c>
      <c r="D9">
        <v>943.3</v>
      </c>
      <c r="E9">
        <v>904.91</v>
      </c>
      <c r="F9">
        <v>948.85</v>
      </c>
      <c r="G9">
        <v>10060.58</v>
      </c>
      <c r="H9">
        <v>1198.52</v>
      </c>
      <c r="I9">
        <v>16156.07</v>
      </c>
      <c r="J9">
        <v>597.73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099A0-9B9A-4C9A-969F-B4E33FDFF196}">
  <sheetPr codeName="Sheet10"/>
  <dimension ref="B2:J9"/>
  <sheetViews>
    <sheetView workbookViewId="0">
      <selection activeCell="J3" sqref="J3:J9"/>
    </sheetView>
  </sheetViews>
  <sheetFormatPr defaultRowHeight="14.4" x14ac:dyDescent="0.3"/>
  <cols>
    <col min="3" max="3" width="12.44140625" customWidth="1"/>
    <col min="4" max="10" width="13.77734375" customWidth="1"/>
  </cols>
  <sheetData>
    <row r="2" spans="2:10" ht="28.2" thickBot="1" x14ac:dyDescent="0.35">
      <c r="B2" s="186" t="s">
        <v>244</v>
      </c>
      <c r="C2" s="187" t="s">
        <v>245</v>
      </c>
      <c r="D2" s="188" t="s">
        <v>246</v>
      </c>
      <c r="E2" s="188" t="s">
        <v>247</v>
      </c>
      <c r="F2" s="188" t="s">
        <v>248</v>
      </c>
      <c r="G2" s="188" t="s">
        <v>249</v>
      </c>
      <c r="H2" s="188" t="s">
        <v>250</v>
      </c>
      <c r="I2" s="188" t="s">
        <v>251</v>
      </c>
      <c r="J2" s="188" t="s">
        <v>252</v>
      </c>
    </row>
    <row r="3" spans="2:10" x14ac:dyDescent="0.3">
      <c r="B3" s="189">
        <v>1</v>
      </c>
      <c r="C3" s="190" t="s">
        <v>253</v>
      </c>
      <c r="D3" s="191">
        <v>11574.9</v>
      </c>
      <c r="E3" s="191">
        <v>23755.09</v>
      </c>
      <c r="F3" s="191">
        <v>1384.35</v>
      </c>
      <c r="G3" s="191">
        <v>88511.53</v>
      </c>
      <c r="H3" s="191">
        <v>17581.91</v>
      </c>
      <c r="I3" s="191">
        <v>341088.21</v>
      </c>
      <c r="J3" s="191">
        <v>8188.35</v>
      </c>
    </row>
    <row r="4" spans="2:10" x14ac:dyDescent="0.3">
      <c r="B4" s="192">
        <v>2</v>
      </c>
      <c r="C4" s="193" t="s">
        <v>254</v>
      </c>
      <c r="D4" s="194">
        <v>3147.7</v>
      </c>
      <c r="E4" s="194">
        <v>227853.06</v>
      </c>
      <c r="F4" s="194">
        <v>6188.26</v>
      </c>
      <c r="G4" s="194">
        <v>175430.74</v>
      </c>
      <c r="H4" s="194">
        <v>37665.480000000003</v>
      </c>
      <c r="I4" s="194">
        <v>214208.08</v>
      </c>
      <c r="J4" s="194">
        <v>10300.290000000001</v>
      </c>
    </row>
    <row r="5" spans="2:10" x14ac:dyDescent="0.3">
      <c r="B5" s="195">
        <v>3</v>
      </c>
      <c r="C5" s="190" t="s">
        <v>255</v>
      </c>
      <c r="D5" s="196">
        <v>436.35</v>
      </c>
      <c r="E5" s="196">
        <v>865.93</v>
      </c>
      <c r="F5" s="196">
        <v>958.6</v>
      </c>
      <c r="G5" s="196">
        <v>40655.68</v>
      </c>
      <c r="H5" s="196">
        <v>7393.33</v>
      </c>
      <c r="I5" s="196">
        <v>108425.03</v>
      </c>
      <c r="J5" s="196">
        <v>5637.08</v>
      </c>
    </row>
    <row r="6" spans="2:10" x14ac:dyDescent="0.3">
      <c r="B6" s="192">
        <v>4</v>
      </c>
      <c r="C6" s="193" t="s">
        <v>256</v>
      </c>
      <c r="D6" s="194">
        <v>24751</v>
      </c>
      <c r="E6" s="194">
        <v>1868.14</v>
      </c>
      <c r="F6" s="194">
        <v>341.79</v>
      </c>
      <c r="G6" s="194">
        <v>20943.47</v>
      </c>
      <c r="H6" s="194">
        <v>5298.69</v>
      </c>
      <c r="I6" s="194">
        <v>89303.45</v>
      </c>
      <c r="J6" s="194">
        <v>1748.66</v>
      </c>
    </row>
    <row r="7" spans="2:10" x14ac:dyDescent="0.3">
      <c r="B7" s="195">
        <v>5</v>
      </c>
      <c r="C7" s="190" t="s">
        <v>257</v>
      </c>
      <c r="D7" s="196">
        <v>5553</v>
      </c>
      <c r="E7" s="196">
        <v>6509.83</v>
      </c>
      <c r="F7" s="196">
        <v>1369.67</v>
      </c>
      <c r="G7" s="196">
        <v>11879.15</v>
      </c>
      <c r="H7" s="196">
        <v>2206.87</v>
      </c>
      <c r="I7" s="196">
        <v>42907.06</v>
      </c>
      <c r="J7" s="196">
        <v>872.17</v>
      </c>
    </row>
    <row r="8" spans="2:10" ht="15" thickBot="1" x14ac:dyDescent="0.35">
      <c r="B8" s="192">
        <v>6</v>
      </c>
      <c r="C8" s="193" t="s">
        <v>258</v>
      </c>
      <c r="D8" s="194">
        <v>1789.5</v>
      </c>
      <c r="E8" s="194">
        <v>7406</v>
      </c>
      <c r="F8" s="194">
        <v>224</v>
      </c>
      <c r="G8" s="194">
        <v>14804</v>
      </c>
      <c r="H8" s="194">
        <v>3305</v>
      </c>
      <c r="I8" s="194">
        <v>33564.85</v>
      </c>
      <c r="J8" s="194">
        <v>1157</v>
      </c>
    </row>
    <row r="9" spans="2:10" ht="15" thickBot="1" x14ac:dyDescent="0.35">
      <c r="B9" s="197">
        <v>7</v>
      </c>
      <c r="C9" s="198" t="s">
        <v>259</v>
      </c>
      <c r="D9" s="199">
        <v>1359</v>
      </c>
      <c r="E9" s="199">
        <v>428.61</v>
      </c>
      <c r="F9" s="199">
        <v>557.73</v>
      </c>
      <c r="G9" s="199">
        <v>25961.85</v>
      </c>
      <c r="H9" s="199">
        <v>3358.99</v>
      </c>
      <c r="I9" s="199">
        <v>25520.28</v>
      </c>
      <c r="J9" s="199">
        <v>2137.23</v>
      </c>
    </row>
  </sheetData>
  <hyperlinks>
    <hyperlink ref="C3" r:id="rId1" display="https://www.screener.in/company/ULTRACEMCO/consolidated/" xr:uid="{A19DC685-B078-4EF0-A1C3-9755DC0247C8}"/>
    <hyperlink ref="C4" r:id="rId2" display="https://www.screener.in/company/GRASIM/consolidated/" xr:uid="{116A76D0-7B4E-40FB-9328-6B916BF718FF}"/>
    <hyperlink ref="C5" r:id="rId3" display="https://www.screener.in/company/AMBUJACEM/consolidated/" xr:uid="{9DCEB3F7-AE8F-48FA-8CC8-7B9B41438802}"/>
    <hyperlink ref="C6" r:id="rId4" display="https://www.screener.in/company/SHREECEM/consolidated/" xr:uid="{08A0E1B7-48D1-4A0A-AD3C-944D12530DE1}"/>
    <hyperlink ref="C7" r:id="rId5" display="https://www.screener.in/company/JKCEMENT/consolidated/" xr:uid="{5AF08A63-AD15-4868-BAD5-337B4BFC1FD3}"/>
    <hyperlink ref="C8" r:id="rId6" display="https://www.screener.in/company/DALBHARAT/consolidated/" xr:uid="{A7ECEE5D-74E7-421F-A47C-2E3588A5E32C}"/>
    <hyperlink ref="C9" r:id="rId7" display="https://www.screener.in/company/ACC/consolidated/" xr:uid="{C886DE20-7A28-47D5-8B09-673D1E3A13D4}"/>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B0F6B-FD11-444F-B263-D5DDF60F20F8}">
  <sheetPr codeName="Sheet11"/>
  <dimension ref="A1:O35"/>
  <sheetViews>
    <sheetView showGridLines="0" workbookViewId="0">
      <selection activeCell="H2" sqref="H2"/>
    </sheetView>
  </sheetViews>
  <sheetFormatPr defaultColWidth="0" defaultRowHeight="14.4" x14ac:dyDescent="0.3"/>
  <cols>
    <col min="1" max="1" width="1.88671875" customWidth="1"/>
    <col min="2" max="2" width="27.6640625" customWidth="1"/>
    <col min="3" max="12" width="11.77734375" customWidth="1"/>
    <col min="13" max="13" width="20.44140625" customWidth="1"/>
    <col min="14" max="15" width="13.5546875" customWidth="1"/>
    <col min="16" max="16384" width="8.88671875" hidden="1"/>
  </cols>
  <sheetData>
    <row r="1" spans="2:15" x14ac:dyDescent="0.3">
      <c r="O1" s="210" t="s">
        <v>190</v>
      </c>
    </row>
    <row r="2" spans="2:15" ht="25.8" x14ac:dyDescent="0.5">
      <c r="B2" s="26" t="s">
        <v>185</v>
      </c>
    </row>
    <row r="3" spans="2:15" x14ac:dyDescent="0.3">
      <c r="B3" s="289" t="s">
        <v>185</v>
      </c>
      <c r="C3" s="290" t="s">
        <v>649</v>
      </c>
      <c r="D3" s="290" t="s">
        <v>650</v>
      </c>
      <c r="E3" s="290" t="s">
        <v>651</v>
      </c>
      <c r="F3" s="290" t="s">
        <v>652</v>
      </c>
      <c r="G3" s="290" t="s">
        <v>653</v>
      </c>
      <c r="H3" s="314" t="s">
        <v>654</v>
      </c>
      <c r="I3" s="314" t="s">
        <v>655</v>
      </c>
      <c r="J3" s="314" t="s">
        <v>656</v>
      </c>
      <c r="K3" s="314" t="s">
        <v>657</v>
      </c>
      <c r="L3" s="315" t="s">
        <v>658</v>
      </c>
      <c r="M3" s="177" t="s">
        <v>225</v>
      </c>
      <c r="N3" s="177" t="s">
        <v>226</v>
      </c>
      <c r="O3" s="177" t="s">
        <v>227</v>
      </c>
    </row>
    <row r="4" spans="2:15" x14ac:dyDescent="0.3">
      <c r="B4" s="316" t="s">
        <v>199</v>
      </c>
      <c r="C4" s="317" t="s">
        <v>88</v>
      </c>
      <c r="D4" s="318">
        <f>'P&amp;L'!D5/'P&amp;L'!C5-1</f>
        <v>0.17307042313127452</v>
      </c>
      <c r="E4" s="318">
        <f>'P&amp;L'!E5/'P&amp;L'!D5-1</f>
        <v>0.20937938057292893</v>
      </c>
      <c r="F4" s="318">
        <f>'P&amp;L'!F5/'P&amp;L'!E5-1</f>
        <v>0.15354102042633633</v>
      </c>
      <c r="G4" s="318">
        <f>'P&amp;L'!G5/'P&amp;L'!F5-1</f>
        <v>0.12228068677326775</v>
      </c>
      <c r="H4" s="319">
        <f>'P&amp;L'!H5/'P&amp;L'!G5-1</f>
        <v>0.15184100337921125</v>
      </c>
      <c r="I4" s="320">
        <f>'P&amp;L'!I5/'P&amp;L'!H5-1</f>
        <v>0.15184100337921125</v>
      </c>
      <c r="J4" s="320">
        <f>'P&amp;L'!J5/'P&amp;L'!I5-1</f>
        <v>0.14184100337921124</v>
      </c>
      <c r="K4" s="320">
        <f>'P&amp;L'!K5/'P&amp;L'!J5-1</f>
        <v>0.13184100337921123</v>
      </c>
      <c r="L4" s="321">
        <f>'P&amp;L'!L5/'P&amp;L'!K5-1</f>
        <v>0.12184100337921122</v>
      </c>
      <c r="N4" s="179">
        <f>AVERAGE(C4:L4)</f>
        <v>0.15083072531109598</v>
      </c>
      <c r="O4" s="179">
        <f>MEDIAN(C4:L4)</f>
        <v>0.15184100337921125</v>
      </c>
    </row>
    <row r="5" spans="2:15" x14ac:dyDescent="0.3">
      <c r="B5" s="322" t="s">
        <v>200</v>
      </c>
      <c r="C5" s="317" t="s">
        <v>88</v>
      </c>
      <c r="D5" s="318">
        <f>'P&amp;L'!D10/'P&amp;L'!C10-1</f>
        <v>0.15728493472961547</v>
      </c>
      <c r="E5" s="318">
        <f>'P&amp;L'!E10/'P&amp;L'!D10-1</f>
        <v>0.16486596099492723</v>
      </c>
      <c r="F5" s="318">
        <f>'P&amp;L'!F10/'P&amp;L'!E10-1</f>
        <v>0.11854444484090787</v>
      </c>
      <c r="G5" s="318">
        <f>'P&amp;L'!G10/'P&amp;L'!F10-1</f>
        <v>6.9440497204064311E-2</v>
      </c>
      <c r="H5" s="319">
        <f>'P&amp;L'!H10/'P&amp;L'!G10-1</f>
        <v>7.6568275258115381E-2</v>
      </c>
      <c r="I5" s="320">
        <f>'P&amp;L'!I10/'P&amp;L'!H10-1</f>
        <v>0.2049086243215581</v>
      </c>
      <c r="J5" s="320">
        <f>'P&amp;L'!J10/'P&amp;L'!I10-1</f>
        <v>0.17595290909784178</v>
      </c>
      <c r="K5" s="320">
        <f>'P&amp;L'!K10/'P&amp;L'!J10-1</f>
        <v>0.14985369687444061</v>
      </c>
      <c r="L5" s="321">
        <f>'P&amp;L'!L10/'P&amp;L'!K10-1</f>
        <v>0.12530127725294626</v>
      </c>
      <c r="N5" s="179">
        <f t="shared" ref="N5:N35" si="0">AVERAGE(C5:L5)</f>
        <v>0.13808006895271299</v>
      </c>
      <c r="O5" s="179">
        <f t="shared" ref="O5:O35" si="1">MEDIAN(C5:L5)</f>
        <v>0.14985369687444061</v>
      </c>
    </row>
    <row r="6" spans="2:15" x14ac:dyDescent="0.3">
      <c r="B6" s="323" t="s">
        <v>201</v>
      </c>
      <c r="C6" s="317" t="s">
        <v>88</v>
      </c>
      <c r="D6" s="318">
        <f>'P&amp;L'!D12/'P&amp;L'!C12-1</f>
        <v>0.15214513853287071</v>
      </c>
      <c r="E6" s="318">
        <f>'P&amp;L'!E12/'P&amp;L'!D12-1</f>
        <v>0.1844228666890797</v>
      </c>
      <c r="F6" s="318">
        <f>'P&amp;L'!F12/'P&amp;L'!E12-1</f>
        <v>0.1184476057808348</v>
      </c>
      <c r="G6" s="318">
        <f>'P&amp;L'!G12/'P&amp;L'!F12-1</f>
        <v>7.102361818530345E-2</v>
      </c>
      <c r="H6" s="319">
        <f>'P&amp;L'!H12/'P&amp;L'!G12-1</f>
        <v>6.0986600130079616E-2</v>
      </c>
      <c r="I6" s="320">
        <f>'P&amp;L'!I12/'P&amp;L'!H12-1</f>
        <v>0.22359396596198522</v>
      </c>
      <c r="J6" s="320">
        <f>'P&amp;L'!J12/'P&amp;L'!I12-1</f>
        <v>0.18804398566303604</v>
      </c>
      <c r="K6" s="320">
        <f>'P&amp;L'!K12/'P&amp;L'!J12-1</f>
        <v>0.14896907652133029</v>
      </c>
      <c r="L6" s="321">
        <f>'P&amp;L'!L12/'P&amp;L'!K12-1</f>
        <v>0.1225036496152927</v>
      </c>
      <c r="N6" s="179">
        <f t="shared" si="0"/>
        <v>0.14112627856442361</v>
      </c>
      <c r="O6" s="179">
        <f t="shared" si="1"/>
        <v>0.14896907652133029</v>
      </c>
    </row>
    <row r="7" spans="2:15" x14ac:dyDescent="0.3">
      <c r="B7" s="322" t="s">
        <v>202</v>
      </c>
      <c r="C7" s="317" t="s">
        <v>88</v>
      </c>
      <c r="D7" s="318">
        <f>'P&amp;L'!D16/'P&amp;L'!C16-1</f>
        <v>0.22678152375121918</v>
      </c>
      <c r="E7" s="318">
        <f>'P&amp;L'!E16/'P&amp;L'!D16-1</f>
        <v>0.23325784740753885</v>
      </c>
      <c r="F7" s="318">
        <f>'P&amp;L'!F16/'P&amp;L'!E16-1</f>
        <v>0.13601207985756947</v>
      </c>
      <c r="G7" s="318">
        <f>'P&amp;L'!G16/'P&amp;L'!F16-1</f>
        <v>8.3223697786953155E-2</v>
      </c>
      <c r="H7" s="319">
        <f>'P&amp;L'!H16/'P&amp;L'!G16-1</f>
        <v>3.9567632418423981E-2</v>
      </c>
      <c r="I7" s="320">
        <f>'P&amp;L'!I16/'P&amp;L'!H16-1</f>
        <v>0.24977020055881316</v>
      </c>
      <c r="J7" s="320">
        <f>'P&amp;L'!J16/'P&amp;L'!I16-1</f>
        <v>0.205204361803907</v>
      </c>
      <c r="K7" s="320">
        <f>'P&amp;L'!K16/'P&amp;L'!J16-1</f>
        <v>0.16063087013166921</v>
      </c>
      <c r="L7" s="321">
        <f>'P&amp;L'!L16/'P&amp;L'!K16-1</f>
        <v>0.13278895219690412</v>
      </c>
      <c r="N7" s="179">
        <f t="shared" si="0"/>
        <v>0.16302635176811089</v>
      </c>
      <c r="O7" s="179">
        <f t="shared" si="1"/>
        <v>0.16063087013166921</v>
      </c>
    </row>
    <row r="8" spans="2:15" x14ac:dyDescent="0.3">
      <c r="B8" s="324"/>
      <c r="C8" s="325"/>
      <c r="D8" s="325"/>
      <c r="E8" s="325"/>
      <c r="F8" s="325"/>
      <c r="G8" s="325"/>
      <c r="H8" s="326"/>
      <c r="I8" s="327"/>
      <c r="J8" s="327"/>
      <c r="K8" s="327"/>
      <c r="L8" s="328"/>
      <c r="N8" s="179"/>
      <c r="O8" s="179"/>
    </row>
    <row r="9" spans="2:15" x14ac:dyDescent="0.3">
      <c r="B9" s="329" t="s">
        <v>203</v>
      </c>
      <c r="C9" s="330">
        <f>'P&amp;L'!C7/'P&amp;L'!C5</f>
        <v>0.37187750156167038</v>
      </c>
      <c r="D9" s="330">
        <f>'P&amp;L'!D7/'P&amp;L'!D5</f>
        <v>0.3739445354205701</v>
      </c>
      <c r="E9" s="330">
        <f>'P&amp;L'!E7/'P&amp;L'!E5</f>
        <v>0.35176361407290258</v>
      </c>
      <c r="F9" s="330">
        <f>'P&amp;L'!F7/'P&amp;L'!F5</f>
        <v>0.34205579812488507</v>
      </c>
      <c r="G9" s="330">
        <f>'P&amp;L'!G7/'P&amp;L'!G5</f>
        <v>0.88913904172831904</v>
      </c>
      <c r="H9" s="331">
        <f>'P&amp;L'!H7/'P&amp;L'!H5</f>
        <v>0.41575609818166948</v>
      </c>
      <c r="I9" s="332">
        <f>'P&amp;L'!I7/'P&amp;L'!I5</f>
        <v>0.41575609818166948</v>
      </c>
      <c r="J9" s="332">
        <f>'P&amp;L'!J7/'P&amp;L'!J5</f>
        <v>0.41575609818166948</v>
      </c>
      <c r="K9" s="332">
        <f>'P&amp;L'!K7/'P&amp;L'!K5</f>
        <v>0.41575609818166953</v>
      </c>
      <c r="L9" s="333">
        <f>'P&amp;L'!L7/'P&amp;L'!L5</f>
        <v>0.41575609818166948</v>
      </c>
      <c r="N9" s="179">
        <f t="shared" si="0"/>
        <v>0.4407560981816695</v>
      </c>
      <c r="O9" s="179">
        <f t="shared" si="1"/>
        <v>0.41575609818166948</v>
      </c>
    </row>
    <row r="10" spans="2:15" x14ac:dyDescent="0.3">
      <c r="B10" s="323" t="s">
        <v>204</v>
      </c>
      <c r="C10" s="318">
        <f>'P&amp;L'!C10/'P&amp;L'!C5</f>
        <v>0.1296147682408107</v>
      </c>
      <c r="D10" s="318">
        <f>'P&amp;L'!D10/'P&amp;L'!D5</f>
        <v>0.12787059979158191</v>
      </c>
      <c r="E10" s="318">
        <f>'P&amp;L'!E10/'P&amp;L'!E5</f>
        <v>0.123164088541558</v>
      </c>
      <c r="F10" s="318">
        <f>'P&amp;L'!F10/'P&amp;L'!F5</f>
        <v>0.11942748857872185</v>
      </c>
      <c r="G10" s="318">
        <f>'P&amp;L'!G10/'P&amp;L'!G5</f>
        <v>0.11380450030970207</v>
      </c>
      <c r="H10" s="319">
        <f>'P&amp;L'!H10/'P&amp;L'!H5</f>
        <v>0.10636738426188141</v>
      </c>
      <c r="I10" s="320">
        <f>'P&amp;L'!I10/'P&amp;L'!I5</f>
        <v>0.1112679425959557</v>
      </c>
      <c r="J10" s="320">
        <f>'P&amp;L'!J10/'P&amp;L'!J5</f>
        <v>0.11459201447295651</v>
      </c>
      <c r="K10" s="320">
        <f>'P&amp;L'!K10/'P&amp;L'!K5</f>
        <v>0.11641569008423024</v>
      </c>
      <c r="L10" s="321">
        <f>'P&amp;L'!L10/'P&amp;L'!L5</f>
        <v>0.11677476964156314</v>
      </c>
      <c r="N10" s="179">
        <f t="shared" si="0"/>
        <v>0.11792992465189615</v>
      </c>
      <c r="O10" s="179">
        <f t="shared" si="1"/>
        <v>0.11659522986289669</v>
      </c>
    </row>
    <row r="11" spans="2:15" x14ac:dyDescent="0.3">
      <c r="B11" s="322" t="s">
        <v>205</v>
      </c>
      <c r="C11" s="318">
        <f>'P&amp;L'!C12/'P&amp;L'!C5</f>
        <v>0.11104948468813608</v>
      </c>
      <c r="D11" s="318">
        <f>'P&amp;L'!D12/'P&amp;L'!D5</f>
        <v>0.10906857883134824</v>
      </c>
      <c r="E11" s="318">
        <f>'P&amp;L'!E12/'P&amp;L'!E5</f>
        <v>0.10681786119416911</v>
      </c>
      <c r="F11" s="318">
        <f>'P&amp;L'!F12/'P&amp;L'!F5</f>
        <v>0.10356821213266702</v>
      </c>
      <c r="G11" s="318">
        <f>'P&amp;L'!G12/'P&amp;L'!G5</f>
        <v>9.883802028727405E-2</v>
      </c>
      <c r="H11" s="319">
        <f>'P&amp;L'!H12/'P&amp;L'!H5</f>
        <v>9.1041918806964536E-2</v>
      </c>
      <c r="I11" s="320">
        <f>'P&amp;L'!I12/'P&amp;L'!I5</f>
        <v>9.6713298254696711E-2</v>
      </c>
      <c r="J11" s="320">
        <f>'P&amp;L'!J12/'P&amp;L'!J5</f>
        <v>0.10062666517062277</v>
      </c>
      <c r="K11" s="320">
        <f>'P&amp;L'!K12/'P&amp;L'!K5</f>
        <v>0.10214944167009944</v>
      </c>
      <c r="L11" s="321">
        <f>'P&amp;L'!L12/'P&amp;L'!L5</f>
        <v>0.10220977904664087</v>
      </c>
      <c r="N11" s="179">
        <f t="shared" si="0"/>
        <v>0.10220832600826188</v>
      </c>
      <c r="O11" s="179">
        <f t="shared" si="1"/>
        <v>0.10217961035837016</v>
      </c>
    </row>
    <row r="12" spans="2:15" x14ac:dyDescent="0.3">
      <c r="B12" s="323" t="s">
        <v>206</v>
      </c>
      <c r="C12" s="318">
        <f>'P&amp;L'!C14/'P&amp;L'!C5</f>
        <v>9.1364786236467932E-2</v>
      </c>
      <c r="D12" s="318">
        <f>'P&amp;L'!D14/'P&amp;L'!D5</f>
        <v>9.1850764699626344E-2</v>
      </c>
      <c r="E12" s="318">
        <f>'P&amp;L'!E14/'P&amp;L'!E5</f>
        <v>9.1077482075584179E-2</v>
      </c>
      <c r="F12" s="318">
        <f>'P&amp;L'!F14/'P&amp;L'!F5</f>
        <v>9.0736766866157975E-2</v>
      </c>
      <c r="G12" s="318">
        <f>'P&amp;L'!G14/'P&amp;L'!G5</f>
        <v>8.9069578196090488E-2</v>
      </c>
      <c r="H12" s="319">
        <f>'P&amp;L'!H14/'P&amp;L'!H5</f>
        <v>8.1223098980142114E-2</v>
      </c>
      <c r="I12" s="320">
        <f>'P&amp;L'!I14/'P&amp;L'!I5</f>
        <v>8.8128663942866392E-2</v>
      </c>
      <c r="J12" s="320">
        <f>'P&amp;L'!J14/'P&amp;L'!J5</f>
        <v>9.3019124264728636E-2</v>
      </c>
      <c r="K12" s="320">
        <f>'P&amp;L'!K14/'P&amp;L'!K5</f>
        <v>9.5385188212771199E-2</v>
      </c>
      <c r="L12" s="321">
        <f>'P&amp;L'!L14/'P&amp;L'!L5</f>
        <v>9.6316043971629961E-2</v>
      </c>
      <c r="N12" s="179">
        <f t="shared" si="0"/>
        <v>9.0817149744606529E-2</v>
      </c>
      <c r="O12" s="179">
        <f t="shared" si="1"/>
        <v>9.1221134156026062E-2</v>
      </c>
    </row>
    <row r="13" spans="2:15" x14ac:dyDescent="0.3">
      <c r="B13" s="322" t="s">
        <v>207</v>
      </c>
      <c r="C13" s="318">
        <f>'P&amp;L'!C16/'P&amp;L'!C5</f>
        <v>6.480987170906978E-2</v>
      </c>
      <c r="D13" s="318">
        <f>'P&amp;L'!D16/'P&amp;L'!D5</f>
        <v>6.7777306120415437E-2</v>
      </c>
      <c r="E13" s="318">
        <f>'P&amp;L'!E16/'P&amp;L'!E5</f>
        <v>6.911552817243094E-2</v>
      </c>
      <c r="F13" s="318">
        <f>'P&amp;L'!F16/'P&amp;L'!F5</f>
        <v>6.8065264710394979E-2</v>
      </c>
      <c r="G13" s="318">
        <f>'P&amp;L'!G16/'P&amp;L'!G5</f>
        <v>6.569649518110024E-2</v>
      </c>
      <c r="H13" s="319">
        <f>'P&amp;L'!H16/'P&amp;L'!H5</f>
        <v>5.9292862255503738E-2</v>
      </c>
      <c r="I13" s="320">
        <f>'P&amp;L'!I16/'P&amp;L'!I5</f>
        <v>6.4333924678292465E-2</v>
      </c>
      <c r="J13" s="320">
        <f>'P&amp;L'!J16/'P&amp;L'!J5</f>
        <v>6.7903960713251901E-2</v>
      </c>
      <c r="K13" s="320">
        <f>'P&amp;L'!K16/'P&amp;L'!K5</f>
        <v>6.9631187395322966E-2</v>
      </c>
      <c r="L13" s="321">
        <f>'P&amp;L'!L16/'P&amp;L'!L5</f>
        <v>7.0310712099289865E-2</v>
      </c>
      <c r="N13" s="179">
        <f t="shared" si="0"/>
        <v>6.6693711303507236E-2</v>
      </c>
      <c r="O13" s="179">
        <f t="shared" si="1"/>
        <v>6.7840633416833662E-2</v>
      </c>
    </row>
    <row r="14" spans="2:15" x14ac:dyDescent="0.3">
      <c r="B14" s="324"/>
      <c r="C14" s="325"/>
      <c r="D14" s="325"/>
      <c r="E14" s="325"/>
      <c r="F14" s="325"/>
      <c r="G14" s="325"/>
      <c r="H14" s="326"/>
      <c r="I14" s="327"/>
      <c r="J14" s="327"/>
      <c r="K14" s="327"/>
      <c r="L14" s="328"/>
      <c r="N14" s="179"/>
      <c r="O14" s="179"/>
    </row>
    <row r="15" spans="2:15" x14ac:dyDescent="0.3">
      <c r="B15" s="329" t="s">
        <v>208</v>
      </c>
      <c r="C15" s="330">
        <f>'P&amp;L'!C16/'Balance Sheet'!C20</f>
        <v>6.1073654314944596E-2</v>
      </c>
      <c r="D15" s="330">
        <f>'P&amp;L'!D16/'Balance Sheet'!D20</f>
        <v>7.3219703303167585E-2</v>
      </c>
      <c r="E15" s="330">
        <f>'P&amp;L'!E16/'Balance Sheet'!E20</f>
        <v>8.8826341038011236E-2</v>
      </c>
      <c r="F15" s="330">
        <f>'P&amp;L'!F16/'Balance Sheet'!F20</f>
        <v>9.4881108872692757E-2</v>
      </c>
      <c r="G15" s="330">
        <f>'P&amp;L'!G16/'Balance Sheet'!G20</f>
        <v>9.2051321275705866E-2</v>
      </c>
      <c r="H15" s="331">
        <f>'P&amp;L'!H16/'Balance Sheet'!H20</f>
        <v>8.8348952896149829E-2</v>
      </c>
      <c r="I15" s="332">
        <f>'P&amp;L'!I16/'Balance Sheet'!I20</f>
        <v>9.7572862841249358E-2</v>
      </c>
      <c r="J15" s="332">
        <f>'P&amp;L'!J16/'Balance Sheet'!J20</f>
        <v>0.10338353869816241</v>
      </c>
      <c r="K15" s="332">
        <f>'P&amp;L'!K16/'Balance Sheet'!K20</f>
        <v>0.10567172624586431</v>
      </c>
      <c r="L15" s="333">
        <f>'P&amp;L'!L16/'Balance Sheet'!L20</f>
        <v>0.10595664197177874</v>
      </c>
      <c r="N15" s="179">
        <f t="shared" si="0"/>
        <v>9.1098585145772668E-2</v>
      </c>
      <c r="O15" s="179">
        <f t="shared" si="1"/>
        <v>9.3466215074199305E-2</v>
      </c>
    </row>
    <row r="16" spans="2:15" x14ac:dyDescent="0.3">
      <c r="B16" s="323" t="s">
        <v>209</v>
      </c>
      <c r="C16" s="318">
        <f>'P&amp;L'!C16/'Balance Sheet'!C37</f>
        <v>0.1533367454355683</v>
      </c>
      <c r="D16" s="318">
        <f>'P&amp;L'!D16/'Balance Sheet'!D37</f>
        <v>0.17650261191604105</v>
      </c>
      <c r="E16" s="318">
        <f>'P&amp;L'!E16/'Balance Sheet'!E37</f>
        <v>0.24170563729158143</v>
      </c>
      <c r="F16" s="318">
        <f>'P&amp;L'!F16/'Balance Sheet'!F37</f>
        <v>0.24601409483497239</v>
      </c>
      <c r="G16" s="318">
        <f>'P&amp;L'!G16/'Balance Sheet'!G37</f>
        <v>0.2570596340676396</v>
      </c>
      <c r="H16" s="319">
        <f>'P&amp;L'!H16/'Balance Sheet'!H37</f>
        <v>0.22020808831655525</v>
      </c>
      <c r="I16" s="320">
        <f>'P&amp;L'!I16/'Balance Sheet'!I37</f>
        <v>0.22559755762239633</v>
      </c>
      <c r="J16" s="320">
        <f>'P&amp;L'!J16/'Balance Sheet'!J37</f>
        <v>0.22336291213143883</v>
      </c>
      <c r="K16" s="320">
        <f>'P&amp;L'!K16/'Balance Sheet'!K37</f>
        <v>0.2147545865579594</v>
      </c>
      <c r="L16" s="321">
        <f>'P&amp;L'!L16/'Balance Sheet'!L37</f>
        <v>0.20367809206190007</v>
      </c>
      <c r="N16" s="179">
        <f t="shared" si="0"/>
        <v>0.21622199602360523</v>
      </c>
      <c r="O16" s="179">
        <f t="shared" si="1"/>
        <v>0.22178550022399704</v>
      </c>
    </row>
    <row r="17" spans="2:15" x14ac:dyDescent="0.3">
      <c r="B17" s="322" t="s">
        <v>210</v>
      </c>
      <c r="C17" s="318">
        <f>'P&amp;L'!C12/('Balance Sheet'!C37+'Balance Sheet'!C28)</f>
        <v>0.22019003911717999</v>
      </c>
      <c r="D17" s="318">
        <f>'P&amp;L'!D12/('Balance Sheet'!D37+'Balance Sheet'!D28)</f>
        <v>0.25106884926617778</v>
      </c>
      <c r="E17" s="318">
        <f>'P&amp;L'!E12/('Balance Sheet'!E37+'Balance Sheet'!E28)</f>
        <v>0.31517811135918838</v>
      </c>
      <c r="F17" s="318">
        <f>'P&amp;L'!F12/('Balance Sheet'!F37+'Balance Sheet'!F28)</f>
        <v>0.33151699936833162</v>
      </c>
      <c r="G17" s="318">
        <f>'P&amp;L'!G12/('Balance Sheet'!G37+'Balance Sheet'!G28)</f>
        <v>0.34184576788321014</v>
      </c>
      <c r="H17" s="319">
        <f>'P&amp;L'!H12/('Balance Sheet'!H37+'Balance Sheet'!H28)</f>
        <v>0.30344812664268589</v>
      </c>
      <c r="I17" s="320">
        <f>'P&amp;L'!I12/('Balance Sheet'!I37+'Balance Sheet'!I28)</f>
        <v>0.3114693486854313</v>
      </c>
      <c r="J17" s="320">
        <f>'P&amp;L'!J12/('Balance Sheet'!J37+'Balance Sheet'!J28)</f>
        <v>0.30811734479688058</v>
      </c>
      <c r="K17" s="320">
        <f>'P&amp;L'!K12/('Balance Sheet'!K37+'Balance Sheet'!K28)</f>
        <v>0.29667931516911034</v>
      </c>
      <c r="L17" s="321">
        <f>'P&amp;L'!L12/('Balance Sheet'!L37+'Balance Sheet'!L28)</f>
        <v>0.28163053041890668</v>
      </c>
      <c r="N17" s="179">
        <f t="shared" si="0"/>
        <v>0.29611444327071029</v>
      </c>
      <c r="O17" s="179">
        <f t="shared" si="1"/>
        <v>0.30578273571978321</v>
      </c>
    </row>
    <row r="18" spans="2:15" x14ac:dyDescent="0.3">
      <c r="B18" s="324"/>
      <c r="C18" s="325"/>
      <c r="D18" s="325"/>
      <c r="E18" s="325"/>
      <c r="F18" s="325"/>
      <c r="G18" s="325"/>
      <c r="H18" s="326"/>
      <c r="I18" s="327"/>
      <c r="J18" s="327"/>
      <c r="K18" s="327"/>
      <c r="L18" s="328"/>
      <c r="N18" s="179"/>
      <c r="O18" s="179"/>
    </row>
    <row r="19" spans="2:15" x14ac:dyDescent="0.3">
      <c r="B19" s="329" t="s">
        <v>211</v>
      </c>
      <c r="C19" s="334">
        <f>'Balance Sheet'!C28/'Balance Sheet'!C37</f>
        <v>0.19322943556528027</v>
      </c>
      <c r="D19" s="334">
        <f>'Balance Sheet'!D28/'Balance Sheet'!D37</f>
        <v>0.13128923728416655</v>
      </c>
      <c r="E19" s="334">
        <f>'Balance Sheet'!E28/'Balance Sheet'!E37</f>
        <v>0.18522001662939849</v>
      </c>
      <c r="F19" s="334">
        <f>'Balance Sheet'!F28/'Balance Sheet'!F37</f>
        <v>0.12915907234688406</v>
      </c>
      <c r="G19" s="334">
        <f>'Balance Sheet'!G28/'Balance Sheet'!G37</f>
        <v>0.13132012842650695</v>
      </c>
      <c r="H19" s="335">
        <f>'Balance Sheet'!H28/'Balance Sheet'!H37</f>
        <v>0.11426321322013659</v>
      </c>
      <c r="I19" s="336">
        <f>'Balance Sheet'!I28/'Balance Sheet'!I37</f>
        <v>8.884290872898587E-2</v>
      </c>
      <c r="J19" s="336">
        <f>'Balance Sheet'!J28/'Balance Sheet'!J37</f>
        <v>7.4268620234480304E-2</v>
      </c>
      <c r="K19" s="336">
        <f>'Balance Sheet'!K28/'Balance Sheet'!K37</f>
        <v>6.1909182339868758E-2</v>
      </c>
      <c r="L19" s="337">
        <f>'Balance Sheet'!L28/'Balance Sheet'!L37</f>
        <v>5.1321480561634672E-2</v>
      </c>
      <c r="N19" s="180">
        <f t="shared" si="0"/>
        <v>0.11608232953373424</v>
      </c>
      <c r="O19" s="180">
        <f t="shared" si="1"/>
        <v>0.12171114278351033</v>
      </c>
    </row>
    <row r="20" spans="2:15" x14ac:dyDescent="0.3">
      <c r="B20" s="323" t="s">
        <v>212</v>
      </c>
      <c r="C20" s="338">
        <f>'P&amp;L'!C12/'P&amp;L'!C13</f>
        <v>5.6414115238186664</v>
      </c>
      <c r="D20" s="338">
        <f>'P&amp;L'!D12/'P&amp;L'!D13</f>
        <v>6.3346356277828324</v>
      </c>
      <c r="E20" s="338">
        <f>'P&amp;L'!E12/'P&amp;L'!E13</f>
        <v>6.7862317920949842</v>
      </c>
      <c r="F20" s="338">
        <f>'P&amp;L'!F12/'P&amp;L'!F13</f>
        <v>8.0714377828495323</v>
      </c>
      <c r="G20" s="338">
        <f>'P&amp;L'!G12/'P&amp;L'!G13</f>
        <v>10.118094509305598</v>
      </c>
      <c r="H20" s="339">
        <f>'P&amp;L'!H12/'P&amp;L'!H13</f>
        <v>9.2721854981249461</v>
      </c>
      <c r="I20" s="340">
        <f>'P&amp;L'!I12/'P&amp;L'!I13</f>
        <v>11.265861158630614</v>
      </c>
      <c r="J20" s="340">
        <f>'P&amp;L'!J12/'P&amp;L'!J13</f>
        <v>13.227226302872683</v>
      </c>
      <c r="K20" s="340">
        <f>'P&amp;L'!K12/'P&amp;L'!K13</f>
        <v>15.101362229328201</v>
      </c>
      <c r="L20" s="341">
        <f>'P&amp;L'!L12/'P&amp;L'!L13</f>
        <v>17.34210610857011</v>
      </c>
      <c r="N20" s="180">
        <f t="shared" si="0"/>
        <v>10.316055253337817</v>
      </c>
      <c r="O20" s="180">
        <f t="shared" si="1"/>
        <v>9.695140003715272</v>
      </c>
    </row>
    <row r="21" spans="2:15" x14ac:dyDescent="0.3">
      <c r="B21" s="329"/>
      <c r="C21" s="334"/>
      <c r="D21" s="334"/>
      <c r="E21" s="334"/>
      <c r="F21" s="334"/>
      <c r="G21" s="334"/>
      <c r="H21" s="335"/>
      <c r="I21" s="336"/>
      <c r="J21" s="336"/>
      <c r="K21" s="336"/>
      <c r="L21" s="337"/>
      <c r="N21" s="180"/>
      <c r="O21" s="180"/>
    </row>
    <row r="22" spans="2:15" x14ac:dyDescent="0.3">
      <c r="B22" s="324" t="s">
        <v>213</v>
      </c>
      <c r="C22" s="334">
        <f>'Balance Sheet'!C11/'Balance Sheet'!C26</f>
        <v>1.3934152267485602</v>
      </c>
      <c r="D22" s="334">
        <f>'Balance Sheet'!D11/'Balance Sheet'!D26</f>
        <v>1.3730570959285424</v>
      </c>
      <c r="E22" s="334">
        <f>'Balance Sheet'!E11/'Balance Sheet'!E26</f>
        <v>1.2717841656971212</v>
      </c>
      <c r="F22" s="334">
        <f>'Balance Sheet'!F11/'Balance Sheet'!F26</f>
        <v>1.2734007972024723</v>
      </c>
      <c r="G22" s="334">
        <f>'Balance Sheet'!G11/'Balance Sheet'!G26</f>
        <v>1.3066202907683195</v>
      </c>
      <c r="H22" s="335">
        <f>'Balance Sheet'!H11/'Balance Sheet'!H26</f>
        <v>1.4208265150132506</v>
      </c>
      <c r="I22" s="336">
        <f>'Balance Sheet'!I11/'Balance Sheet'!I26</f>
        <v>1.515769968106514</v>
      </c>
      <c r="J22" s="336">
        <f>'Balance Sheet'!J11/'Balance Sheet'!J26</f>
        <v>1.6147584888257851</v>
      </c>
      <c r="K22" s="336">
        <f>'Balance Sheet'!K11/'Balance Sheet'!K26</f>
        <v>1.6930475805286447</v>
      </c>
      <c r="L22" s="337">
        <f>'Balance Sheet'!L11/'Balance Sheet'!L26</f>
        <v>1.7329266175425355</v>
      </c>
      <c r="N22" s="180">
        <f t="shared" si="0"/>
        <v>1.4595606746361747</v>
      </c>
      <c r="O22" s="180">
        <f t="shared" si="1"/>
        <v>1.4071208708809055</v>
      </c>
    </row>
    <row r="23" spans="2:15" x14ac:dyDescent="0.3">
      <c r="B23" s="322" t="s">
        <v>214</v>
      </c>
      <c r="C23" s="338">
        <f>('Balance Sheet'!C11-'Balance Sheet'!C6)/'Balance Sheet'!C26</f>
        <v>1.3576427002352929</v>
      </c>
      <c r="D23" s="338">
        <f>('Balance Sheet'!D11-'Balance Sheet'!D6)/'Balance Sheet'!D26</f>
        <v>1.3352573020074059</v>
      </c>
      <c r="E23" s="338">
        <f>('Balance Sheet'!E11-'Balance Sheet'!E6)/'Balance Sheet'!E26</f>
        <v>1.2358658145889321</v>
      </c>
      <c r="F23" s="338">
        <f>('Balance Sheet'!F11-'Balance Sheet'!F6)/'Balance Sheet'!F26</f>
        <v>1.2407545510448372</v>
      </c>
      <c r="G23" s="338">
        <f>('Balance Sheet'!G11-'Balance Sheet'!G6)/'Balance Sheet'!G26</f>
        <v>1.2764621207707683</v>
      </c>
      <c r="H23" s="339">
        <f>('Balance Sheet'!H11-'Balance Sheet'!H6)/'Balance Sheet'!H26</f>
        <v>1.3790992239259396</v>
      </c>
      <c r="I23" s="340">
        <f>('Balance Sheet'!I11-'Balance Sheet'!I6)/'Balance Sheet'!I26</f>
        <v>1.4714192554334287</v>
      </c>
      <c r="J23" s="340">
        <f>('Balance Sheet'!J11-'Balance Sheet'!J6)/'Balance Sheet'!J26</f>
        <v>1.5679466361036765</v>
      </c>
      <c r="K23" s="340">
        <f>('Balance Sheet'!K11-'Balance Sheet'!K6)/'Balance Sheet'!K26</f>
        <v>1.6439499128732833</v>
      </c>
      <c r="L23" s="341">
        <f>('Balance Sheet'!L11-'Balance Sheet'!L6)/'Balance Sheet'!L26</f>
        <v>1.6815791940572269</v>
      </c>
      <c r="N23" s="180">
        <f t="shared" si="0"/>
        <v>1.4189976711040793</v>
      </c>
      <c r="O23" s="180">
        <f t="shared" si="1"/>
        <v>1.3683709620806161</v>
      </c>
    </row>
    <row r="24" spans="2:15" x14ac:dyDescent="0.3">
      <c r="B24" s="323" t="s">
        <v>215</v>
      </c>
      <c r="C24" s="342">
        <f>'Balance Sheet'!C8/'Balance Sheet'!C26</f>
        <v>7.4211453841083477E-2</v>
      </c>
      <c r="D24" s="342">
        <f>'Balance Sheet'!D8/'Balance Sheet'!D26</f>
        <v>5.0380174269600814E-2</v>
      </c>
      <c r="E24" s="342">
        <f>'Balance Sheet'!E8/'Balance Sheet'!E26</f>
        <v>4.8651775198784407E-2</v>
      </c>
      <c r="F24" s="342">
        <f>'Balance Sheet'!F8/'Balance Sheet'!F26</f>
        <v>4.175054505342763E-2</v>
      </c>
      <c r="G24" s="342">
        <f>'Balance Sheet'!G8/'Balance Sheet'!G26</f>
        <v>6.1643949225647074E-2</v>
      </c>
      <c r="H24" s="343">
        <f>'Balance Sheet'!G8/'Balance Sheet'!H26</f>
        <v>6.1223702197267346E-2</v>
      </c>
      <c r="I24" s="344">
        <f>'Balance Sheet'!H8/'Balance Sheet'!I26</f>
        <v>0.10570985473248816</v>
      </c>
      <c r="J24" s="344">
        <f>'Balance Sheet'!I8/'Balance Sheet'!J26</f>
        <v>0.1761792213074144</v>
      </c>
      <c r="K24" s="344">
        <f>'Balance Sheet'!J8/'Balance Sheet'!K26</f>
        <v>0.25698586439164267</v>
      </c>
      <c r="L24" s="345">
        <f>'Balance Sheet'!K8/'Balance Sheet'!L26</f>
        <v>0.31886878006998431</v>
      </c>
      <c r="N24" s="180">
        <f t="shared" si="0"/>
        <v>0.11956053202873403</v>
      </c>
      <c r="O24" s="180">
        <f t="shared" si="1"/>
        <v>6.7927701533365276E-2</v>
      </c>
    </row>
    <row r="25" spans="2:15" x14ac:dyDescent="0.3">
      <c r="B25" s="329"/>
      <c r="C25" s="325"/>
      <c r="D25" s="325"/>
      <c r="E25" s="325"/>
      <c r="F25" s="325"/>
      <c r="G25" s="325"/>
      <c r="H25" s="327"/>
      <c r="I25" s="327"/>
      <c r="J25" s="327"/>
      <c r="K25" s="327"/>
      <c r="L25" s="328"/>
      <c r="N25" s="180"/>
      <c r="O25" s="180"/>
    </row>
    <row r="26" spans="2:15" x14ac:dyDescent="0.3">
      <c r="B26" s="324" t="s">
        <v>216</v>
      </c>
      <c r="C26" s="346" t="s">
        <v>88</v>
      </c>
      <c r="D26" s="334">
        <f>'P&amp;L'!D5/AVERAGE('Balance Sheet'!C7:D7)</f>
        <v>5.36028942762964</v>
      </c>
      <c r="E26" s="334">
        <f>'P&amp;L'!E5/AVERAGE('Balance Sheet'!D7:E7)</f>
        <v>6.4258357052993453</v>
      </c>
      <c r="F26" s="334">
        <f>'P&amp;L'!F5/AVERAGE('Balance Sheet'!E7:F7)</f>
        <v>6.9027307514384368</v>
      </c>
      <c r="G26" s="334">
        <f>'P&amp;L'!G5/AVERAGE('Balance Sheet'!F7:G7)</f>
        <v>6.9718710674382924</v>
      </c>
      <c r="H26" s="336">
        <f>'P&amp;L'!H5/AVERAGE('Balance Sheet'!G7:H7)</f>
        <v>6.4573419697393062</v>
      </c>
      <c r="I26" s="336">
        <f>'P&amp;L'!I5/AVERAGE('Balance Sheet'!H7:I7)</f>
        <v>6.1252013270279368</v>
      </c>
      <c r="J26" s="336">
        <f>'P&amp;L'!J5/AVERAGE('Balance Sheet'!I7:J7)</f>
        <v>6.1003733917284411</v>
      </c>
      <c r="K26" s="336">
        <f>'P&amp;L'!K5/AVERAGE('Balance Sheet'!J7:K7)</f>
        <v>6.0753125315976835</v>
      </c>
      <c r="L26" s="337">
        <f>'P&amp;L'!L5/AVERAGE('Balance Sheet'!K7:L7)</f>
        <v>6.0500154533894097</v>
      </c>
      <c r="N26" s="180">
        <f t="shared" si="0"/>
        <v>6.2743301805876097</v>
      </c>
      <c r="O26" s="180">
        <f t="shared" si="1"/>
        <v>6.1252013270279368</v>
      </c>
    </row>
    <row r="27" spans="2:15" x14ac:dyDescent="0.3">
      <c r="B27" s="322" t="s">
        <v>217</v>
      </c>
      <c r="C27" s="317" t="s">
        <v>88</v>
      </c>
      <c r="D27" s="338">
        <f>'P&amp;L'!D6/AVERAGE('Balance Sheet'!C23:D23)</f>
        <v>2.6757143376678747</v>
      </c>
      <c r="E27" s="338">
        <f>'P&amp;L'!E6/AVERAGE('Balance Sheet'!D23:E23)</f>
        <v>3.5346642187089641</v>
      </c>
      <c r="F27" s="338">
        <f>'P&amp;L'!F6/AVERAGE('Balance Sheet'!E23:F23)</f>
        <v>4.293518822656095</v>
      </c>
      <c r="G27" s="338">
        <f>'P&amp;L'!G6/AVERAGE('Balance Sheet'!F23:G23)</f>
        <v>0.73532469452388949</v>
      </c>
      <c r="H27" s="340">
        <f>'P&amp;L'!H6/AVERAGE('Balance Sheet'!G23:H23)</f>
        <v>3.446051956213835</v>
      </c>
      <c r="I27" s="340">
        <f>'P&amp;L'!I6/AVERAGE('Balance Sheet'!H23:I23)</f>
        <v>3.2442643027261897</v>
      </c>
      <c r="J27" s="340">
        <f>'P&amp;L'!J6/AVERAGE('Balance Sheet'!I23:J23)</f>
        <v>3.2311139783691569</v>
      </c>
      <c r="K27" s="340">
        <f>'P&amp;L'!K6/AVERAGE('Balance Sheet'!J23:K23)</f>
        <v>3.2178402834198869</v>
      </c>
      <c r="L27" s="341">
        <f>'P&amp;L'!L6/AVERAGE('Balance Sheet'!K23:L23)</f>
        <v>3.2044414735828561</v>
      </c>
      <c r="N27" s="180">
        <f t="shared" si="0"/>
        <v>3.0647704519854164</v>
      </c>
      <c r="O27" s="180">
        <f t="shared" si="1"/>
        <v>3.2311139783691569</v>
      </c>
    </row>
    <row r="28" spans="2:15" x14ac:dyDescent="0.3">
      <c r="B28" s="323" t="s">
        <v>218</v>
      </c>
      <c r="C28" s="317" t="s">
        <v>88</v>
      </c>
      <c r="D28" s="338">
        <f>'P&amp;L'!D6/AVERAGE('Balance Sheet'!C6:D6)</f>
        <v>35.547637809076875</v>
      </c>
      <c r="E28" s="338">
        <f>'P&amp;L'!E6/AVERAGE('Balance Sheet'!D6:E6)</f>
        <v>42.025524028243638</v>
      </c>
      <c r="F28" s="338">
        <f>'P&amp;L'!F6/AVERAGE('Balance Sheet'!E6:F6)</f>
        <v>49.415989618107041</v>
      </c>
      <c r="G28" s="338">
        <f>'P&amp;L'!G6/AVERAGE('Balance Sheet'!F6:G6)</f>
        <v>9.1205511101331656</v>
      </c>
      <c r="H28" s="340">
        <f>'P&amp;L'!H6/AVERAGE('Balance Sheet'!G6:H6)</f>
        <v>44.438433579805093</v>
      </c>
      <c r="I28" s="340">
        <f>'P&amp;L'!I6/AVERAGE('Balance Sheet'!H6:I6)</f>
        <v>40.861854456992724</v>
      </c>
      <c r="J28" s="340">
        <f>'P&amp;L'!J6/AVERAGE('Balance Sheet'!I6:J6)</f>
        <v>40.696224721003645</v>
      </c>
      <c r="K28" s="340">
        <f>'P&amp;L'!K6/AVERAGE('Balance Sheet'!J6:K6)</f>
        <v>40.529041119264477</v>
      </c>
      <c r="L28" s="341">
        <f>'P&amp;L'!L6/AVERAGE('Balance Sheet'!K6:L6)</f>
        <v>40.360281682187292</v>
      </c>
      <c r="N28" s="180">
        <f t="shared" si="0"/>
        <v>38.110615347201552</v>
      </c>
      <c r="O28" s="180">
        <f t="shared" si="1"/>
        <v>40.696224721003645</v>
      </c>
    </row>
    <row r="29" spans="2:15" x14ac:dyDescent="0.3">
      <c r="B29" s="322" t="s">
        <v>219</v>
      </c>
      <c r="C29" s="317" t="s">
        <v>88</v>
      </c>
      <c r="D29" s="338">
        <f>'P&amp;L'!D5/AVERAGE(PPE!C8:D8)</f>
        <v>21.506429014706519</v>
      </c>
      <c r="E29" s="338">
        <f>'P&amp;L'!E5/AVERAGE(PPE!D8:E8)</f>
        <v>24.129187604802254</v>
      </c>
      <c r="F29" s="338">
        <f>'P&amp;L'!F5/AVERAGE(PPE!E8:F8)</f>
        <v>26.795430348544709</v>
      </c>
      <c r="G29" s="338">
        <f>'P&amp;L'!G5/AVERAGE(PPE!F8:G8)</f>
        <v>26.668395575736319</v>
      </c>
      <c r="H29" s="339">
        <f>'P&amp;L'!H5/AVERAGE(PPE!G8:H8)</f>
        <v>26.28821462552671</v>
      </c>
      <c r="I29" s="340">
        <f>'P&amp;L'!I5/AVERAGE(PPE!H8:I8)</f>
        <v>27.385389311183705</v>
      </c>
      <c r="J29" s="340">
        <f>'P&amp;L'!J5/AVERAGE(PPE!I8:J8)</f>
        <v>28.103841624800385</v>
      </c>
      <c r="K29" s="340">
        <f>'P&amp;L'!K5/AVERAGE(PPE!J8:K8)</f>
        <v>28.117102522587651</v>
      </c>
      <c r="L29" s="341">
        <f>'P&amp;L'!L5/AVERAGE(PPE!K8:L8)</f>
        <v>27.903581245713262</v>
      </c>
      <c r="N29" s="180">
        <f t="shared" si="0"/>
        <v>26.32195243040017</v>
      </c>
      <c r="O29" s="180">
        <f t="shared" si="1"/>
        <v>26.795430348544709</v>
      </c>
    </row>
    <row r="30" spans="2:15" x14ac:dyDescent="0.3">
      <c r="B30" s="323" t="s">
        <v>220</v>
      </c>
      <c r="C30" s="338">
        <f>'P&amp;L'!C5/('Balance Sheet'!C37+'Balance Sheet'!C28)</f>
        <v>1.9828100934961286</v>
      </c>
      <c r="D30" s="338">
        <f>'P&amp;L'!D5/('Balance Sheet'!D37+'Balance Sheet'!D28)</f>
        <v>2.301935644127199</v>
      </c>
      <c r="E30" s="338">
        <f>'P&amp;L'!E5/('Balance Sheet'!E37+'Balance Sheet'!E28)</f>
        <v>2.9506124522215491</v>
      </c>
      <c r="F30" s="338">
        <f>'P&amp;L'!F5/('Balance Sheet'!F37+'Balance Sheet'!F28)</f>
        <v>3.2009531934728259</v>
      </c>
      <c r="G30" s="338">
        <f>'P&amp;L'!G5/('Balance Sheet'!G37+'Balance Sheet'!G28)</f>
        <v>3.458646448903274</v>
      </c>
      <c r="H30" s="339">
        <f>'P&amp;L'!H5/('Balance Sheet'!H37+'Balance Sheet'!H28)</f>
        <v>3.3330594370059856</v>
      </c>
      <c r="I30" s="340">
        <f>'P&amp;L'!I5/('Balance Sheet'!I37+'Balance Sheet'!I28)</f>
        <v>3.2205431342561552</v>
      </c>
      <c r="J30" s="340">
        <f>'P&amp;L'!J5/('Balance Sheet'!J37+'Balance Sheet'!J28)</f>
        <v>3.0619850541050546</v>
      </c>
      <c r="K30" s="340">
        <f>'P&amp;L'!K5/('Balance Sheet'!K37+'Balance Sheet'!K28)</f>
        <v>2.9043655091846916</v>
      </c>
      <c r="L30" s="341">
        <f>'P&amp;L'!L5/('Balance Sheet'!L37+'Balance Sheet'!L28)</f>
        <v>2.7554166836657732</v>
      </c>
      <c r="N30" s="180">
        <f t="shared" si="0"/>
        <v>2.9170327650438637</v>
      </c>
      <c r="O30" s="180">
        <f t="shared" si="1"/>
        <v>3.0062987531633016</v>
      </c>
    </row>
    <row r="31" spans="2:15" x14ac:dyDescent="0.3">
      <c r="B31" s="329"/>
      <c r="C31" s="325"/>
      <c r="D31" s="325"/>
      <c r="E31" s="325"/>
      <c r="F31" s="325"/>
      <c r="G31" s="325"/>
      <c r="H31" s="326"/>
      <c r="I31" s="327"/>
      <c r="J31" s="327"/>
      <c r="K31" s="327"/>
      <c r="L31" s="328"/>
      <c r="N31" s="179"/>
      <c r="O31" s="179"/>
    </row>
    <row r="32" spans="2:15" x14ac:dyDescent="0.3">
      <c r="B32" s="324" t="s">
        <v>221</v>
      </c>
      <c r="C32" s="325"/>
      <c r="D32" s="347">
        <f>365/D26</f>
        <v>68.093338042271668</v>
      </c>
      <c r="E32" s="347">
        <f t="shared" ref="E32:L32" si="2">365/E26</f>
        <v>56.801950242672227</v>
      </c>
      <c r="F32" s="347">
        <f t="shared" si="2"/>
        <v>52.87762381923109</v>
      </c>
      <c r="G32" s="347">
        <f t="shared" si="2"/>
        <v>52.353234371288174</v>
      </c>
      <c r="H32" s="348">
        <f t="shared" si="2"/>
        <v>56.524805672439193</v>
      </c>
      <c r="I32" s="349">
        <f t="shared" si="2"/>
        <v>59.589878032156847</v>
      </c>
      <c r="J32" s="349">
        <f t="shared" si="2"/>
        <v>59.83240312714419</v>
      </c>
      <c r="K32" s="349">
        <f t="shared" si="2"/>
        <v>60.079213719728166</v>
      </c>
      <c r="L32" s="350">
        <f t="shared" si="2"/>
        <v>60.330424411646</v>
      </c>
      <c r="N32" s="181">
        <f t="shared" si="0"/>
        <v>58.498096826508608</v>
      </c>
      <c r="O32" s="181">
        <f t="shared" si="1"/>
        <v>59.589878032156847</v>
      </c>
    </row>
    <row r="33" spans="2:15" x14ac:dyDescent="0.3">
      <c r="B33" s="322" t="s">
        <v>222</v>
      </c>
      <c r="C33" s="351"/>
      <c r="D33" s="352">
        <f>365/D27</f>
        <v>136.41217033584022</v>
      </c>
      <c r="E33" s="352">
        <f t="shared" ref="E33:L33" si="3">365/E27</f>
        <v>103.26299116845567</v>
      </c>
      <c r="F33" s="352">
        <f t="shared" si="3"/>
        <v>85.011855095164208</v>
      </c>
      <c r="G33" s="352">
        <f t="shared" si="3"/>
        <v>496.37935828652053</v>
      </c>
      <c r="H33" s="353">
        <f t="shared" si="3"/>
        <v>105.9183101815517</v>
      </c>
      <c r="I33" s="354">
        <f t="shared" si="3"/>
        <v>112.50624669922442</v>
      </c>
      <c r="J33" s="354">
        <f t="shared" si="3"/>
        <v>112.96413634539341</v>
      </c>
      <c r="K33" s="354">
        <f t="shared" si="3"/>
        <v>113.43011705108056</v>
      </c>
      <c r="L33" s="355">
        <f t="shared" si="3"/>
        <v>113.90440518543686</v>
      </c>
      <c r="N33" s="181">
        <f t="shared" si="0"/>
        <v>153.30995448318529</v>
      </c>
      <c r="O33" s="181">
        <f t="shared" si="1"/>
        <v>112.96413634539341</v>
      </c>
    </row>
    <row r="34" spans="2:15" x14ac:dyDescent="0.3">
      <c r="B34" s="323" t="s">
        <v>223</v>
      </c>
      <c r="C34" s="351"/>
      <c r="D34" s="352">
        <f>365/D28</f>
        <v>10.26791152650935</v>
      </c>
      <c r="E34" s="352">
        <f t="shared" ref="E34:L34" si="4">365/E28</f>
        <v>8.6851980656968948</v>
      </c>
      <c r="F34" s="352">
        <f t="shared" si="4"/>
        <v>7.3862732047008617</v>
      </c>
      <c r="G34" s="352">
        <f t="shared" si="4"/>
        <v>40.019511495799378</v>
      </c>
      <c r="H34" s="353">
        <f t="shared" si="4"/>
        <v>8.2136108453173087</v>
      </c>
      <c r="I34" s="354">
        <f t="shared" si="4"/>
        <v>8.9325363435025711</v>
      </c>
      <c r="J34" s="354">
        <f t="shared" si="4"/>
        <v>8.9688909106996508</v>
      </c>
      <c r="K34" s="354">
        <f t="shared" si="4"/>
        <v>9.0058878749664348</v>
      </c>
      <c r="L34" s="355">
        <f t="shared" si="4"/>
        <v>9.0435444151295403</v>
      </c>
      <c r="N34" s="181">
        <f t="shared" si="0"/>
        <v>12.280373853591334</v>
      </c>
      <c r="O34" s="181">
        <f t="shared" si="1"/>
        <v>8.9688909106996508</v>
      </c>
    </row>
    <row r="35" spans="2:15" x14ac:dyDescent="0.3">
      <c r="B35" s="356" t="s">
        <v>224</v>
      </c>
      <c r="C35" s="357"/>
      <c r="D35" s="358">
        <f>D32+D34-D33</f>
        <v>-58.050920767059196</v>
      </c>
      <c r="E35" s="358">
        <f t="shared" ref="E35:L35" si="5">E32+E34-E33</f>
        <v>-37.775842860086556</v>
      </c>
      <c r="F35" s="358">
        <f t="shared" si="5"/>
        <v>-24.747958071232254</v>
      </c>
      <c r="G35" s="358">
        <f t="shared" si="5"/>
        <v>-404.00661241943294</v>
      </c>
      <c r="H35" s="359">
        <f t="shared" si="5"/>
        <v>-41.179893663795198</v>
      </c>
      <c r="I35" s="360">
        <f t="shared" si="5"/>
        <v>-43.983832323564997</v>
      </c>
      <c r="J35" s="360">
        <f t="shared" si="5"/>
        <v>-44.162842307549568</v>
      </c>
      <c r="K35" s="360">
        <f t="shared" si="5"/>
        <v>-44.345015456385951</v>
      </c>
      <c r="L35" s="361">
        <f t="shared" si="5"/>
        <v>-44.530436358661319</v>
      </c>
      <c r="N35" s="181">
        <f t="shared" si="0"/>
        <v>-82.531483803085322</v>
      </c>
      <c r="O35" s="181">
        <f t="shared" si="1"/>
        <v>-44.162842307549568</v>
      </c>
    </row>
  </sheetData>
  <hyperlinks>
    <hyperlink ref="O1" location="Index!A1" display="Index" xr:uid="{5AF0B43A-28B8-4D2F-A079-CA21BD4973B4}"/>
  </hyperlinks>
  <pageMargins left="0.7" right="0.7" top="0.75" bottom="0.75" header="0.3" footer="0.3"/>
  <extLst>
    <ext xmlns:x14="http://schemas.microsoft.com/office/spreadsheetml/2009/9/main" uri="{05C60535-1F16-4fd2-B633-F4F36F0B64E0}">
      <x14:sparklineGroups xmlns:xm="http://schemas.microsoft.com/office/excel/2006/main">
        <x14:sparklineGroup manualMax="0" manualMin="0" displayEmptyCellsAs="gap" markers="1" xr2:uid="{B39F90B2-7229-4F8B-A48F-6FB0E14177E7}">
          <x14:colorSeries rgb="FF376092"/>
          <x14:colorNegative rgb="FFD00000"/>
          <x14:colorAxis rgb="FF000000"/>
          <x14:colorMarkers rgb="FFD00000"/>
          <x14:colorFirst rgb="FFD00000"/>
          <x14:colorLast rgb="FFD00000"/>
          <x14:colorHigh rgb="FFD00000"/>
          <x14:colorLow rgb="FFD00000"/>
          <x14:sparklines>
            <x14:sparkline>
              <xm:f>Ratios!C4:L4</xm:f>
              <xm:sqref>M4</xm:sqref>
            </x14:sparkline>
            <x14:sparkline>
              <xm:f>Ratios!C5:L5</xm:f>
              <xm:sqref>M5</xm:sqref>
            </x14:sparkline>
            <x14:sparkline>
              <xm:f>Ratios!C6:L6</xm:f>
              <xm:sqref>M6</xm:sqref>
            </x14:sparkline>
            <x14:sparkline>
              <xm:f>Ratios!C7:L7</xm:f>
              <xm:sqref>M7</xm:sqref>
            </x14:sparkline>
            <x14:sparkline>
              <xm:f>Ratios!C8:L8</xm:f>
              <xm:sqref>M8</xm:sqref>
            </x14:sparkline>
            <x14:sparkline>
              <xm:f>Ratios!C9:L9</xm:f>
              <xm:sqref>M9</xm:sqref>
            </x14:sparkline>
            <x14:sparkline>
              <xm:f>Ratios!C10:L10</xm:f>
              <xm:sqref>M10</xm:sqref>
            </x14:sparkline>
            <x14:sparkline>
              <xm:f>Ratios!C11:L11</xm:f>
              <xm:sqref>M11</xm:sqref>
            </x14:sparkline>
            <x14:sparkline>
              <xm:f>Ratios!C12:L12</xm:f>
              <xm:sqref>M12</xm:sqref>
            </x14:sparkline>
            <x14:sparkline>
              <xm:f>Ratios!C13:L13</xm:f>
              <xm:sqref>M13</xm:sqref>
            </x14:sparkline>
            <x14:sparkline>
              <xm:f>Ratios!C14:L14</xm:f>
              <xm:sqref>M14</xm:sqref>
            </x14:sparkline>
            <x14:sparkline>
              <xm:f>Ratios!C15:L15</xm:f>
              <xm:sqref>M15</xm:sqref>
            </x14:sparkline>
            <x14:sparkline>
              <xm:f>Ratios!C16:L16</xm:f>
              <xm:sqref>M16</xm:sqref>
            </x14:sparkline>
            <x14:sparkline>
              <xm:f>Ratios!C17:L17</xm:f>
              <xm:sqref>M17</xm:sqref>
            </x14:sparkline>
            <x14:sparkline>
              <xm:f>Ratios!C18:L18</xm:f>
              <xm:sqref>M18</xm:sqref>
            </x14:sparkline>
            <x14:sparkline>
              <xm:f>Ratios!C19:L19</xm:f>
              <xm:sqref>M19</xm:sqref>
            </x14:sparkline>
            <x14:sparkline>
              <xm:f>Ratios!C20:L20</xm:f>
              <xm:sqref>M20</xm:sqref>
            </x14:sparkline>
            <x14:sparkline>
              <xm:f>Ratios!C21:L21</xm:f>
              <xm:sqref>M21</xm:sqref>
            </x14:sparkline>
            <x14:sparkline>
              <xm:f>Ratios!C22:L22</xm:f>
              <xm:sqref>M22</xm:sqref>
            </x14:sparkline>
            <x14:sparkline>
              <xm:f>Ratios!C23:L23</xm:f>
              <xm:sqref>M23</xm:sqref>
            </x14:sparkline>
            <x14:sparkline>
              <xm:f>Ratios!C24:L24</xm:f>
              <xm:sqref>M24</xm:sqref>
            </x14:sparkline>
            <x14:sparkline>
              <xm:f>Ratios!C25:L25</xm:f>
              <xm:sqref>M25</xm:sqref>
            </x14:sparkline>
            <x14:sparkline>
              <xm:f>Ratios!C26:L26</xm:f>
              <xm:sqref>M26</xm:sqref>
            </x14:sparkline>
            <x14:sparkline>
              <xm:f>Ratios!C27:L27</xm:f>
              <xm:sqref>M27</xm:sqref>
            </x14:sparkline>
            <x14:sparkline>
              <xm:f>Ratios!C28:L28</xm:f>
              <xm:sqref>M28</xm:sqref>
            </x14:sparkline>
            <x14:sparkline>
              <xm:f>Ratios!C29:L29</xm:f>
              <xm:sqref>M29</xm:sqref>
            </x14:sparkline>
            <x14:sparkline>
              <xm:f>Ratios!C30:L30</xm:f>
              <xm:sqref>M30</xm:sqref>
            </x14:sparkline>
            <x14:sparkline>
              <xm:f>Ratios!C31:L31</xm:f>
              <xm:sqref>M31</xm:sqref>
            </x14:sparkline>
            <x14:sparkline>
              <xm:f>Ratios!C32:L32</xm:f>
              <xm:sqref>M32</xm:sqref>
            </x14:sparkline>
            <x14:sparkline>
              <xm:f>Ratios!C33:L33</xm:f>
              <xm:sqref>M33</xm:sqref>
            </x14:sparkline>
            <x14:sparkline>
              <xm:f>Ratios!C34:L34</xm:f>
              <xm:sqref>M34</xm:sqref>
            </x14:sparkline>
            <x14:sparkline>
              <xm:f>Ratios!C35:L35</xm:f>
              <xm:sqref>M35</xm:sqref>
            </x14:sparkline>
          </x14:sparklines>
        </x14:sparklineGroup>
      </x14:sparklineGroup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27F93-4153-4D55-83E1-1C742FFAA887}">
  <sheetPr codeName="Sheet12"/>
  <dimension ref="A2:L60"/>
  <sheetViews>
    <sheetView showGridLines="0" workbookViewId="0">
      <pane xSplit="2" ySplit="4" topLeftCell="C5" activePane="bottomRight" state="frozen"/>
      <selection pane="topRight" activeCell="C1" sqref="C1"/>
      <selection pane="bottomLeft" activeCell="A5" sqref="A5"/>
      <selection pane="bottomRight" activeCell="J2" sqref="J2"/>
    </sheetView>
  </sheetViews>
  <sheetFormatPr defaultColWidth="0" defaultRowHeight="14.4" x14ac:dyDescent="0.3"/>
  <cols>
    <col min="1" max="1" width="1.88671875" customWidth="1"/>
    <col min="2" max="2" width="34.109375" customWidth="1"/>
    <col min="3" max="3" width="14.109375" customWidth="1"/>
    <col min="4" max="7" width="11.5546875" customWidth="1"/>
    <col min="8" max="8" width="12.21875" customWidth="1"/>
    <col min="9" max="12" width="11.5546875" customWidth="1"/>
    <col min="13" max="16384" width="11.5546875" hidden="1"/>
  </cols>
  <sheetData>
    <row r="2" spans="2:12" ht="25.8" x14ac:dyDescent="0.5">
      <c r="B2" s="26" t="s">
        <v>86</v>
      </c>
      <c r="C2" s="75">
        <v>1</v>
      </c>
      <c r="D2" s="26" t="s">
        <v>100</v>
      </c>
      <c r="F2" s="284">
        <v>1</v>
      </c>
      <c r="G2" s="284">
        <v>2</v>
      </c>
      <c r="H2" s="284">
        <v>3</v>
      </c>
      <c r="L2" s="210" t="s">
        <v>190</v>
      </c>
    </row>
    <row r="3" spans="2:12" x14ac:dyDescent="0.3">
      <c r="B3" s="27" t="s">
        <v>87</v>
      </c>
    </row>
    <row r="4" spans="2:12" x14ac:dyDescent="0.3">
      <c r="B4" s="28" t="s">
        <v>54</v>
      </c>
      <c r="C4" s="29" t="str">
        <f>'P&amp;L'!C4</f>
        <v>2022</v>
      </c>
      <c r="D4" s="29" t="str">
        <f>'P&amp;L'!D4</f>
        <v>2023</v>
      </c>
      <c r="E4" s="29" t="str">
        <f>'P&amp;L'!E4</f>
        <v>2024</v>
      </c>
      <c r="F4" s="29" t="str">
        <f>'P&amp;L'!F4</f>
        <v>2025</v>
      </c>
      <c r="G4" s="29" t="str">
        <f>'P&amp;L'!G4</f>
        <v>2026</v>
      </c>
      <c r="H4" s="30" t="str">
        <f>'P&amp;L'!H4</f>
        <v>2027</v>
      </c>
      <c r="I4" s="30" t="str">
        <f>'P&amp;L'!I4</f>
        <v>2028</v>
      </c>
      <c r="J4" s="30" t="str">
        <f>'P&amp;L'!J4</f>
        <v>2029</v>
      </c>
      <c r="K4" s="30" t="str">
        <f>'P&amp;L'!K4</f>
        <v>2030</v>
      </c>
      <c r="L4" s="30" t="str">
        <f>'P&amp;L'!L4</f>
        <v>2031</v>
      </c>
    </row>
    <row r="5" spans="2:12" ht="18" x14ac:dyDescent="0.35">
      <c r="B5" s="123" t="s">
        <v>89</v>
      </c>
      <c r="C5" s="59"/>
      <c r="D5" s="59"/>
      <c r="E5" s="59"/>
      <c r="F5" s="59"/>
      <c r="G5" s="59"/>
      <c r="H5" s="60"/>
      <c r="I5" s="60"/>
      <c r="J5" s="60"/>
      <c r="K5" s="60"/>
      <c r="L5" s="60"/>
    </row>
    <row r="6" spans="2:12" x14ac:dyDescent="0.3">
      <c r="C6" s="34"/>
      <c r="D6" s="34"/>
      <c r="E6" s="34"/>
      <c r="F6" s="34"/>
      <c r="G6" s="34"/>
      <c r="H6" s="38"/>
      <c r="I6" s="38"/>
      <c r="J6" s="38"/>
      <c r="K6" s="38"/>
      <c r="L6" s="38"/>
    </row>
    <row r="7" spans="2:12" x14ac:dyDescent="0.3">
      <c r="B7" s="39" t="s">
        <v>90</v>
      </c>
      <c r="C7" s="61">
        <f>'P&amp;L'!C5</f>
        <v>158788.31</v>
      </c>
      <c r="D7" s="61">
        <f>'P&amp;L'!D5</f>
        <v>186269.87</v>
      </c>
      <c r="E7" s="61">
        <f>'P&amp;L'!E5</f>
        <v>225270.94</v>
      </c>
      <c r="F7" s="61">
        <f>'P&amp;L'!F5</f>
        <v>259859.27</v>
      </c>
      <c r="G7" s="61">
        <f>'P&amp;L'!G5</f>
        <v>291635.03999999998</v>
      </c>
      <c r="H7" s="77">
        <f>G7*(H8+1)</f>
        <v>335917.19709413638</v>
      </c>
      <c r="I7" s="77">
        <f>H7*(I8+1)</f>
        <v>386923.20135324233</v>
      </c>
      <c r="J7" s="77">
        <f>I7*(J8+1)</f>
        <v>441804.77646388282</v>
      </c>
      <c r="K7" s="77">
        <f>J7*(K8+1)</f>
        <v>500052.76149060926</v>
      </c>
      <c r="L7" s="77">
        <f>K7*(L8+1)</f>
        <v>560979.69169317046</v>
      </c>
    </row>
    <row r="8" spans="2:12" x14ac:dyDescent="0.3">
      <c r="B8" s="62" t="s">
        <v>91</v>
      </c>
      <c r="C8" s="63" t="s">
        <v>88</v>
      </c>
      <c r="D8" s="64">
        <f>D7/C7-1</f>
        <v>0.17307042313127452</v>
      </c>
      <c r="E8" s="64">
        <f>E7/D7-1</f>
        <v>0.20937938057292893</v>
      </c>
      <c r="F8" s="64">
        <f>F7/E7-1</f>
        <v>0.15354102042633633</v>
      </c>
      <c r="G8" s="64">
        <f>G7/F7-1</f>
        <v>0.12228068677326775</v>
      </c>
      <c r="H8" s="74">
        <f>CHOOSE($C$2,H9,H10,H11)</f>
        <v>0.1518410033792113</v>
      </c>
      <c r="I8" s="74">
        <f>CHOOSE($C$2,I9,I10,I11)</f>
        <v>0.1518410033792113</v>
      </c>
      <c r="J8" s="74">
        <f>CHOOSE($C$2,J9,J10,J11)</f>
        <v>0.14184100337921129</v>
      </c>
      <c r="K8" s="74">
        <f>CHOOSE($C$2,K9,K10,K11)</f>
        <v>0.13184100337921129</v>
      </c>
      <c r="L8" s="74">
        <f>CHOOSE($C$2,L9,L10,L11)</f>
        <v>0.12184100337921126</v>
      </c>
    </row>
    <row r="9" spans="2:12" x14ac:dyDescent="0.3">
      <c r="B9" s="1" t="s">
        <v>92</v>
      </c>
      <c r="C9" s="34"/>
      <c r="D9" s="34"/>
      <c r="E9" s="34"/>
      <c r="F9" s="34"/>
      <c r="G9" s="34"/>
      <c r="H9" s="66">
        <f>H10-2%</f>
        <v>0.1518410033792113</v>
      </c>
      <c r="I9" s="66">
        <f>I10-2%</f>
        <v>0.1518410033792113</v>
      </c>
      <c r="J9" s="66">
        <f>J10-2%</f>
        <v>0.14184100337921129</v>
      </c>
      <c r="K9" s="66">
        <f>K10-2%</f>
        <v>0.13184100337921129</v>
      </c>
      <c r="L9" s="66">
        <f>L10-2%</f>
        <v>0.12184100337921126</v>
      </c>
    </row>
    <row r="10" spans="2:12" x14ac:dyDescent="0.3">
      <c r="B10" s="1" t="s">
        <v>93</v>
      </c>
      <c r="C10" s="34"/>
      <c r="D10" s="34"/>
      <c r="E10" s="34"/>
      <c r="F10" s="34"/>
      <c r="G10" s="34"/>
      <c r="H10" s="65">
        <f>'(IS)'!C54</f>
        <v>0.17184100337921129</v>
      </c>
      <c r="I10" s="66">
        <f>H10</f>
        <v>0.17184100337921129</v>
      </c>
      <c r="J10" s="66">
        <f>I10-1%</f>
        <v>0.16184100337921128</v>
      </c>
      <c r="K10" s="66">
        <f>J10-1%</f>
        <v>0.15184100337921128</v>
      </c>
      <c r="L10" s="66">
        <f>K10-1%</f>
        <v>0.14184100337921127</v>
      </c>
    </row>
    <row r="11" spans="2:12" x14ac:dyDescent="0.3">
      <c r="B11" s="1" t="s">
        <v>94</v>
      </c>
      <c r="C11" s="34"/>
      <c r="D11" s="34"/>
      <c r="E11" s="34"/>
      <c r="F11" s="34"/>
      <c r="G11" s="34"/>
      <c r="H11" s="66">
        <f>H10+2%</f>
        <v>0.19184100337921128</v>
      </c>
      <c r="I11" s="66">
        <f>I10+2%</f>
        <v>0.19184100337921128</v>
      </c>
      <c r="J11" s="66">
        <f>J10+2%</f>
        <v>0.18184100337921127</v>
      </c>
      <c r="K11" s="66">
        <f>K10+2%</f>
        <v>0.17184100337921127</v>
      </c>
      <c r="L11" s="66">
        <f>L10+2%</f>
        <v>0.16184100337921126</v>
      </c>
    </row>
    <row r="12" spans="2:12" x14ac:dyDescent="0.3">
      <c r="C12" s="34"/>
      <c r="D12" s="34"/>
      <c r="E12" s="34"/>
      <c r="F12" s="34"/>
      <c r="G12" s="34"/>
      <c r="H12" s="38"/>
      <c r="I12" s="38"/>
      <c r="J12" s="38"/>
      <c r="K12" s="38"/>
      <c r="L12" s="38"/>
    </row>
    <row r="13" spans="2:12" x14ac:dyDescent="0.3">
      <c r="B13" s="39" t="s">
        <v>95</v>
      </c>
      <c r="C13" s="61">
        <f>'P&amp;L'!C6</f>
        <v>99738.51</v>
      </c>
      <c r="D13" s="61">
        <f>'P&amp;L'!D6</f>
        <v>116615.27</v>
      </c>
      <c r="E13" s="61">
        <f>'P&amp;L'!E6</f>
        <v>146028.82</v>
      </c>
      <c r="F13" s="61">
        <f>'P&amp;L'!F6</f>
        <v>170972.9</v>
      </c>
      <c r="G13" s="61">
        <f>'P&amp;L'!G6</f>
        <v>32330.940000000006</v>
      </c>
      <c r="H13" s="77">
        <f>H7*H14</f>
        <v>196257.57391815539</v>
      </c>
      <c r="I13" s="77">
        <f>I7*I14</f>
        <v>226057.52086265784</v>
      </c>
      <c r="J13" s="77">
        <f>J7*J14</f>
        <v>258121.74644323421</v>
      </c>
      <c r="K13" s="77">
        <f>K7*K14</f>
        <v>292152.77648830455</v>
      </c>
      <c r="L13" s="77">
        <f>L7*L14</f>
        <v>327748.96391566203</v>
      </c>
    </row>
    <row r="14" spans="2:12" x14ac:dyDescent="0.3">
      <c r="B14" s="67" t="s">
        <v>96</v>
      </c>
      <c r="C14" s="68">
        <f>C13/C7</f>
        <v>0.62812249843832957</v>
      </c>
      <c r="D14" s="68">
        <f>D13/D7</f>
        <v>0.62605546457942984</v>
      </c>
      <c r="E14" s="68">
        <f>E13/E7</f>
        <v>0.64823638592709742</v>
      </c>
      <c r="F14" s="68">
        <f>F13/F7</f>
        <v>0.65794420187511493</v>
      </c>
      <c r="G14" s="68">
        <f>G13/G7</f>
        <v>0.11086095827168096</v>
      </c>
      <c r="H14" s="74">
        <f>CHOOSE($C$2,H15,H16,H17)</f>
        <v>0.58424390181833052</v>
      </c>
      <c r="I14" s="74">
        <f>CHOOSE($C$2,I15,I16,I17)</f>
        <v>0.58424390181833052</v>
      </c>
      <c r="J14" s="74">
        <f>CHOOSE($C$2,J15,J16,J17)</f>
        <v>0.58424390181833052</v>
      </c>
      <c r="K14" s="74">
        <f>CHOOSE($C$2,K15,K16,K17)</f>
        <v>0.58424390181833052</v>
      </c>
      <c r="L14" s="74">
        <f>CHOOSE($C$2,L15,L16,L17)</f>
        <v>0.58424390181833052</v>
      </c>
    </row>
    <row r="15" spans="2:12" x14ac:dyDescent="0.3">
      <c r="B15" s="1" t="s">
        <v>92</v>
      </c>
      <c r="C15" s="40"/>
      <c r="D15" s="40"/>
      <c r="E15" s="40"/>
      <c r="F15" s="40"/>
      <c r="G15" s="40"/>
      <c r="H15" s="66">
        <f>H16+5%</f>
        <v>0.58424390181833052</v>
      </c>
      <c r="I15" s="66">
        <f>I16+5%</f>
        <v>0.58424390181833052</v>
      </c>
      <c r="J15" s="66">
        <f>J16+5%</f>
        <v>0.58424390181833052</v>
      </c>
      <c r="K15" s="66">
        <f>K16+5%</f>
        <v>0.58424390181833052</v>
      </c>
      <c r="L15" s="66">
        <f>L16+5%</f>
        <v>0.58424390181833052</v>
      </c>
    </row>
    <row r="16" spans="2:12" x14ac:dyDescent="0.3">
      <c r="B16" s="1" t="s">
        <v>93</v>
      </c>
      <c r="C16" s="34"/>
      <c r="D16" s="34"/>
      <c r="E16" s="34"/>
      <c r="F16" s="34"/>
      <c r="G16" s="34"/>
      <c r="H16" s="66">
        <f>AVERAGE(C14:G14)</f>
        <v>0.53424390181833048</v>
      </c>
      <c r="I16" s="66">
        <f>H16</f>
        <v>0.53424390181833048</v>
      </c>
      <c r="J16" s="66">
        <f>I16</f>
        <v>0.53424390181833048</v>
      </c>
      <c r="K16" s="66">
        <f>J16</f>
        <v>0.53424390181833048</v>
      </c>
      <c r="L16" s="66">
        <f>K16</f>
        <v>0.53424390181833048</v>
      </c>
    </row>
    <row r="17" spans="2:12" x14ac:dyDescent="0.3">
      <c r="B17" s="1" t="s">
        <v>94</v>
      </c>
      <c r="C17" s="34"/>
      <c r="D17" s="34"/>
      <c r="E17" s="34"/>
      <c r="F17" s="34"/>
      <c r="G17" s="34"/>
      <c r="H17" s="66">
        <f>H16-5%</f>
        <v>0.48424390181833049</v>
      </c>
      <c r="I17" s="66">
        <f>I16-5%</f>
        <v>0.48424390181833049</v>
      </c>
      <c r="J17" s="66">
        <f>J16-5%</f>
        <v>0.48424390181833049</v>
      </c>
      <c r="K17" s="66">
        <f>K16-5%</f>
        <v>0.48424390181833049</v>
      </c>
      <c r="L17" s="66">
        <f>L16-5%</f>
        <v>0.48424390181833049</v>
      </c>
    </row>
    <row r="18" spans="2:12" x14ac:dyDescent="0.3">
      <c r="C18" s="34"/>
      <c r="D18" s="34"/>
      <c r="E18" s="34"/>
      <c r="F18" s="34"/>
      <c r="G18" s="34"/>
      <c r="H18" s="38"/>
      <c r="I18" s="38"/>
      <c r="J18" s="38"/>
      <c r="K18" s="38"/>
      <c r="L18" s="38"/>
    </row>
    <row r="19" spans="2:12" x14ac:dyDescent="0.3">
      <c r="B19" s="1" t="s">
        <v>97</v>
      </c>
      <c r="C19" s="40"/>
      <c r="D19" s="69">
        <f>'P&amp;L'!D8/'P&amp;L'!C8-1</f>
        <v>0.2515873493661871</v>
      </c>
      <c r="E19" s="69">
        <f>'P&amp;L'!E8/'P&amp;L'!D8-1</f>
        <v>0.10632821797968561</v>
      </c>
      <c r="F19" s="69">
        <f>'P&amp;L'!F8/'P&amp;L'!E8-1</f>
        <v>0.13596116880271625</v>
      </c>
      <c r="G19" s="69">
        <f>'P&amp;L'!G8/'P&amp;L'!F8-1</f>
        <v>0.11585830517346229</v>
      </c>
      <c r="H19" s="66">
        <f>AVERAGE(E19:G19)</f>
        <v>0.11938256398528806</v>
      </c>
      <c r="I19" s="66">
        <f t="shared" ref="I19:L20" si="0">H19</f>
        <v>0.11938256398528806</v>
      </c>
      <c r="J19" s="66">
        <f t="shared" si="0"/>
        <v>0.11938256398528806</v>
      </c>
      <c r="K19" s="66">
        <f t="shared" si="0"/>
        <v>0.11938256398528806</v>
      </c>
      <c r="L19" s="66">
        <f t="shared" si="0"/>
        <v>0.11938256398528806</v>
      </c>
    </row>
    <row r="20" spans="2:12" x14ac:dyDescent="0.3">
      <c r="B20" s="1" t="s">
        <v>368</v>
      </c>
      <c r="C20" s="40"/>
      <c r="D20" s="69">
        <f>'P&amp;L'!D9/'P&amp;L'!C9-1</f>
        <v>-1.2926218322693916E-2</v>
      </c>
      <c r="E20" s="69">
        <f>'P&amp;L'!E9/'P&amp;L'!D9-1</f>
        <v>0.19760497793448173</v>
      </c>
      <c r="F20" s="69">
        <f>'P&amp;L'!F9/'P&amp;L'!E9-1</f>
        <v>7.3363736113680078E-2</v>
      </c>
      <c r="G20" s="69">
        <f>'P&amp;L'!G9/'P&amp;L'!F9-1</f>
        <v>14.692683168897492</v>
      </c>
      <c r="H20" s="66">
        <f>AVERAGE(E20:F20)</f>
        <v>0.1354843570240809</v>
      </c>
      <c r="I20" s="66">
        <f t="shared" si="0"/>
        <v>0.1354843570240809</v>
      </c>
      <c r="J20" s="66">
        <f t="shared" si="0"/>
        <v>0.1354843570240809</v>
      </c>
      <c r="K20" s="66">
        <f t="shared" si="0"/>
        <v>0.1354843570240809</v>
      </c>
      <c r="L20" s="66">
        <f t="shared" si="0"/>
        <v>0.1354843570240809</v>
      </c>
    </row>
    <row r="21" spans="2:12" x14ac:dyDescent="0.3">
      <c r="B21" s="39"/>
      <c r="C21" s="40"/>
      <c r="D21" s="40"/>
      <c r="E21" s="40"/>
      <c r="F21" s="40"/>
      <c r="G21" s="40"/>
      <c r="H21" s="41"/>
      <c r="I21" s="41"/>
      <c r="J21" s="41"/>
      <c r="K21" s="41"/>
      <c r="L21" s="41"/>
    </row>
    <row r="22" spans="2:12" x14ac:dyDescent="0.3">
      <c r="B22" s="39" t="s">
        <v>98</v>
      </c>
      <c r="C22" s="259">
        <f>'P&amp;L'!C15</f>
        <v>4216.6099999999997</v>
      </c>
      <c r="D22" s="259">
        <f>'P&amp;L'!D15</f>
        <v>4484.16</v>
      </c>
      <c r="E22" s="259">
        <f>'P&amp;L'!E15</f>
        <v>4947.3900000000003</v>
      </c>
      <c r="F22" s="259">
        <f>'P&amp;L'!F15</f>
        <v>5891.4</v>
      </c>
      <c r="G22" s="259">
        <f>'P&amp;L'!G15</f>
        <v>6816.41</v>
      </c>
      <c r="H22" s="41"/>
      <c r="I22" s="41"/>
      <c r="J22" s="41"/>
      <c r="K22" s="41"/>
      <c r="L22" s="41"/>
    </row>
    <row r="23" spans="2:12" x14ac:dyDescent="0.3">
      <c r="B23" s="27" t="s">
        <v>99</v>
      </c>
      <c r="C23" s="70">
        <f>C22/'P&amp;L'!C14</f>
        <v>0.29064714778261957</v>
      </c>
      <c r="D23" s="70">
        <f>D22/'P&amp;L'!D14</f>
        <v>0.26209317535827592</v>
      </c>
      <c r="E23" s="70">
        <f>E22/'P&amp;L'!E14</f>
        <v>0.24113483819114875</v>
      </c>
      <c r="F23" s="70">
        <f>F22/'P&amp;L'!F14</f>
        <v>0.24986014973626722</v>
      </c>
      <c r="G23" s="70">
        <f>G22/'P&amp;L'!G14</f>
        <v>0.26241376111081832</v>
      </c>
      <c r="H23" s="74">
        <f>CHOOSE($C$2,H24,H25,H26)</f>
        <v>0.27</v>
      </c>
      <c r="I23" s="74">
        <f>CHOOSE($C$2,I24,I25,I26)</f>
        <v>0.27</v>
      </c>
      <c r="J23" s="74">
        <f>CHOOSE($C$2,J24,J25,J26)</f>
        <v>0.27</v>
      </c>
      <c r="K23" s="74">
        <f>CHOOSE($C$2,K24,K25,K26)</f>
        <v>0.27</v>
      </c>
      <c r="L23" s="74">
        <f>CHOOSE($C$2,L24,L25,L26)</f>
        <v>0.27</v>
      </c>
    </row>
    <row r="24" spans="2:12" x14ac:dyDescent="0.3">
      <c r="B24" s="1" t="s">
        <v>92</v>
      </c>
      <c r="C24" s="40"/>
      <c r="D24" s="40"/>
      <c r="E24" s="40"/>
      <c r="F24" s="40"/>
      <c r="G24" s="40"/>
      <c r="H24" s="72">
        <f>H25+2%</f>
        <v>0.27</v>
      </c>
      <c r="I24" s="72">
        <f t="shared" ref="I24:L26" si="1">H24</f>
        <v>0.27</v>
      </c>
      <c r="J24" s="72">
        <f t="shared" si="1"/>
        <v>0.27</v>
      </c>
      <c r="K24" s="72">
        <f t="shared" si="1"/>
        <v>0.27</v>
      </c>
      <c r="L24" s="72">
        <f t="shared" si="1"/>
        <v>0.27</v>
      </c>
    </row>
    <row r="25" spans="2:12" x14ac:dyDescent="0.3">
      <c r="B25" s="1" t="s">
        <v>93</v>
      </c>
      <c r="C25" s="40"/>
      <c r="D25" s="40"/>
      <c r="E25" s="40"/>
      <c r="F25" s="40"/>
      <c r="G25" s="40"/>
      <c r="H25" s="71">
        <v>0.25</v>
      </c>
      <c r="I25" s="72">
        <f t="shared" si="1"/>
        <v>0.25</v>
      </c>
      <c r="J25" s="72">
        <f t="shared" si="1"/>
        <v>0.25</v>
      </c>
      <c r="K25" s="72">
        <f t="shared" si="1"/>
        <v>0.25</v>
      </c>
      <c r="L25" s="72">
        <f t="shared" si="1"/>
        <v>0.25</v>
      </c>
    </row>
    <row r="26" spans="2:12" x14ac:dyDescent="0.3">
      <c r="B26" s="1" t="s">
        <v>94</v>
      </c>
      <c r="C26" s="40"/>
      <c r="D26" s="40"/>
      <c r="E26" s="40"/>
      <c r="F26" s="40"/>
      <c r="G26" s="40"/>
      <c r="H26" s="72">
        <f>H25-2%</f>
        <v>0.23</v>
      </c>
      <c r="I26" s="72">
        <f t="shared" si="1"/>
        <v>0.23</v>
      </c>
      <c r="J26" s="72">
        <f t="shared" si="1"/>
        <v>0.23</v>
      </c>
      <c r="K26" s="72">
        <f t="shared" si="1"/>
        <v>0.23</v>
      </c>
      <c r="L26" s="72">
        <f t="shared" si="1"/>
        <v>0.23</v>
      </c>
    </row>
    <row r="27" spans="2:12" x14ac:dyDescent="0.3">
      <c r="B27" s="39"/>
      <c r="C27" s="40"/>
      <c r="D27" s="40"/>
      <c r="E27" s="40"/>
      <c r="F27" s="40"/>
      <c r="G27" s="40"/>
      <c r="H27" s="41"/>
      <c r="I27" s="41"/>
      <c r="J27" s="41"/>
      <c r="K27" s="41"/>
      <c r="L27" s="41"/>
    </row>
    <row r="28" spans="2:12" x14ac:dyDescent="0.3">
      <c r="B28" s="39" t="s">
        <v>113</v>
      </c>
      <c r="C28" s="40"/>
      <c r="D28" s="40"/>
      <c r="E28" s="40"/>
      <c r="F28" s="40"/>
      <c r="G28" s="40"/>
      <c r="H28" s="41"/>
      <c r="I28" s="41"/>
      <c r="J28" s="41"/>
      <c r="K28" s="41"/>
      <c r="L28" s="41"/>
    </row>
    <row r="29" spans="2:12" x14ac:dyDescent="0.3">
      <c r="B29" s="48" t="s">
        <v>8</v>
      </c>
      <c r="C29" s="121">
        <f>'Balance Sheet'!C22</f>
        <v>7329.88</v>
      </c>
      <c r="D29" s="121">
        <f>'Balance Sheet'!D22</f>
        <v>8760.24</v>
      </c>
      <c r="E29" s="121">
        <f>'Balance Sheet'!E22</f>
        <v>10609.33</v>
      </c>
      <c r="F29" s="121">
        <f>'Balance Sheet'!F22</f>
        <v>12648.88</v>
      </c>
      <c r="G29" s="121">
        <f>'Balance Sheet'!G22</f>
        <v>1593.46</v>
      </c>
      <c r="H29" s="120">
        <f>AVERAGE(C29:G29)</f>
        <v>8188.3579999999984</v>
      </c>
      <c r="I29" s="120">
        <f>AVERAGE(D29:H29)</f>
        <v>8360.0535999999993</v>
      </c>
      <c r="J29" s="120">
        <f>AVERAGE(E29:I29)</f>
        <v>8280.0163199999988</v>
      </c>
      <c r="K29" s="120">
        <f>AVERAGE(F29:J29)</f>
        <v>7814.1535839999997</v>
      </c>
      <c r="L29" s="120">
        <f>AVERAGE(G29:K29)</f>
        <v>6847.2083007999991</v>
      </c>
    </row>
    <row r="30" spans="2:12" x14ac:dyDescent="0.3">
      <c r="B30" s="48" t="s">
        <v>7</v>
      </c>
      <c r="C30" s="121">
        <f>'Balance Sheet'!C28</f>
        <v>12968.41</v>
      </c>
      <c r="D30" s="121">
        <f>'Balance Sheet'!D28</f>
        <v>9390.85</v>
      </c>
      <c r="E30" s="121">
        <f>'Balance Sheet'!E28</f>
        <v>11931.14</v>
      </c>
      <c r="F30" s="121">
        <f>'Balance Sheet'!F28</f>
        <v>9286</v>
      </c>
      <c r="G30" s="121">
        <f>'Balance Sheet'!G28</f>
        <v>9787.67</v>
      </c>
      <c r="H30" s="120">
        <f>AVERAGE(E30:G30)</f>
        <v>10334.936666666666</v>
      </c>
      <c r="I30" s="120">
        <f>AVERAGE(F30:H30)</f>
        <v>9802.8688888888883</v>
      </c>
      <c r="J30" s="120">
        <f>AVERAGE(G30:I30)</f>
        <v>9975.1585185185177</v>
      </c>
      <c r="K30" s="120">
        <f>AVERAGE(H30:J30)</f>
        <v>10037.654691358024</v>
      </c>
      <c r="L30" s="120">
        <f>AVERAGE(I30:K30)</f>
        <v>9938.5606995884755</v>
      </c>
    </row>
    <row r="31" spans="2:12" x14ac:dyDescent="0.3">
      <c r="B31" t="s">
        <v>4</v>
      </c>
      <c r="C31" s="272">
        <f>'P&amp;L'!C13</f>
        <v>3125.7</v>
      </c>
      <c r="D31" s="272">
        <f>'P&amp;L'!D13</f>
        <v>3207.16</v>
      </c>
      <c r="E31" s="272">
        <f>'P&amp;L'!E13</f>
        <v>3545.85</v>
      </c>
      <c r="F31" s="272">
        <f>'P&amp;L'!F13</f>
        <v>3334.37</v>
      </c>
      <c r="G31" s="272">
        <f>'P&amp;L'!G13</f>
        <v>2848.82</v>
      </c>
      <c r="H31" s="77">
        <f>SUM(H29:H30)*H33</f>
        <v>3298.310434998521</v>
      </c>
      <c r="I31" s="77">
        <f>SUM(I29:I30)*I33</f>
        <v>3321.5941903802709</v>
      </c>
      <c r="J31" s="77">
        <f>SUM(J29:J30)*J33</f>
        <v>3361.0479093684025</v>
      </c>
      <c r="K31" s="77">
        <f>SUM(K29:K30)*K33</f>
        <v>3382.4836207593894</v>
      </c>
      <c r="L31" s="77">
        <f>SUM(L29:L30)*L33</f>
        <v>3306.2656853008534</v>
      </c>
    </row>
    <row r="32" spans="2:12" x14ac:dyDescent="0.3">
      <c r="B32" s="39"/>
      <c r="C32" s="40"/>
      <c r="D32" s="40"/>
      <c r="E32" s="40"/>
      <c r="F32" s="40"/>
      <c r="G32" s="40"/>
      <c r="H32" s="41"/>
      <c r="I32" s="41"/>
      <c r="J32" s="41"/>
      <c r="K32" s="41"/>
      <c r="L32" s="41"/>
    </row>
    <row r="33" spans="2:12" x14ac:dyDescent="0.3">
      <c r="B33" t="s">
        <v>114</v>
      </c>
      <c r="C33" s="119">
        <f>C31/SUM(C29:C30)</f>
        <v>0.15398834088979907</v>
      </c>
      <c r="D33" s="119">
        <f>D31/SUM(D29:D30)</f>
        <v>0.17669241902276941</v>
      </c>
      <c r="E33" s="119">
        <f>E31/SUM(E29:E30)</f>
        <v>0.157310384388613</v>
      </c>
      <c r="F33" s="119">
        <f>F31/SUM(F29:F30)</f>
        <v>0.15201222892489041</v>
      </c>
      <c r="G33" s="119">
        <f>G31/SUM(G29:G30)</f>
        <v>0.2503108215089363</v>
      </c>
      <c r="H33" s="66">
        <f>AVERAGE(C33:G33)</f>
        <v>0.17806283894700164</v>
      </c>
      <c r="I33" s="66">
        <f>AVERAGE(D33:H33)</f>
        <v>0.18287773855844214</v>
      </c>
      <c r="J33" s="66">
        <f>AVERAGE(E33:I33)</f>
        <v>0.18411480246557668</v>
      </c>
      <c r="K33" s="66">
        <f>AVERAGE(F33:J33)</f>
        <v>0.18947568608096943</v>
      </c>
      <c r="L33" s="66">
        <f>AVERAGE(G33:K33)</f>
        <v>0.19696837751218524</v>
      </c>
    </row>
    <row r="34" spans="2:12" x14ac:dyDescent="0.3">
      <c r="B34" s="39"/>
      <c r="C34" s="40"/>
      <c r="D34" s="40"/>
      <c r="E34" s="40"/>
      <c r="F34" s="40"/>
      <c r="G34" s="40"/>
      <c r="H34" s="41"/>
      <c r="I34" s="41"/>
      <c r="J34" s="41"/>
      <c r="K34" s="41"/>
      <c r="L34" s="41"/>
    </row>
    <row r="35" spans="2:12" x14ac:dyDescent="0.3">
      <c r="B35" s="39" t="s">
        <v>64</v>
      </c>
      <c r="C35" s="40"/>
      <c r="D35" s="40"/>
      <c r="E35" s="40"/>
      <c r="F35" s="40"/>
      <c r="G35" s="40"/>
      <c r="H35" s="41"/>
      <c r="I35" s="41"/>
      <c r="J35" s="41"/>
      <c r="K35" s="41"/>
      <c r="L35" s="41"/>
    </row>
    <row r="36" spans="2:12" x14ac:dyDescent="0.3">
      <c r="B36" t="s">
        <v>115</v>
      </c>
      <c r="C36" s="259">
        <f>'P&amp;L'!C16</f>
        <v>10291.050000000003</v>
      </c>
      <c r="D36" s="259">
        <f>'P&amp;L'!D16</f>
        <v>12624.869999999988</v>
      </c>
      <c r="E36" s="259">
        <f>'P&amp;L'!E16</f>
        <v>15569.720000000001</v>
      </c>
      <c r="F36" s="259">
        <f>'P&amp;L'!F16</f>
        <v>17687.39</v>
      </c>
      <c r="G36" s="259">
        <f>'P&amp;L'!G16</f>
        <v>19159.399999999976</v>
      </c>
      <c r="H36" s="77">
        <f>'P&amp;L'!H16</f>
        <v>19917.492096557529</v>
      </c>
      <c r="I36" s="77">
        <f>'P&amp;L'!I16</f>
        <v>24892.288092143281</v>
      </c>
      <c r="J36" s="77">
        <f>'P&amp;L'!J16</f>
        <v>30000.294183930535</v>
      </c>
      <c r="K36" s="77">
        <f>'P&amp;L'!K16</f>
        <v>34819.267542901354</v>
      </c>
      <c r="L36" s="77">
        <f>'P&amp;L'!L16</f>
        <v>39442.881596186897</v>
      </c>
    </row>
    <row r="37" spans="2:12" x14ac:dyDescent="0.3">
      <c r="B37" t="s">
        <v>64</v>
      </c>
      <c r="C37" s="259">
        <f>'P&amp;L'!C17</f>
        <v>2528.46</v>
      </c>
      <c r="D37" s="259">
        <f>'P&amp;L'!D17</f>
        <v>3091.42</v>
      </c>
      <c r="E37" s="259">
        <f>'P&amp;L'!E17</f>
        <v>4216.95</v>
      </c>
      <c r="F37" s="259">
        <f>'P&amp;L'!F17</f>
        <v>3849.57</v>
      </c>
      <c r="G37" s="259">
        <f>'P&amp;L'!G17</f>
        <v>3849.57</v>
      </c>
      <c r="H37" s="77">
        <f>H36*H38</f>
        <v>4001.8883707289933</v>
      </c>
      <c r="I37" s="77">
        <f>I36*I38</f>
        <v>5001.4408316999561</v>
      </c>
      <c r="J37" s="77">
        <f>J36*J38</f>
        <v>6027.7583056689473</v>
      </c>
      <c r="K37" s="77">
        <f>K36*K38</f>
        <v>6996.0023672519465</v>
      </c>
      <c r="L37" s="77">
        <f>L36*L38</f>
        <v>7924.9941911663936</v>
      </c>
    </row>
    <row r="38" spans="2:12" x14ac:dyDescent="0.3">
      <c r="B38" t="s">
        <v>116</v>
      </c>
      <c r="C38" s="119">
        <f>C37/C36</f>
        <v>0.24569504569504563</v>
      </c>
      <c r="D38" s="119">
        <f>D37/D36</f>
        <v>0.24486747190268121</v>
      </c>
      <c r="E38" s="119">
        <f>E37/E36</f>
        <v>0.27084302094064627</v>
      </c>
      <c r="F38" s="119">
        <f>F37/F36</f>
        <v>0.21764488712014607</v>
      </c>
      <c r="G38" s="119">
        <f>G37/G36</f>
        <v>0.20092330657536275</v>
      </c>
      <c r="H38" s="66">
        <f>G38</f>
        <v>0.20092330657536275</v>
      </c>
      <c r="I38" s="66">
        <f>H38</f>
        <v>0.20092330657536275</v>
      </c>
      <c r="J38" s="66">
        <f>I38</f>
        <v>0.20092330657536275</v>
      </c>
      <c r="K38" s="66">
        <f>J38</f>
        <v>0.20092330657536275</v>
      </c>
      <c r="L38" s="66">
        <f>K38</f>
        <v>0.20092330657536275</v>
      </c>
    </row>
    <row r="39" spans="2:12" x14ac:dyDescent="0.3">
      <c r="C39" s="34"/>
      <c r="D39" s="34"/>
      <c r="E39" s="34"/>
      <c r="F39" s="34"/>
      <c r="G39" s="34"/>
      <c r="H39" s="38"/>
      <c r="I39" s="38"/>
      <c r="J39" s="38"/>
      <c r="K39" s="38"/>
      <c r="L39" s="38"/>
    </row>
    <row r="40" spans="2:12" ht="18" x14ac:dyDescent="0.35">
      <c r="B40" s="123" t="s">
        <v>117</v>
      </c>
      <c r="C40" s="124"/>
      <c r="D40" s="124"/>
      <c r="E40" s="124"/>
      <c r="F40" s="124"/>
      <c r="G40" s="124"/>
      <c r="H40" s="125"/>
      <c r="I40" s="125"/>
      <c r="J40" s="125"/>
      <c r="K40" s="125"/>
      <c r="L40" s="125"/>
    </row>
    <row r="41" spans="2:12" x14ac:dyDescent="0.3">
      <c r="C41" s="34"/>
      <c r="D41" s="34"/>
      <c r="E41" s="34"/>
      <c r="F41" s="34"/>
      <c r="G41" s="34"/>
      <c r="H41" s="38"/>
      <c r="I41" s="38"/>
      <c r="J41" s="38"/>
      <c r="K41" s="38"/>
      <c r="L41" s="38"/>
    </row>
    <row r="42" spans="2:12" x14ac:dyDescent="0.3">
      <c r="B42" s="39" t="s">
        <v>118</v>
      </c>
      <c r="C42" s="34"/>
      <c r="D42" s="34"/>
      <c r="E42" s="34"/>
      <c r="F42" s="34"/>
      <c r="G42" s="34"/>
      <c r="H42" s="38"/>
      <c r="I42" s="38"/>
      <c r="J42" s="38"/>
      <c r="K42" s="38"/>
      <c r="L42" s="38"/>
    </row>
    <row r="43" spans="2:12" x14ac:dyDescent="0.3">
      <c r="B43" t="s">
        <v>119</v>
      </c>
      <c r="C43" s="119">
        <f>'Balance Sheet'!C6/Drivers!C51</f>
        <v>3.1407226757247532E-2</v>
      </c>
      <c r="D43" s="119">
        <f>'Balance Sheet'!D6/Drivers!D51</f>
        <v>2.940060937131132E-2</v>
      </c>
      <c r="E43" s="119">
        <f>'Balance Sheet'!E6/Drivers!E51</f>
        <v>2.4111473337934248E-2</v>
      </c>
      <c r="F43" s="119">
        <f>'Balance Sheet'!F6/Drivers!F51</f>
        <v>1.9878998367577554E-2</v>
      </c>
      <c r="G43" s="119">
        <f>'Balance Sheet'!G6/Drivers!G51</f>
        <v>0.1141606151878046</v>
      </c>
      <c r="H43" s="66">
        <f>AVERAGE(C43:F43)</f>
        <v>2.6199576958517663E-2</v>
      </c>
      <c r="I43" s="66">
        <f>H43</f>
        <v>2.6199576958517663E-2</v>
      </c>
      <c r="J43" s="66">
        <f>I43</f>
        <v>2.6199576958517663E-2</v>
      </c>
      <c r="K43" s="66">
        <f>J43</f>
        <v>2.6199576958517663E-2</v>
      </c>
      <c r="L43" s="66">
        <f>K43</f>
        <v>2.6199576958517663E-2</v>
      </c>
    </row>
    <row r="44" spans="2:12" x14ac:dyDescent="0.3">
      <c r="B44" t="s">
        <v>120</v>
      </c>
      <c r="C44" s="119">
        <f>'Balance Sheet'!C7/Drivers!C50</f>
        <v>0.22890444516979871</v>
      </c>
      <c r="D44" s="119">
        <f>'Balance Sheet'!D7/Drivers!D50</f>
        <v>0.17798144165774102</v>
      </c>
      <c r="E44" s="119">
        <f>'Balance Sheet'!E7/Drivers!E50</f>
        <v>0.16407597890788755</v>
      </c>
      <c r="F44" s="119">
        <f>'Balance Sheet'!F7/Drivers!F50</f>
        <v>0.14750360839542112</v>
      </c>
      <c r="G44" s="119">
        <f>'Balance Sheet'!G7/Drivers!G50</f>
        <v>0.15543502591458147</v>
      </c>
      <c r="H44" s="66">
        <f>AVERAGE(C44:G44)</f>
        <v>0.17478010000908598</v>
      </c>
      <c r="I44" s="66">
        <f t="shared" ref="I44:L46" si="2">H44</f>
        <v>0.17478010000908598</v>
      </c>
      <c r="J44" s="66">
        <f t="shared" si="2"/>
        <v>0.17478010000908598</v>
      </c>
      <c r="K44" s="66">
        <f t="shared" si="2"/>
        <v>0.17478010000908598</v>
      </c>
      <c r="L44" s="66">
        <f t="shared" si="2"/>
        <v>0.17478010000908598</v>
      </c>
    </row>
    <row r="45" spans="2:12" x14ac:dyDescent="0.3">
      <c r="B45" t="s">
        <v>121</v>
      </c>
      <c r="C45" s="119">
        <f>'Balance Sheet'!C9/Drivers!C50</f>
        <v>1.5719041282069191E-3</v>
      </c>
      <c r="D45" s="119">
        <f>'Balance Sheet'!D9/Drivers!D50</f>
        <v>9.0347408306023938E-4</v>
      </c>
      <c r="E45" s="119">
        <f>'Balance Sheet'!E9/Drivers!E50</f>
        <v>2.7984079970545692E-4</v>
      </c>
      <c r="F45" s="119">
        <f>'Balance Sheet'!F9/Drivers!F50</f>
        <v>2.4437073189653769E-3</v>
      </c>
      <c r="G45" s="119">
        <f>'Balance Sheet'!G9/Drivers!G50</f>
        <v>1.2094225714440899E-3</v>
      </c>
      <c r="H45" s="66">
        <f>AVERAGE(C45:G45)</f>
        <v>1.2816697802764164E-3</v>
      </c>
      <c r="I45" s="66">
        <f t="shared" si="2"/>
        <v>1.2816697802764164E-3</v>
      </c>
      <c r="J45" s="66">
        <f t="shared" si="2"/>
        <v>1.2816697802764164E-3</v>
      </c>
      <c r="K45" s="66">
        <f t="shared" si="2"/>
        <v>1.2816697802764164E-3</v>
      </c>
      <c r="L45" s="66">
        <f t="shared" si="2"/>
        <v>1.2816697802764164E-3</v>
      </c>
    </row>
    <row r="46" spans="2:12" x14ac:dyDescent="0.3">
      <c r="B46" t="s">
        <v>122</v>
      </c>
      <c r="C46" s="119">
        <f>'Balance Sheet'!C23/Drivers!C51</f>
        <v>0.45504329270609717</v>
      </c>
      <c r="D46" s="119">
        <f>'Balance Sheet'!D23/Drivers!D51</f>
        <v>0.35827529276397507</v>
      </c>
      <c r="E46" s="119">
        <f>'Balance Sheet'!E23/Drivers!E51</f>
        <v>0.27971416875107258</v>
      </c>
      <c r="F46" s="119">
        <f>'Balance Sheet'!F23/Drivers!F51</f>
        <v>0.22691309558415398</v>
      </c>
      <c r="G46" s="119">
        <f>'Balance Sheet'!G23/Drivers!G51</f>
        <v>1.5199220932023625</v>
      </c>
      <c r="H46" s="66">
        <f>AVERAGE(C46:F46)</f>
        <v>0.32998646245132468</v>
      </c>
      <c r="I46" s="66">
        <f t="shared" si="2"/>
        <v>0.32998646245132468</v>
      </c>
      <c r="J46" s="66">
        <f t="shared" si="2"/>
        <v>0.32998646245132468</v>
      </c>
      <c r="K46" s="66">
        <f t="shared" si="2"/>
        <v>0.32998646245132468</v>
      </c>
      <c r="L46" s="66">
        <f t="shared" si="2"/>
        <v>0.32998646245132468</v>
      </c>
    </row>
    <row r="47" spans="2:12" x14ac:dyDescent="0.3">
      <c r="B47" s="249" t="s">
        <v>370</v>
      </c>
      <c r="C47" s="119">
        <f>'Balance Sheet'!C5/Drivers!C50</f>
        <v>0.11637015344517491</v>
      </c>
      <c r="D47" s="119">
        <f>'Balance Sheet'!D5/Drivers!D50</f>
        <v>0.1085752086475392</v>
      </c>
      <c r="E47" s="119">
        <f>'Balance Sheet'!E5/Drivers!E50</f>
        <v>7.4636080446061973E-2</v>
      </c>
      <c r="F47" s="119">
        <f>'Balance Sheet'!F5/Drivers!F50</f>
        <v>9.5391209249529568E-2</v>
      </c>
      <c r="G47" s="119">
        <f>'Balance Sheet'!G5/Drivers!G50</f>
        <v>0.10153978753719033</v>
      </c>
      <c r="H47" s="66">
        <f>AVERAGE(C47:G47)</f>
        <v>9.9302487865099195E-2</v>
      </c>
      <c r="I47" s="66">
        <f>H47</f>
        <v>9.9302487865099195E-2</v>
      </c>
      <c r="J47" s="66">
        <f>I47</f>
        <v>9.9302487865099195E-2</v>
      </c>
      <c r="K47" s="66">
        <f>J47</f>
        <v>9.9302487865099195E-2</v>
      </c>
      <c r="L47" s="66">
        <f>K47</f>
        <v>9.9302487865099195E-2</v>
      </c>
    </row>
    <row r="48" spans="2:12" x14ac:dyDescent="0.3">
      <c r="B48" s="250" t="s">
        <v>371</v>
      </c>
      <c r="C48" s="119">
        <f>'Balance Sheet'!C25/Drivers!C50</f>
        <v>1.1723029233071378E-2</v>
      </c>
      <c r="D48" s="119">
        <f>'Balance Sheet'!D25/Drivers!D50</f>
        <v>9.8371787127998749E-3</v>
      </c>
      <c r="E48" s="119">
        <f>'Balance Sheet'!E25/Drivers!E50</f>
        <v>7.3314827025625232E-3</v>
      </c>
      <c r="F48" s="119">
        <f>'Balance Sheet'!F25/Drivers!F50</f>
        <v>9.2289568888575726E-3</v>
      </c>
      <c r="G48" s="119">
        <f>'Balance Sheet'!G25/Drivers!G50</f>
        <v>9.2666848263500846E-3</v>
      </c>
      <c r="H48" s="66">
        <f>AVERAGE(C48:G48)</f>
        <v>9.4774664727282874E-3</v>
      </c>
      <c r="I48" s="66">
        <f>AVERAGE(D48:H48)</f>
        <v>9.0283539206596677E-3</v>
      </c>
      <c r="J48" s="66">
        <f>AVERAGE(E48:I48)</f>
        <v>8.8665889622316259E-3</v>
      </c>
      <c r="K48" s="66">
        <f>AVERAGE(F48:J48)</f>
        <v>9.173610214165448E-3</v>
      </c>
      <c r="L48" s="66">
        <f>AVERAGE(G48:K48)</f>
        <v>9.1625408792270248E-3</v>
      </c>
    </row>
    <row r="49" spans="2:12" x14ac:dyDescent="0.3">
      <c r="B49" s="250"/>
      <c r="C49" s="34"/>
      <c r="D49" s="34"/>
      <c r="E49" s="34"/>
      <c r="F49" s="34"/>
      <c r="G49" s="34"/>
      <c r="H49" s="38"/>
      <c r="I49" s="38"/>
      <c r="J49" s="38"/>
      <c r="K49" s="38"/>
      <c r="L49" s="38"/>
    </row>
    <row r="50" spans="2:12" x14ac:dyDescent="0.3">
      <c r="B50" s="39" t="s">
        <v>90</v>
      </c>
      <c r="C50" s="126">
        <f>'P&amp;L'!C5</f>
        <v>158788.31</v>
      </c>
      <c r="D50" s="126">
        <f>'P&amp;L'!D5</f>
        <v>186269.87</v>
      </c>
      <c r="E50" s="126">
        <f>'P&amp;L'!E5</f>
        <v>225270.94</v>
      </c>
      <c r="F50" s="126">
        <f>'P&amp;L'!F5</f>
        <v>259859.27</v>
      </c>
      <c r="G50" s="126">
        <f>'P&amp;L'!G5</f>
        <v>291635.03999999998</v>
      </c>
      <c r="H50" s="127">
        <f>'P&amp;L'!H5</f>
        <v>335917.19709413638</v>
      </c>
      <c r="I50" s="127">
        <f>'P&amp;L'!I5</f>
        <v>386923.20135324233</v>
      </c>
      <c r="J50" s="127">
        <f>'P&amp;L'!J5</f>
        <v>441804.77646388282</v>
      </c>
      <c r="K50" s="127">
        <f>'P&amp;L'!K5</f>
        <v>500052.76149060926</v>
      </c>
      <c r="L50" s="127">
        <f>'P&amp;L'!L5</f>
        <v>560979.69169317046</v>
      </c>
    </row>
    <row r="51" spans="2:12" x14ac:dyDescent="0.3">
      <c r="B51" s="39" t="s">
        <v>56</v>
      </c>
      <c r="C51" s="126">
        <f>'P&amp;L'!C6</f>
        <v>99738.51</v>
      </c>
      <c r="D51" s="126">
        <f>'P&amp;L'!D6</f>
        <v>116615.27</v>
      </c>
      <c r="E51" s="126">
        <f>'P&amp;L'!E6</f>
        <v>146028.82</v>
      </c>
      <c r="F51" s="126">
        <f>'P&amp;L'!F6</f>
        <v>170972.9</v>
      </c>
      <c r="G51" s="126">
        <f>'P&amp;L'!G6</f>
        <v>32330.940000000006</v>
      </c>
      <c r="H51" s="127">
        <f>'P&amp;L'!H6</f>
        <v>196257.57391815539</v>
      </c>
      <c r="I51" s="127">
        <f>'P&amp;L'!I6</f>
        <v>226057.52086265784</v>
      </c>
      <c r="J51" s="127">
        <f>'P&amp;L'!J6</f>
        <v>258121.74644323421</v>
      </c>
      <c r="K51" s="127">
        <f>'P&amp;L'!K6</f>
        <v>292152.77648830455</v>
      </c>
      <c r="L51" s="127">
        <f>'P&amp;L'!L6</f>
        <v>327748.96391566203</v>
      </c>
    </row>
    <row r="52" spans="2:12" x14ac:dyDescent="0.3">
      <c r="C52" s="34"/>
      <c r="D52" s="34"/>
      <c r="E52" s="34"/>
      <c r="F52" s="34"/>
      <c r="G52" s="34"/>
      <c r="H52" s="38"/>
      <c r="I52" s="38"/>
      <c r="J52" s="38"/>
      <c r="K52" s="38"/>
      <c r="L52" s="38"/>
    </row>
    <row r="53" spans="2:12" x14ac:dyDescent="0.3">
      <c r="B53" t="s">
        <v>131</v>
      </c>
      <c r="C53" s="34"/>
      <c r="D53" s="34"/>
      <c r="E53" s="34"/>
      <c r="F53" s="34"/>
      <c r="G53" s="34"/>
      <c r="H53" s="38"/>
      <c r="I53" s="38"/>
      <c r="J53" s="38"/>
      <c r="K53" s="38"/>
      <c r="L53" s="38"/>
    </row>
    <row r="54" spans="2:12" x14ac:dyDescent="0.3">
      <c r="B54" t="s">
        <v>133</v>
      </c>
      <c r="C54" s="83" t="s">
        <v>88</v>
      </c>
      <c r="D54" s="34">
        <f>C57</f>
        <v>66743.66</v>
      </c>
      <c r="E54" s="34">
        <f>D57</f>
        <v>71172.23</v>
      </c>
      <c r="F54" s="34">
        <f>E57</f>
        <v>64015.42</v>
      </c>
      <c r="G54" s="34">
        <f>F57</f>
        <v>71620.800000000003</v>
      </c>
      <c r="H54" s="38"/>
      <c r="I54" s="38"/>
      <c r="J54" s="38"/>
      <c r="K54" s="38"/>
      <c r="L54" s="38"/>
    </row>
    <row r="55" spans="2:12" x14ac:dyDescent="0.3">
      <c r="B55" t="s">
        <v>65</v>
      </c>
      <c r="C55" s="83" t="s">
        <v>88</v>
      </c>
      <c r="D55" s="34">
        <f>'P&amp;L'!D18</f>
        <v>9533.449999999988</v>
      </c>
      <c r="E55" s="34">
        <f>'P&amp;L'!E18</f>
        <v>11352.77</v>
      </c>
      <c r="F55" s="34">
        <f>'P&amp;L'!F18</f>
        <v>13837.82</v>
      </c>
      <c r="G55" s="34">
        <f>'P&amp;L'!G18</f>
        <v>15309.829999999976</v>
      </c>
      <c r="H55" s="38"/>
      <c r="I55" s="38"/>
      <c r="J55" s="38"/>
      <c r="K55" s="38"/>
      <c r="L55" s="38"/>
    </row>
    <row r="56" spans="2:12" x14ac:dyDescent="0.3">
      <c r="B56" t="s">
        <v>128</v>
      </c>
      <c r="C56" s="83" t="s">
        <v>88</v>
      </c>
      <c r="D56" s="34">
        <f>D57-D54-D55</f>
        <v>-5104.8799999999956</v>
      </c>
      <c r="E56" s="34">
        <f>E57-E54-E55</f>
        <v>-18509.579999999998</v>
      </c>
      <c r="F56" s="34">
        <f>F57-F54-F55</f>
        <v>-6232.4399999999951</v>
      </c>
      <c r="G56" s="34">
        <f>G57-G54-G55</f>
        <v>-12672.859999999975</v>
      </c>
      <c r="H56" s="38"/>
      <c r="I56" s="38"/>
      <c r="J56" s="38"/>
      <c r="K56" s="38"/>
      <c r="L56" s="38"/>
    </row>
    <row r="57" spans="2:12" x14ac:dyDescent="0.3">
      <c r="B57" s="39" t="s">
        <v>132</v>
      </c>
      <c r="C57" s="40">
        <f>'Balance Sheet'!C35</f>
        <v>66743.66</v>
      </c>
      <c r="D57" s="40">
        <f>'Balance Sheet'!D35</f>
        <v>71172.23</v>
      </c>
      <c r="E57" s="40">
        <f>'Balance Sheet'!E35</f>
        <v>64015.42</v>
      </c>
      <c r="F57" s="40">
        <f>'Balance Sheet'!F35</f>
        <v>71620.800000000003</v>
      </c>
      <c r="G57" s="40">
        <f>'Balance Sheet'!G35</f>
        <v>74257.77</v>
      </c>
      <c r="H57" s="41"/>
      <c r="I57" s="41"/>
      <c r="J57" s="41"/>
      <c r="K57" s="41"/>
      <c r="L57" s="41"/>
    </row>
    <row r="58" spans="2:12" x14ac:dyDescent="0.3">
      <c r="C58" s="34"/>
      <c r="D58" s="34"/>
      <c r="E58" s="34"/>
      <c r="F58" s="34"/>
      <c r="G58" s="34"/>
      <c r="H58" s="38"/>
      <c r="I58" s="38"/>
      <c r="J58" s="38"/>
      <c r="K58" s="38"/>
      <c r="L58" s="38"/>
    </row>
    <row r="60" spans="2:12" x14ac:dyDescent="0.3">
      <c r="B60" s="286" t="s">
        <v>644</v>
      </c>
    </row>
  </sheetData>
  <conditionalFormatting sqref="C2">
    <cfRule type="containsText" dxfId="4" priority="1" operator="containsText" text="3">
      <formula>NOT(ISERROR(SEARCH("3",C2)))</formula>
    </cfRule>
    <cfRule type="containsText" dxfId="3" priority="2" operator="containsText" text="2">
      <formula>NOT(ISERROR(SEARCH("2",C2)))</formula>
    </cfRule>
    <cfRule type="containsText" dxfId="2" priority="3" operator="containsText" text="1">
      <formula>NOT(ISERROR(SEARCH("1",C2)))</formula>
    </cfRule>
  </conditionalFormatting>
  <dataValidations count="1">
    <dataValidation type="list" allowBlank="1" showInputMessage="1" showErrorMessage="1" sqref="C2" xr:uid="{0CA228E8-B7B2-48EB-B3E3-C40657A33824}">
      <formula1>"1,2,3"</formula1>
    </dataValidation>
  </dataValidations>
  <hyperlinks>
    <hyperlink ref="L2" location="Index!A1" display="Index" xr:uid="{D055A21B-8B0A-4862-9B8F-738FF4EAE709}"/>
  </hyperlinks>
  <pageMargins left="0.7" right="0.7" top="0.75" bottom="0.75" header="0.3" footer="0.3"/>
  <ignoredErrors>
    <ignoredError sqref="I8:L8" evalError="1"/>
  </ignoredErrors>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A75E1-7ADE-4696-9A33-510C5C910BCD}">
  <sheetPr codeName="Sheet13">
    <tabColor rgb="FFFF0000"/>
  </sheetPr>
  <dimension ref="A1"/>
  <sheetViews>
    <sheetView showGridLines="0" workbookViewId="0"/>
  </sheetViews>
  <sheetFormatPr defaultRowHeight="14.4" x14ac:dyDescent="0.3"/>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D9051-A912-4CA2-8053-E678611BB06E}">
  <sheetPr codeName="Sheet14"/>
  <dimension ref="A2:L18"/>
  <sheetViews>
    <sheetView showGridLines="0" workbookViewId="0">
      <pane xSplit="2" ySplit="4" topLeftCell="C5" activePane="bottomRight" state="frozen"/>
      <selection pane="topRight" activeCell="C1" sqref="C1"/>
      <selection pane="bottomLeft" activeCell="A5" sqref="A5"/>
      <selection pane="bottomRight" activeCell="F22" sqref="F22"/>
    </sheetView>
  </sheetViews>
  <sheetFormatPr defaultColWidth="0" defaultRowHeight="14.4" x14ac:dyDescent="0.3"/>
  <cols>
    <col min="1" max="1" width="1.88671875" customWidth="1"/>
    <col min="2" max="2" width="22.88671875" customWidth="1"/>
    <col min="3" max="12" width="12.88671875" customWidth="1"/>
    <col min="13" max="16384" width="8.88671875" hidden="1"/>
  </cols>
  <sheetData>
    <row r="2" spans="2:12" ht="25.8" x14ac:dyDescent="0.5">
      <c r="B2" s="26" t="s">
        <v>52</v>
      </c>
      <c r="L2" s="210" t="s">
        <v>190</v>
      </c>
    </row>
    <row r="3" spans="2:12" x14ac:dyDescent="0.3">
      <c r="B3" s="27" t="s">
        <v>53</v>
      </c>
    </row>
    <row r="4" spans="2:12" x14ac:dyDescent="0.3">
      <c r="B4" s="289" t="s">
        <v>54</v>
      </c>
      <c r="C4" s="290" t="s">
        <v>649</v>
      </c>
      <c r="D4" s="290" t="s">
        <v>650</v>
      </c>
      <c r="E4" s="290" t="s">
        <v>651</v>
      </c>
      <c r="F4" s="290" t="s">
        <v>652</v>
      </c>
      <c r="G4" s="290" t="s">
        <v>653</v>
      </c>
      <c r="H4" s="291" t="s">
        <v>654</v>
      </c>
      <c r="I4" s="291" t="s">
        <v>655</v>
      </c>
      <c r="J4" s="291" t="s">
        <v>656</v>
      </c>
      <c r="K4" s="291" t="s">
        <v>657</v>
      </c>
      <c r="L4" s="292" t="s">
        <v>658</v>
      </c>
    </row>
    <row r="5" spans="2:12" x14ac:dyDescent="0.3">
      <c r="B5" s="293" t="s">
        <v>55</v>
      </c>
      <c r="C5" s="387">
        <f>'(IS)'!B4</f>
        <v>158788.31</v>
      </c>
      <c r="D5" s="387">
        <f>'(IS)'!C4</f>
        <v>186269.87</v>
      </c>
      <c r="E5" s="387">
        <f>'(IS)'!D4</f>
        <v>225270.94</v>
      </c>
      <c r="F5" s="387">
        <f>'(IS)'!E4</f>
        <v>259859.27</v>
      </c>
      <c r="G5" s="387">
        <f>'(IS)'!F4</f>
        <v>291635.03999999998</v>
      </c>
      <c r="H5" s="388">
        <f>Drivers!H7</f>
        <v>335917.19709413638</v>
      </c>
      <c r="I5" s="389">
        <f>Drivers!I7</f>
        <v>386923.20135324233</v>
      </c>
      <c r="J5" s="389">
        <f>Drivers!J7</f>
        <v>441804.77646388282</v>
      </c>
      <c r="K5" s="389">
        <f>Drivers!K7</f>
        <v>500052.76149060926</v>
      </c>
      <c r="L5" s="390">
        <f>Drivers!L7</f>
        <v>560979.69169317046</v>
      </c>
    </row>
    <row r="6" spans="2:12" x14ac:dyDescent="0.3">
      <c r="B6" s="294" t="s">
        <v>56</v>
      </c>
      <c r="C6" s="387">
        <f>'(IS)'!B6+'(IS)'!B7+'(IS)'!B8+'(IS)'!B9</f>
        <v>99738.51</v>
      </c>
      <c r="D6" s="387">
        <f>'(IS)'!C6+'(IS)'!C7+'(IS)'!C8+'(IS)'!C9</f>
        <v>116615.27</v>
      </c>
      <c r="E6" s="387">
        <f>'(IS)'!D6+'(IS)'!D7+'(IS)'!D8+'(IS)'!D9</f>
        <v>146028.82</v>
      </c>
      <c r="F6" s="387">
        <f>'(IS)'!E6+'(IS)'!E7+'(IS)'!E8+'(IS)'!E9</f>
        <v>170972.9</v>
      </c>
      <c r="G6" s="387">
        <f>'(IS)'!F6+'(IS)'!F7+'(IS)'!F8+'(IS)'!F9</f>
        <v>32330.940000000006</v>
      </c>
      <c r="H6" s="388">
        <f>Drivers!H13</f>
        <v>196257.57391815539</v>
      </c>
      <c r="I6" s="389">
        <f>Drivers!I13</f>
        <v>226057.52086265784</v>
      </c>
      <c r="J6" s="389">
        <f>Drivers!J13</f>
        <v>258121.74644323421</v>
      </c>
      <c r="K6" s="389">
        <f>Drivers!K13</f>
        <v>292152.77648830455</v>
      </c>
      <c r="L6" s="390">
        <f>Drivers!L13</f>
        <v>327748.96391566203</v>
      </c>
    </row>
    <row r="7" spans="2:12" ht="15" thickBot="1" x14ac:dyDescent="0.35">
      <c r="B7" s="295" t="s">
        <v>57</v>
      </c>
      <c r="C7" s="391">
        <f t="shared" ref="C7:L7" si="0">C5-C6</f>
        <v>59049.8</v>
      </c>
      <c r="D7" s="391">
        <f t="shared" si="0"/>
        <v>69654.599999999991</v>
      </c>
      <c r="E7" s="391">
        <f t="shared" si="0"/>
        <v>79242.12</v>
      </c>
      <c r="F7" s="391">
        <f t="shared" si="0"/>
        <v>88886.37</v>
      </c>
      <c r="G7" s="391">
        <f t="shared" si="0"/>
        <v>259304.09999999998</v>
      </c>
      <c r="H7" s="392">
        <f t="shared" si="0"/>
        <v>139659.62317598099</v>
      </c>
      <c r="I7" s="393">
        <f t="shared" si="0"/>
        <v>160865.68049058449</v>
      </c>
      <c r="J7" s="393">
        <f t="shared" si="0"/>
        <v>183683.03002064861</v>
      </c>
      <c r="K7" s="393">
        <f t="shared" si="0"/>
        <v>207899.98500230472</v>
      </c>
      <c r="L7" s="394">
        <f t="shared" si="0"/>
        <v>233230.72777750844</v>
      </c>
    </row>
    <row r="8" spans="2:12" x14ac:dyDescent="0.3">
      <c r="B8" s="296" t="s">
        <v>1</v>
      </c>
      <c r="C8" s="395">
        <f>'(IS)'!B10</f>
        <v>29733.53</v>
      </c>
      <c r="D8" s="395">
        <f>'(IS)'!C10</f>
        <v>37214.11</v>
      </c>
      <c r="E8" s="395">
        <f>'(IS)'!D10</f>
        <v>41171.019999999997</v>
      </c>
      <c r="F8" s="395">
        <f>'(IS)'!E10</f>
        <v>46768.68</v>
      </c>
      <c r="G8" s="395">
        <f>'(IS)'!F10</f>
        <v>52187.22</v>
      </c>
      <c r="H8" s="396">
        <f>G8*(1+Drivers!H19)</f>
        <v>58417.464130864311</v>
      </c>
      <c r="I8" s="397">
        <f>H8*(1+Drivers!I19)</f>
        <v>65391.490780325497</v>
      </c>
      <c r="J8" s="397">
        <f>I8*(1+Drivers!J19)</f>
        <v>73198.094612501081</v>
      </c>
      <c r="K8" s="397">
        <f>J8*(1+Drivers!K19)</f>
        <v>81936.670826179165</v>
      </c>
      <c r="L8" s="398">
        <f>K8*(1+Drivers!L19)</f>
        <v>91718.480673826984</v>
      </c>
    </row>
    <row r="9" spans="2:12" x14ac:dyDescent="0.3">
      <c r="B9" s="297" t="s">
        <v>2</v>
      </c>
      <c r="C9" s="387">
        <f>'(IS)'!B13-'(IS)'!B16</f>
        <v>8734.9599999999991</v>
      </c>
      <c r="D9" s="387">
        <f>'(IS)'!C13-'(IS)'!C16</f>
        <v>8622.0500000000011</v>
      </c>
      <c r="E9" s="387">
        <f>'(IS)'!D13-'(IS)'!D16</f>
        <v>10325.81</v>
      </c>
      <c r="F9" s="387">
        <f>'(IS)'!E13-'(IS)'!E16</f>
        <v>11083.349999999999</v>
      </c>
      <c r="G9" s="387">
        <f>'(IS)'!F13-'(IS)'!F16</f>
        <v>173927.5</v>
      </c>
      <c r="H9" s="399">
        <f>H5*Drivers!H20</f>
        <v>45511.525461630525</v>
      </c>
      <c r="I9" s="400">
        <f>I5*Drivers!I20</f>
        <v>52422.041153043028</v>
      </c>
      <c r="J9" s="400">
        <f>J5*Drivers!J20</f>
        <v>59857.636069376953</v>
      </c>
      <c r="K9" s="400">
        <f>K5*Drivers!K20</f>
        <v>67749.326868671284</v>
      </c>
      <c r="L9" s="401">
        <f>L5*Drivers!L20</f>
        <v>76003.972832616346</v>
      </c>
    </row>
    <row r="10" spans="2:12" ht="15" thickBot="1" x14ac:dyDescent="0.35">
      <c r="B10" s="298" t="s">
        <v>58</v>
      </c>
      <c r="C10" s="391">
        <f t="shared" ref="C10:L10" si="1">C7-C8-C9</f>
        <v>20581.310000000005</v>
      </c>
      <c r="D10" s="391">
        <f t="shared" si="1"/>
        <v>23818.439999999988</v>
      </c>
      <c r="E10" s="391">
        <f t="shared" si="1"/>
        <v>27745.29</v>
      </c>
      <c r="F10" s="391">
        <f t="shared" si="1"/>
        <v>31034.339999999997</v>
      </c>
      <c r="G10" s="391">
        <f t="shared" si="1"/>
        <v>33189.379999999976</v>
      </c>
      <c r="H10" s="392">
        <f t="shared" si="1"/>
        <v>35730.63358348616</v>
      </c>
      <c r="I10" s="393">
        <f t="shared" si="1"/>
        <v>43052.148557215973</v>
      </c>
      <c r="J10" s="393">
        <f t="shared" si="1"/>
        <v>50627.299338770579</v>
      </c>
      <c r="K10" s="393">
        <f t="shared" si="1"/>
        <v>58213.98730745427</v>
      </c>
      <c r="L10" s="394">
        <f t="shared" si="1"/>
        <v>65508.274271065093</v>
      </c>
    </row>
    <row r="11" spans="2:12" x14ac:dyDescent="0.3">
      <c r="B11" s="299" t="s">
        <v>59</v>
      </c>
      <c r="C11" s="395">
        <f>'(IS)'!B12</f>
        <v>2947.95</v>
      </c>
      <c r="D11" s="395">
        <f>'(IS)'!C12</f>
        <v>3502.25</v>
      </c>
      <c r="E11" s="395">
        <f>'(IS)'!D12</f>
        <v>3682.33</v>
      </c>
      <c r="F11" s="395">
        <f>'(IS)'!E12</f>
        <v>4121.18</v>
      </c>
      <c r="G11" s="395">
        <f>'(IS)'!F12</f>
        <v>4364.75</v>
      </c>
      <c r="H11" s="396">
        <f>PPE!H16</f>
        <v>5148.0873997786912</v>
      </c>
      <c r="I11" s="397">
        <f>PPE!I16</f>
        <v>5631.5295830777759</v>
      </c>
      <c r="J11" s="397">
        <f>PPE!J16</f>
        <v>6169.9580267576011</v>
      </c>
      <c r="K11" s="397">
        <f>PPE!K16</f>
        <v>7133.876915597134</v>
      </c>
      <c r="L11" s="398">
        <f>PPE!L16</f>
        <v>8170.6639334534175</v>
      </c>
    </row>
    <row r="12" spans="2:12" ht="15" thickBot="1" x14ac:dyDescent="0.35">
      <c r="B12" s="298" t="s">
        <v>60</v>
      </c>
      <c r="C12" s="391">
        <f t="shared" ref="C12:L12" si="2">C10-C11</f>
        <v>17633.360000000004</v>
      </c>
      <c r="D12" s="391">
        <f t="shared" si="2"/>
        <v>20316.189999999988</v>
      </c>
      <c r="E12" s="391">
        <f t="shared" si="2"/>
        <v>24062.959999999999</v>
      </c>
      <c r="F12" s="391">
        <f t="shared" si="2"/>
        <v>26913.159999999996</v>
      </c>
      <c r="G12" s="391">
        <f t="shared" si="2"/>
        <v>28824.629999999976</v>
      </c>
      <c r="H12" s="392">
        <f t="shared" si="2"/>
        <v>30582.546183707469</v>
      </c>
      <c r="I12" s="393">
        <f t="shared" si="2"/>
        <v>37420.618974138197</v>
      </c>
      <c r="J12" s="393">
        <f t="shared" si="2"/>
        <v>44457.341312012977</v>
      </c>
      <c r="K12" s="393">
        <f t="shared" si="2"/>
        <v>51080.110391857139</v>
      </c>
      <c r="L12" s="394">
        <f t="shared" si="2"/>
        <v>57337.610337611673</v>
      </c>
    </row>
    <row r="13" spans="2:12" x14ac:dyDescent="0.3">
      <c r="B13" s="299" t="s">
        <v>4</v>
      </c>
      <c r="C13" s="395">
        <f>'(IS)'!B11</f>
        <v>3125.7</v>
      </c>
      <c r="D13" s="395">
        <f>'(IS)'!C11</f>
        <v>3207.16</v>
      </c>
      <c r="E13" s="395">
        <f>'(IS)'!D11</f>
        <v>3545.85</v>
      </c>
      <c r="F13" s="395">
        <f>'(IS)'!E11</f>
        <v>3334.37</v>
      </c>
      <c r="G13" s="395">
        <f>'(IS)'!F11</f>
        <v>2848.82</v>
      </c>
      <c r="H13" s="402">
        <f>Drivers!H31</f>
        <v>3298.310434998521</v>
      </c>
      <c r="I13" s="403">
        <f>Drivers!I31</f>
        <v>3321.5941903802709</v>
      </c>
      <c r="J13" s="403">
        <f>Drivers!J31</f>
        <v>3361.0479093684025</v>
      </c>
      <c r="K13" s="403">
        <f>Drivers!K31</f>
        <v>3382.4836207593894</v>
      </c>
      <c r="L13" s="404">
        <f>Drivers!L31</f>
        <v>3306.2656853008534</v>
      </c>
    </row>
    <row r="14" spans="2:12" x14ac:dyDescent="0.3">
      <c r="B14" s="300" t="s">
        <v>61</v>
      </c>
      <c r="C14" s="405">
        <f t="shared" ref="C14:L14" si="3">C12-C13</f>
        <v>14507.660000000003</v>
      </c>
      <c r="D14" s="405">
        <f t="shared" si="3"/>
        <v>17109.029999999988</v>
      </c>
      <c r="E14" s="405">
        <f t="shared" si="3"/>
        <v>20517.11</v>
      </c>
      <c r="F14" s="405">
        <f t="shared" si="3"/>
        <v>23578.789999999997</v>
      </c>
      <c r="G14" s="405">
        <f t="shared" si="3"/>
        <v>25975.809999999976</v>
      </c>
      <c r="H14" s="406">
        <f t="shared" si="3"/>
        <v>27284.235748708947</v>
      </c>
      <c r="I14" s="407">
        <f t="shared" si="3"/>
        <v>34099.024783757923</v>
      </c>
      <c r="J14" s="407">
        <f t="shared" si="3"/>
        <v>41096.293402644573</v>
      </c>
      <c r="K14" s="407">
        <f t="shared" si="3"/>
        <v>47697.626771097748</v>
      </c>
      <c r="L14" s="408">
        <f t="shared" si="3"/>
        <v>54031.344652310821</v>
      </c>
    </row>
    <row r="15" spans="2:12" x14ac:dyDescent="0.3">
      <c r="B15" s="293" t="s">
        <v>62</v>
      </c>
      <c r="C15" s="387">
        <f>'(IS)'!B21</f>
        <v>4216.6099999999997</v>
      </c>
      <c r="D15" s="387">
        <f>'(IS)'!C21</f>
        <v>4484.16</v>
      </c>
      <c r="E15" s="387">
        <f>'(IS)'!D21</f>
        <v>4947.3900000000003</v>
      </c>
      <c r="F15" s="387">
        <f>'(IS)'!E21</f>
        <v>5891.4</v>
      </c>
      <c r="G15" s="387">
        <f>'(IS)'!F21</f>
        <v>6816.41</v>
      </c>
      <c r="H15" s="399">
        <f>H14*Drivers!H23</f>
        <v>7366.7436521514164</v>
      </c>
      <c r="I15" s="400">
        <f>I14*Drivers!I23</f>
        <v>9206.7366916146402</v>
      </c>
      <c r="J15" s="400">
        <f>J14*Drivers!J23</f>
        <v>11095.999218714036</v>
      </c>
      <c r="K15" s="400">
        <f>K14*Drivers!K23</f>
        <v>12878.359228196392</v>
      </c>
      <c r="L15" s="401">
        <f>L14*Drivers!L23</f>
        <v>14588.463056123923</v>
      </c>
    </row>
    <row r="16" spans="2:12" ht="15" thickBot="1" x14ac:dyDescent="0.35">
      <c r="B16" s="298" t="s">
        <v>63</v>
      </c>
      <c r="C16" s="391">
        <f t="shared" ref="C16:L16" si="4">C14-C15</f>
        <v>10291.050000000003</v>
      </c>
      <c r="D16" s="391">
        <f t="shared" si="4"/>
        <v>12624.869999999988</v>
      </c>
      <c r="E16" s="391">
        <f t="shared" si="4"/>
        <v>15569.720000000001</v>
      </c>
      <c r="F16" s="391">
        <f t="shared" si="4"/>
        <v>17687.39</v>
      </c>
      <c r="G16" s="391">
        <f t="shared" si="4"/>
        <v>19159.399999999976</v>
      </c>
      <c r="H16" s="392">
        <f t="shared" si="4"/>
        <v>19917.492096557529</v>
      </c>
      <c r="I16" s="393">
        <f t="shared" si="4"/>
        <v>24892.288092143281</v>
      </c>
      <c r="J16" s="393">
        <f t="shared" si="4"/>
        <v>30000.294183930535</v>
      </c>
      <c r="K16" s="393">
        <f t="shared" si="4"/>
        <v>34819.267542901354</v>
      </c>
      <c r="L16" s="394">
        <f t="shared" si="4"/>
        <v>39442.881596186897</v>
      </c>
    </row>
    <row r="17" spans="2:12" x14ac:dyDescent="0.3">
      <c r="B17" s="299" t="s">
        <v>64</v>
      </c>
      <c r="C17" s="395">
        <f>'(IS)'!B33</f>
        <v>2528.46</v>
      </c>
      <c r="D17" s="395">
        <f>'(IS)'!C33</f>
        <v>3091.42</v>
      </c>
      <c r="E17" s="395">
        <f>'(IS)'!D33</f>
        <v>4216.95</v>
      </c>
      <c r="F17" s="395">
        <f>'(IS)'!E33</f>
        <v>3849.57</v>
      </c>
      <c r="G17" s="395">
        <f>'(IS)'!F33</f>
        <v>3849.57</v>
      </c>
      <c r="H17" s="402">
        <f>Drivers!H37</f>
        <v>4001.8883707289933</v>
      </c>
      <c r="I17" s="403">
        <f>Drivers!I37</f>
        <v>5001.4408316999561</v>
      </c>
      <c r="J17" s="403">
        <f>Drivers!J37</f>
        <v>6027.7583056689473</v>
      </c>
      <c r="K17" s="403">
        <f>Drivers!K37</f>
        <v>6996.0023672519465</v>
      </c>
      <c r="L17" s="404">
        <f>Drivers!L37</f>
        <v>7924.9941911663936</v>
      </c>
    </row>
    <row r="18" spans="2:12" x14ac:dyDescent="0.3">
      <c r="B18" s="301" t="s">
        <v>65</v>
      </c>
      <c r="C18" s="44">
        <f t="shared" ref="C18:L18" si="5">C16-C17</f>
        <v>7762.5900000000029</v>
      </c>
      <c r="D18" s="44">
        <f t="shared" si="5"/>
        <v>9533.449999999988</v>
      </c>
      <c r="E18" s="44">
        <f t="shared" si="5"/>
        <v>11352.77</v>
      </c>
      <c r="F18" s="44">
        <f t="shared" si="5"/>
        <v>13837.82</v>
      </c>
      <c r="G18" s="44">
        <f t="shared" si="5"/>
        <v>15309.829999999976</v>
      </c>
      <c r="H18" s="409">
        <f t="shared" si="5"/>
        <v>15915.603725828536</v>
      </c>
      <c r="I18" s="410">
        <f t="shared" si="5"/>
        <v>19890.847260443326</v>
      </c>
      <c r="J18" s="410">
        <f t="shared" si="5"/>
        <v>23972.535878261588</v>
      </c>
      <c r="K18" s="410">
        <f t="shared" si="5"/>
        <v>27823.265175649409</v>
      </c>
      <c r="L18" s="411">
        <f t="shared" si="5"/>
        <v>31517.887405020505</v>
      </c>
    </row>
  </sheetData>
  <phoneticPr fontId="12" type="noConversion"/>
  <hyperlinks>
    <hyperlink ref="L2" location="'P&amp;L'!A1" display="'P&amp;L'!A1" xr:uid="{330E91DD-12CE-476B-BCDA-DE0FA8C8D06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94D1B-5296-4D63-83B0-079A1D6D832D}">
  <sheetPr codeName="Sheet15"/>
  <dimension ref="A2:XFC57"/>
  <sheetViews>
    <sheetView showGridLines="0" workbookViewId="0">
      <pane xSplit="2" ySplit="4" topLeftCell="C22" activePane="bottomRight" state="frozen"/>
      <selection pane="topRight" activeCell="C1" sqref="C1"/>
      <selection pane="bottomLeft" activeCell="A5" sqref="A5"/>
      <selection pane="bottomRight" activeCell="F46" sqref="F46"/>
    </sheetView>
  </sheetViews>
  <sheetFormatPr defaultColWidth="0" defaultRowHeight="14.4" x14ac:dyDescent="0.3"/>
  <cols>
    <col min="1" max="1" width="1.88671875" customWidth="1"/>
    <col min="2" max="2" width="31.5546875" customWidth="1"/>
    <col min="3" max="7" width="12.5546875" customWidth="1"/>
    <col min="8" max="12" width="13" customWidth="1"/>
    <col min="13" max="16383" width="8.88671875" hidden="1"/>
    <col min="16384" max="16384" width="4.109375" hidden="1" customWidth="1"/>
  </cols>
  <sheetData>
    <row r="2" spans="2:12" ht="25.8" x14ac:dyDescent="0.5">
      <c r="B2" s="26" t="s">
        <v>5</v>
      </c>
      <c r="L2" s="210" t="s">
        <v>190</v>
      </c>
    </row>
    <row r="3" spans="2:12" x14ac:dyDescent="0.3">
      <c r="B3" s="27" t="s">
        <v>53</v>
      </c>
    </row>
    <row r="4" spans="2:12" x14ac:dyDescent="0.3">
      <c r="B4" s="28" t="s">
        <v>54</v>
      </c>
      <c r="C4" s="29" t="str">
        <f>'P&amp;L'!C4</f>
        <v>2022</v>
      </c>
      <c r="D4" s="29" t="str">
        <f>'P&amp;L'!D4</f>
        <v>2023</v>
      </c>
      <c r="E4" s="29" t="str">
        <f>'P&amp;L'!E4</f>
        <v>2024</v>
      </c>
      <c r="F4" s="29" t="str">
        <f>'P&amp;L'!F4</f>
        <v>2025</v>
      </c>
      <c r="G4" s="29" t="str">
        <f>'P&amp;L'!G4</f>
        <v>2026</v>
      </c>
      <c r="H4" s="30" t="s">
        <v>369</v>
      </c>
      <c r="I4" s="30" t="str">
        <f>'P&amp;L'!I4</f>
        <v>2028</v>
      </c>
      <c r="J4" s="30" t="str">
        <f>'P&amp;L'!J4</f>
        <v>2029</v>
      </c>
      <c r="K4" s="30" t="str">
        <f>'P&amp;L'!K4</f>
        <v>2030</v>
      </c>
      <c r="L4" s="30" t="str">
        <f>'P&amp;L'!L4</f>
        <v>2031</v>
      </c>
    </row>
    <row r="5" spans="2:12" x14ac:dyDescent="0.3">
      <c r="B5" s="249" t="s">
        <v>359</v>
      </c>
      <c r="C5" s="42">
        <f>'(BS)'!B35</f>
        <v>18478.22</v>
      </c>
      <c r="D5" s="42">
        <f>'(BS)'!C35</f>
        <v>20224.29</v>
      </c>
      <c r="E5" s="42">
        <f>'(BS)'!D35</f>
        <v>16813.34</v>
      </c>
      <c r="F5" s="42">
        <f>'(BS)'!E35</f>
        <v>24788.29</v>
      </c>
      <c r="G5" s="42">
        <f>'(BS)'!F35</f>
        <v>29612.560000000001</v>
      </c>
      <c r="H5" s="274">
        <f>WC!H5</f>
        <v>33357.413388118614</v>
      </c>
      <c r="I5" s="274">
        <f>WC!I5</f>
        <v>38422.436507105682</v>
      </c>
      <c r="J5" s="274">
        <f>WC!J5</f>
        <v>43872.313453547584</v>
      </c>
      <c r="K5" s="274">
        <f>WC!K5</f>
        <v>49656.483279830565</v>
      </c>
      <c r="L5" s="274">
        <f>WC!L5</f>
        <v>55706.679026928148</v>
      </c>
    </row>
    <row r="6" spans="2:12" x14ac:dyDescent="0.3">
      <c r="B6" s="255" t="s">
        <v>16</v>
      </c>
      <c r="C6" s="42">
        <f>'(BS)'!B36</f>
        <v>3132.51</v>
      </c>
      <c r="D6" s="42">
        <f>'(BS)'!C36</f>
        <v>3428.56</v>
      </c>
      <c r="E6" s="42">
        <f>'(BS)'!D36</f>
        <v>3520.97</v>
      </c>
      <c r="F6" s="42">
        <f>'(BS)'!E36</f>
        <v>3398.77</v>
      </c>
      <c r="G6" s="42">
        <f>'(BS)'!F36</f>
        <v>3690.92</v>
      </c>
      <c r="H6" s="274">
        <f>WC!H6</f>
        <v>5141.8654115606814</v>
      </c>
      <c r="I6" s="274">
        <f>WC!I6</f>
        <v>5922.6114148929164</v>
      </c>
      <c r="J6" s="274">
        <f>WC!J6</f>
        <v>6762.6805606064972</v>
      </c>
      <c r="K6" s="274">
        <f>WC!K6</f>
        <v>7654.2791512499443</v>
      </c>
      <c r="L6" s="274">
        <f>WC!L6</f>
        <v>8586.8842031828153</v>
      </c>
    </row>
    <row r="7" spans="2:12" x14ac:dyDescent="0.3">
      <c r="B7" t="s">
        <v>360</v>
      </c>
      <c r="C7" s="42">
        <f>'(BS)'!B37</f>
        <v>36347.35</v>
      </c>
      <c r="D7" s="42">
        <f>'(BS)'!C37</f>
        <v>33152.58</v>
      </c>
      <c r="E7" s="42">
        <f>'(BS)'!D37</f>
        <v>36961.550000000003</v>
      </c>
      <c r="F7" s="42">
        <f>'(BS)'!E37</f>
        <v>38330.18</v>
      </c>
      <c r="G7" s="42">
        <f>'(BS)'!F37</f>
        <v>45330.3</v>
      </c>
      <c r="H7" s="274">
        <f>WC!H7</f>
        <v>58711.641302885</v>
      </c>
      <c r="I7" s="274">
        <f>WC!I7</f>
        <v>67626.475828355411</v>
      </c>
      <c r="J7" s="274">
        <f>WC!J7</f>
        <v>77218.683014849317</v>
      </c>
      <c r="K7" s="274">
        <f>WC!K7</f>
        <v>87399.271663148305</v>
      </c>
      <c r="L7" s="274">
        <f>WC!L7</f>
        <v>98048.086617198554</v>
      </c>
    </row>
    <row r="8" spans="2:12" x14ac:dyDescent="0.3">
      <c r="B8" t="s">
        <v>361</v>
      </c>
      <c r="C8" s="42">
        <f>'(BS)'!B38</f>
        <v>6498.51</v>
      </c>
      <c r="D8" s="42">
        <f>'(BS)'!C38</f>
        <v>4569.6400000000003</v>
      </c>
      <c r="E8" s="42">
        <f>'(BS)'!D38</f>
        <v>4769.1899999999996</v>
      </c>
      <c r="F8" s="42">
        <f>'(BS)'!E38</f>
        <v>4346.6099999999997</v>
      </c>
      <c r="G8" s="42">
        <f>'(BS)'!F38</f>
        <v>7544.32</v>
      </c>
      <c r="H8" s="415">
        <f>G8+'Cash Flow'!H32</f>
        <v>14116.535103284805</v>
      </c>
      <c r="I8" s="415">
        <f>H8+'Cash Flow'!I32</f>
        <v>25451.754755174148</v>
      </c>
      <c r="J8" s="415">
        <f>I8+'Cash Flow'!J32</f>
        <v>40063.849015933767</v>
      </c>
      <c r="K8" s="415">
        <f>J8+'Cash Flow'!K32</f>
        <v>53324.764995356374</v>
      </c>
      <c r="L8" s="415">
        <f>K8+'Cash Flow'!L32</f>
        <v>60707.624388674245</v>
      </c>
    </row>
    <row r="9" spans="2:12" x14ac:dyDescent="0.3">
      <c r="B9" t="s">
        <v>362</v>
      </c>
      <c r="C9" s="42">
        <f>'(BS)'!B39</f>
        <v>249.6</v>
      </c>
      <c r="D9" s="42">
        <f>'(BS)'!C39</f>
        <v>168.29</v>
      </c>
      <c r="E9" s="42">
        <f>'(BS)'!D39</f>
        <v>63.04</v>
      </c>
      <c r="F9" s="42">
        <f>'(BS)'!E39</f>
        <v>635.02</v>
      </c>
      <c r="G9" s="42">
        <f>'(BS)'!F39</f>
        <v>352.71</v>
      </c>
      <c r="H9" s="274">
        <f>WC!H8</f>
        <v>293.73200000000003</v>
      </c>
      <c r="I9" s="274">
        <f>WC!I8</f>
        <v>302.55840000000001</v>
      </c>
      <c r="J9" s="274">
        <f>WC!J8</f>
        <v>329.41207999999995</v>
      </c>
      <c r="K9" s="274">
        <f>WC!K8</f>
        <v>382.68649599999998</v>
      </c>
      <c r="L9" s="274">
        <f>WC!L8</f>
        <v>332.21979520000002</v>
      </c>
    </row>
    <row r="10" spans="2:12" x14ac:dyDescent="0.3">
      <c r="B10" t="s">
        <v>363</v>
      </c>
      <c r="C10" s="42">
        <f>'(BS)'!B40</f>
        <v>57311.67</v>
      </c>
      <c r="D10" s="42">
        <f>'(BS)'!C40</f>
        <v>62997.23</v>
      </c>
      <c r="E10" s="42">
        <f>'(BS)'!D40</f>
        <v>62541.16</v>
      </c>
      <c r="F10" s="42">
        <f>'(BS)'!E40</f>
        <v>61073.69</v>
      </c>
      <c r="G10" s="42">
        <f>'(BS)'!F40</f>
        <v>73380.45</v>
      </c>
      <c r="H10" s="274">
        <f>WC!H9</f>
        <v>63460.840000000004</v>
      </c>
      <c r="I10" s="274">
        <f>WC!I9</f>
        <v>64690.674000000014</v>
      </c>
      <c r="J10" s="274">
        <f>WC!J9</f>
        <v>65029.362800000003</v>
      </c>
      <c r="K10" s="274">
        <f>WC!K9</f>
        <v>65527.00336000001</v>
      </c>
      <c r="L10" s="274">
        <f>WC!L9</f>
        <v>66417.666032000008</v>
      </c>
    </row>
    <row r="11" spans="2:12" x14ac:dyDescent="0.3">
      <c r="B11" s="43" t="s">
        <v>66</v>
      </c>
      <c r="C11" s="44">
        <f t="shared" ref="C11:L11" si="0">SUM(C5:C10)</f>
        <v>122017.86</v>
      </c>
      <c r="D11" s="37">
        <f t="shared" si="0"/>
        <v>124540.59000000001</v>
      </c>
      <c r="E11" s="37">
        <f t="shared" si="0"/>
        <v>124669.25</v>
      </c>
      <c r="F11" s="37">
        <f t="shared" si="0"/>
        <v>132572.56</v>
      </c>
      <c r="G11" s="37">
        <f t="shared" si="0"/>
        <v>159911.26</v>
      </c>
      <c r="H11" s="410">
        <f t="shared" si="0"/>
        <v>175082.02720584912</v>
      </c>
      <c r="I11" s="410">
        <f t="shared" si="0"/>
        <v>202416.51090552821</v>
      </c>
      <c r="J11" s="410">
        <f t="shared" si="0"/>
        <v>233276.30092493715</v>
      </c>
      <c r="K11" s="410">
        <f t="shared" si="0"/>
        <v>263944.48894558521</v>
      </c>
      <c r="L11" s="410">
        <f t="shared" si="0"/>
        <v>289799.16006318375</v>
      </c>
    </row>
    <row r="12" spans="2:12" x14ac:dyDescent="0.3">
      <c r="B12" s="1"/>
      <c r="C12" s="34"/>
      <c r="D12" s="34"/>
      <c r="E12" s="34"/>
      <c r="F12" s="34"/>
      <c r="G12" s="34"/>
      <c r="H12" s="274"/>
      <c r="I12" s="274"/>
      <c r="J12" s="274"/>
      <c r="K12" s="274"/>
      <c r="L12" s="274"/>
    </row>
    <row r="13" spans="2:12" x14ac:dyDescent="0.3">
      <c r="B13" s="244" t="s">
        <v>349</v>
      </c>
      <c r="C13" s="42">
        <f>'(BS)'!B23</f>
        <v>8328.9599999999991</v>
      </c>
      <c r="D13" s="42">
        <f>'(BS)'!C23</f>
        <v>8993.2900000000009</v>
      </c>
      <c r="E13" s="42">
        <f>'(BS)'!D23</f>
        <v>9678.7800000000007</v>
      </c>
      <c r="F13" s="42">
        <f>'(BS)'!E23</f>
        <v>9717.01</v>
      </c>
      <c r="G13" s="42">
        <f>'(BS)'!F23</f>
        <v>12154.2</v>
      </c>
      <c r="H13" s="274">
        <f>G13+PPE!H6</f>
        <v>16913.975744220923</v>
      </c>
      <c r="I13" s="274">
        <f>H13+PPE!I6</f>
        <v>22197.629267871522</v>
      </c>
      <c r="J13" s="274">
        <f>I13+PPE!J6</f>
        <v>28079.571131346118</v>
      </c>
      <c r="K13" s="274">
        <f>J13+PPE!K6</f>
        <v>35153.991085259266</v>
      </c>
      <c r="L13" s="274">
        <f>K13+PPE!L6</f>
        <v>42787.079799707368</v>
      </c>
    </row>
    <row r="14" spans="2:12" x14ac:dyDescent="0.3">
      <c r="B14" s="244" t="s">
        <v>14</v>
      </c>
      <c r="C14" s="42">
        <f>'(BS)'!B24</f>
        <v>194.58</v>
      </c>
      <c r="D14" s="42">
        <f>'(BS)'!C24</f>
        <v>194.1</v>
      </c>
      <c r="E14" s="42">
        <f>'(BS)'!D24</f>
        <v>199.62</v>
      </c>
      <c r="F14" s="42">
        <f>'(BS)'!E24</f>
        <v>229.81</v>
      </c>
      <c r="G14" s="42">
        <f>'(BS)'!F24</f>
        <v>118.46</v>
      </c>
      <c r="H14" s="274">
        <f>G14+PPE!H24</f>
        <v>2638.9433618077505</v>
      </c>
      <c r="I14" s="274">
        <f>H14+PPE!I24</f>
        <v>5326.025506534239</v>
      </c>
      <c r="J14" s="274">
        <f>I14+PPE!J24</f>
        <v>9823.8220013992141</v>
      </c>
      <c r="K14" s="274">
        <f>J14+PPE!K24</f>
        <v>18534.756539047681</v>
      </c>
      <c r="L14" s="274">
        <f>K14+PPE!L24</f>
        <v>35968.478973536359</v>
      </c>
    </row>
    <row r="15" spans="2:12" x14ac:dyDescent="0.3">
      <c r="B15" s="246" t="s">
        <v>350</v>
      </c>
      <c r="C15" s="42">
        <f>'(BS)'!B25</f>
        <v>571.5</v>
      </c>
      <c r="D15" s="42">
        <f>'(BS)'!C25</f>
        <v>1938.38</v>
      </c>
      <c r="E15" s="42">
        <f>'(BS)'!D25</f>
        <v>1397.04</v>
      </c>
      <c r="F15" s="42">
        <f>'(BS)'!E25</f>
        <v>1117.33</v>
      </c>
      <c r="G15" s="42">
        <f>'(BS)'!F25</f>
        <v>1439.81</v>
      </c>
      <c r="H15" s="416">
        <f>G15</f>
        <v>1439.81</v>
      </c>
      <c r="I15" s="416">
        <f>H15</f>
        <v>1439.81</v>
      </c>
      <c r="J15" s="416">
        <f>I15</f>
        <v>1439.81</v>
      </c>
      <c r="K15" s="416">
        <f>J15</f>
        <v>1439.81</v>
      </c>
      <c r="L15" s="416">
        <f>K15</f>
        <v>1439.81</v>
      </c>
    </row>
    <row r="16" spans="2:12" x14ac:dyDescent="0.3">
      <c r="B16" s="249" t="s">
        <v>351</v>
      </c>
      <c r="C16" s="42">
        <f>'(BS)'!B26</f>
        <v>11.26</v>
      </c>
      <c r="D16" s="42">
        <f>'(BS)'!C26</f>
        <v>16.39</v>
      </c>
      <c r="E16" s="42">
        <f>'(BS)'!D26</f>
        <v>26.63</v>
      </c>
      <c r="F16" s="42">
        <f>'(BS)'!E26</f>
        <v>21.76</v>
      </c>
      <c r="G16" s="42">
        <f>'(BS)'!F26</f>
        <v>0</v>
      </c>
      <c r="H16" s="274">
        <f>G16</f>
        <v>0</v>
      </c>
      <c r="I16" s="274">
        <f t="shared" ref="I16:L17" si="1">H16</f>
        <v>0</v>
      </c>
      <c r="J16" s="274">
        <f t="shared" si="1"/>
        <v>0</v>
      </c>
      <c r="K16" s="274">
        <f t="shared" si="1"/>
        <v>0</v>
      </c>
      <c r="L16" s="274">
        <f t="shared" si="1"/>
        <v>0</v>
      </c>
    </row>
    <row r="17" spans="2:12" x14ac:dyDescent="0.3">
      <c r="B17" s="252" t="s">
        <v>352</v>
      </c>
      <c r="C17" s="42">
        <f>SUM('(BS)'!B27:B32)</f>
        <v>47074.060000000005</v>
      </c>
      <c r="D17" s="42">
        <f>SUM('(BS)'!C27:C32)</f>
        <v>48452.47</v>
      </c>
      <c r="E17" s="42">
        <f>SUM('(BS)'!D27:D32)</f>
        <v>51774.7</v>
      </c>
      <c r="F17" s="42">
        <f>SUM('(BS)'!E27:E32)</f>
        <v>55150.95</v>
      </c>
      <c r="G17" s="42">
        <f>SUM('(BS)'!F27:F32)</f>
        <v>48226.98</v>
      </c>
      <c r="H17" s="274">
        <f>G17</f>
        <v>48226.98</v>
      </c>
      <c r="I17" s="274">
        <f t="shared" si="1"/>
        <v>48226.98</v>
      </c>
      <c r="J17" s="274">
        <f t="shared" si="1"/>
        <v>48226.98</v>
      </c>
      <c r="K17" s="274">
        <f t="shared" si="1"/>
        <v>48226.98</v>
      </c>
      <c r="L17" s="274">
        <f t="shared" si="1"/>
        <v>48226.98</v>
      </c>
    </row>
    <row r="18" spans="2:12" x14ac:dyDescent="0.3">
      <c r="B18" s="45" t="s">
        <v>15</v>
      </c>
      <c r="C18" s="42">
        <f>'(BS)'!B28</f>
        <v>9695.94</v>
      </c>
      <c r="D18" s="42">
        <f>'(BS)'!C28</f>
        <v>11710.73</v>
      </c>
      <c r="E18" s="42">
        <f>'(BS)'!D28</f>
        <v>12463.33</v>
      </c>
      <c r="F18" s="42">
        <f>'(BS)'!E28</f>
        <v>12393.07</v>
      </c>
      <c r="G18" s="42">
        <f>'(BS)'!F28</f>
        <v>13712.47</v>
      </c>
      <c r="H18" s="274">
        <f>G18+PPE!H16</f>
        <v>18860.557399778692</v>
      </c>
      <c r="I18" s="274">
        <f>H18+PPE!I16</f>
        <v>24492.086982856468</v>
      </c>
      <c r="J18" s="274">
        <f>I18+PPE!J16</f>
        <v>30662.04500961407</v>
      </c>
      <c r="K18" s="274">
        <f>J18+PPE!K16</f>
        <v>37795.921925211202</v>
      </c>
      <c r="L18" s="274">
        <f>K18+PPE!L16</f>
        <v>45966.585858664621</v>
      </c>
    </row>
    <row r="19" spans="2:12" x14ac:dyDescent="0.3">
      <c r="B19" s="46" t="s">
        <v>71</v>
      </c>
      <c r="C19" s="44">
        <f>SUM(C13:C17)-C18</f>
        <v>46484.42</v>
      </c>
      <c r="D19" s="37">
        <f>SUM(D13:D17)-D18</f>
        <v>47883.900000000009</v>
      </c>
      <c r="E19" s="37">
        <f>SUM(E13:E17)-E18</f>
        <v>50613.439999999995</v>
      </c>
      <c r="F19" s="37">
        <f>SUM(F13:F17)-F18</f>
        <v>53843.79</v>
      </c>
      <c r="G19" s="37">
        <f>SUM(G13:G17)-G18</f>
        <v>48226.98</v>
      </c>
      <c r="H19" s="410">
        <f>H13+H14+H15+H16+H17-H18</f>
        <v>50359.151706249984</v>
      </c>
      <c r="I19" s="410">
        <f>I13+I14+I15+I16+I17-I18</f>
        <v>52698.357791549301</v>
      </c>
      <c r="J19" s="410">
        <f>J13+J14+J15+J16+J17-J18</f>
        <v>56908.138123131255</v>
      </c>
      <c r="K19" s="410">
        <f>K13+K14+K15+K16+K17-K18</f>
        <v>65559.615699095739</v>
      </c>
      <c r="L19" s="410">
        <f>L13+L14+L15+L16+L17-L18</f>
        <v>82455.7629145791</v>
      </c>
    </row>
    <row r="20" spans="2:12" ht="15" thickBot="1" x14ac:dyDescent="0.35">
      <c r="B20" s="31" t="s">
        <v>20</v>
      </c>
      <c r="C20" s="47">
        <f t="shared" ref="C20:L20" si="2">C11+C19</f>
        <v>168502.28</v>
      </c>
      <c r="D20" s="47">
        <f t="shared" si="2"/>
        <v>172424.49000000002</v>
      </c>
      <c r="E20" s="47">
        <f t="shared" si="2"/>
        <v>175282.69</v>
      </c>
      <c r="F20" s="47">
        <f t="shared" si="2"/>
        <v>186416.35</v>
      </c>
      <c r="G20" s="47">
        <f t="shared" si="2"/>
        <v>208138.24000000002</v>
      </c>
      <c r="H20" s="424">
        <f t="shared" si="2"/>
        <v>225441.1789120991</v>
      </c>
      <c r="I20" s="424">
        <f t="shared" si="2"/>
        <v>255114.8686970775</v>
      </c>
      <c r="J20" s="424">
        <f t="shared" si="2"/>
        <v>290184.43904806842</v>
      </c>
      <c r="K20" s="424">
        <f t="shared" si="2"/>
        <v>329504.10464468098</v>
      </c>
      <c r="L20" s="424">
        <f t="shared" si="2"/>
        <v>372254.92297776288</v>
      </c>
    </row>
    <row r="21" spans="2:12" x14ac:dyDescent="0.3">
      <c r="B21" s="39"/>
      <c r="C21" s="40"/>
      <c r="D21" s="40"/>
      <c r="E21" s="40"/>
      <c r="F21" s="40"/>
      <c r="G21" s="40"/>
      <c r="H21" s="415"/>
      <c r="I21" s="415"/>
      <c r="J21" s="415"/>
      <c r="K21" s="415"/>
      <c r="L21" s="415"/>
    </row>
    <row r="22" spans="2:12" x14ac:dyDescent="0.3">
      <c r="B22" s="244" t="s">
        <v>343</v>
      </c>
      <c r="C22" s="42">
        <f>'(BS)'!B15</f>
        <v>7329.88</v>
      </c>
      <c r="D22" s="42">
        <f>'(BS)'!C15</f>
        <v>8760.24</v>
      </c>
      <c r="E22" s="42">
        <f>'(BS)'!D15</f>
        <v>10609.33</v>
      </c>
      <c r="F22" s="42">
        <f>'(BS)'!E15</f>
        <v>12648.88</v>
      </c>
      <c r="G22" s="42">
        <f>'(BS)'!F15</f>
        <v>1593.46</v>
      </c>
      <c r="H22" s="416">
        <f>Drivers!H29</f>
        <v>8188.3579999999984</v>
      </c>
      <c r="I22" s="416">
        <f>Drivers!I29</f>
        <v>8360.0535999999993</v>
      </c>
      <c r="J22" s="416">
        <f>Drivers!J29</f>
        <v>8280.0163199999988</v>
      </c>
      <c r="K22" s="416">
        <f>Drivers!K29</f>
        <v>7814.1535839999997</v>
      </c>
      <c r="L22" s="416">
        <f>Drivers!L29</f>
        <v>6847.2083007999991</v>
      </c>
    </row>
    <row r="23" spans="2:12" x14ac:dyDescent="0.3">
      <c r="B23" s="244" t="s">
        <v>11</v>
      </c>
      <c r="C23" s="42">
        <f>'(BS)'!B16</f>
        <v>45385.34</v>
      </c>
      <c r="D23" s="42">
        <f>'(BS)'!C16</f>
        <v>41780.370000000003</v>
      </c>
      <c r="E23" s="42">
        <f>'(BS)'!D16</f>
        <v>40846.33</v>
      </c>
      <c r="F23" s="42">
        <f>'(BS)'!E16</f>
        <v>38795.99</v>
      </c>
      <c r="G23" s="42">
        <f>'(BS)'!F16</f>
        <v>49140.51</v>
      </c>
      <c r="H23" s="416">
        <f>WC!H12</f>
        <v>64762.342546531465</v>
      </c>
      <c r="I23" s="416">
        <f>WC!I12</f>
        <v>74595.921619984991</v>
      </c>
      <c r="J23" s="416">
        <f>WC!J12</f>
        <v>85176.681990560654</v>
      </c>
      <c r="K23" s="416">
        <f>WC!K12</f>
        <v>96406.461208708162</v>
      </c>
      <c r="L23" s="416">
        <f>WC!L12</f>
        <v>108152.72117461618</v>
      </c>
    </row>
    <row r="24" spans="2:12" x14ac:dyDescent="0.3">
      <c r="B24" s="244" t="s">
        <v>344</v>
      </c>
      <c r="C24" s="42">
        <f>'(BS)'!B17</f>
        <v>32990.78</v>
      </c>
      <c r="D24" s="42">
        <f>'(BS)'!C17</f>
        <v>38330.160000000003</v>
      </c>
      <c r="E24" s="42">
        <f>'(BS)'!D17</f>
        <v>44919.82</v>
      </c>
      <c r="F24" s="42">
        <f>'(BS)'!E17</f>
        <v>50265.96</v>
      </c>
      <c r="G24" s="42">
        <f>'(BS)'!F17</f>
        <v>68948.95</v>
      </c>
      <c r="H24" s="416">
        <f>WC!H13</f>
        <v>47091.133999999998</v>
      </c>
      <c r="I24" s="416">
        <f>WC!I13</f>
        <v>47091.133999999998</v>
      </c>
      <c r="J24" s="416">
        <f>WC!J13</f>
        <v>47091.133999999998</v>
      </c>
      <c r="K24" s="416">
        <f>WC!K13</f>
        <v>47091.133999999998</v>
      </c>
      <c r="L24" s="416">
        <f>WC!L13</f>
        <v>47091.133999999998</v>
      </c>
    </row>
    <row r="25" spans="2:12" x14ac:dyDescent="0.3">
      <c r="B25" s="250" t="s">
        <v>345</v>
      </c>
      <c r="C25" s="42">
        <f>'(BS)'!B18</f>
        <v>1861.48</v>
      </c>
      <c r="D25" s="42">
        <f>'(BS)'!C18</f>
        <v>1832.37</v>
      </c>
      <c r="E25" s="42">
        <f>'(BS)'!D18</f>
        <v>1651.57</v>
      </c>
      <c r="F25" s="42">
        <f>'(BS)'!E18</f>
        <v>2398.23</v>
      </c>
      <c r="G25" s="42">
        <f>'(BS)'!F18</f>
        <v>2702.49</v>
      </c>
      <c r="H25" s="416">
        <f>WC!H14</f>
        <v>3183.6439730725378</v>
      </c>
      <c r="I25" s="416">
        <f>WC!I14</f>
        <v>3493.2796019317352</v>
      </c>
      <c r="J25" s="416">
        <f>WC!J14</f>
        <v>3917.3013544558744</v>
      </c>
      <c r="K25" s="416">
        <f>WC!K14</f>
        <v>4587.2891204318921</v>
      </c>
      <c r="L25" s="416">
        <f>WC!L14</f>
        <v>5139.9993575548469</v>
      </c>
    </row>
    <row r="26" spans="2:12" x14ac:dyDescent="0.3">
      <c r="B26" s="32" t="s">
        <v>72</v>
      </c>
      <c r="C26" s="44">
        <f t="shared" ref="C26:L26" si="3">SUM(C22:C25)</f>
        <v>87567.48</v>
      </c>
      <c r="D26" s="37">
        <f t="shared" si="3"/>
        <v>90703.14</v>
      </c>
      <c r="E26" s="37">
        <f t="shared" si="3"/>
        <v>98027.050000000017</v>
      </c>
      <c r="F26" s="37">
        <f t="shared" si="3"/>
        <v>104109.05999999998</v>
      </c>
      <c r="G26" s="37">
        <f t="shared" si="3"/>
        <v>122385.41</v>
      </c>
      <c r="H26" s="410">
        <f t="shared" si="3"/>
        <v>123225.478519604</v>
      </c>
      <c r="I26" s="410">
        <f t="shared" si="3"/>
        <v>133540.38882191674</v>
      </c>
      <c r="J26" s="410">
        <f t="shared" si="3"/>
        <v>144465.13366501653</v>
      </c>
      <c r="K26" s="410">
        <f t="shared" si="3"/>
        <v>155899.03791314006</v>
      </c>
      <c r="L26" s="410">
        <f t="shared" si="3"/>
        <v>167231.06283297105</v>
      </c>
    </row>
    <row r="27" spans="2:12" x14ac:dyDescent="0.3">
      <c r="B27" s="39"/>
      <c r="C27" s="40"/>
      <c r="D27" s="40"/>
      <c r="E27" s="40"/>
      <c r="F27" s="40"/>
      <c r="G27" s="40"/>
      <c r="H27" s="415"/>
      <c r="I27" s="415"/>
      <c r="J27" s="415"/>
      <c r="K27" s="415"/>
      <c r="L27" s="415"/>
    </row>
    <row r="28" spans="2:12" x14ac:dyDescent="0.3">
      <c r="B28" s="244" t="s">
        <v>339</v>
      </c>
      <c r="C28" s="42">
        <f>'(BS)'!B10</f>
        <v>12968.41</v>
      </c>
      <c r="D28" s="42">
        <f>'(BS)'!C10</f>
        <v>9390.85</v>
      </c>
      <c r="E28" s="42">
        <f>'(BS)'!D10</f>
        <v>11931.14</v>
      </c>
      <c r="F28" s="42">
        <f>'(BS)'!E10</f>
        <v>9286</v>
      </c>
      <c r="G28" s="42">
        <f>'(BS)'!F10</f>
        <v>9787.67</v>
      </c>
      <c r="H28" s="416">
        <f>Drivers!H30</f>
        <v>10334.936666666666</v>
      </c>
      <c r="I28" s="416">
        <f>Drivers!I30</f>
        <v>9802.8688888888883</v>
      </c>
      <c r="J28" s="416">
        <f>Drivers!J30</f>
        <v>9975.1585185185177</v>
      </c>
      <c r="K28" s="416">
        <f>Drivers!K30</f>
        <v>10037.654691358024</v>
      </c>
      <c r="L28" s="416">
        <f>Drivers!L30</f>
        <v>9938.5606995884755</v>
      </c>
    </row>
    <row r="29" spans="2:12" x14ac:dyDescent="0.3">
      <c r="B29" s="244" t="s">
        <v>340</v>
      </c>
      <c r="C29" s="42">
        <f>'(BS)'!B11</f>
        <v>207.07</v>
      </c>
      <c r="D29" s="42">
        <f>'(BS)'!C11</f>
        <v>165.58</v>
      </c>
      <c r="E29" s="42">
        <f>'(BS)'!D11</f>
        <v>210.73</v>
      </c>
      <c r="F29" s="42">
        <f>'(BS)'!E11</f>
        <v>359.73</v>
      </c>
      <c r="G29" s="42">
        <f>'(BS)'!F11</f>
        <v>662.94</v>
      </c>
      <c r="H29" s="274">
        <f>G29</f>
        <v>662.94</v>
      </c>
      <c r="I29" s="274">
        <f t="shared" ref="H29:L30" si="4">H29</f>
        <v>662.94</v>
      </c>
      <c r="J29" s="274">
        <f t="shared" si="4"/>
        <v>662.94</v>
      </c>
      <c r="K29" s="274">
        <f t="shared" si="4"/>
        <v>662.94</v>
      </c>
      <c r="L29" s="274">
        <f t="shared" si="4"/>
        <v>662.94</v>
      </c>
    </row>
    <row r="30" spans="2:12" x14ac:dyDescent="0.3">
      <c r="B30" s="244" t="s">
        <v>341</v>
      </c>
      <c r="C30" s="42">
        <f>'(BS)'!B12</f>
        <v>645.27</v>
      </c>
      <c r="D30" s="42">
        <f>'(BS)'!C12</f>
        <v>636.97</v>
      </c>
      <c r="E30" s="42">
        <f>'(BS)'!D12</f>
        <v>697.73</v>
      </c>
      <c r="F30" s="42">
        <f>'(BS)'!E12</f>
        <v>765.72</v>
      </c>
      <c r="G30" s="42">
        <f>'(BS)'!F12</f>
        <v>769.32</v>
      </c>
      <c r="H30" s="274">
        <f t="shared" si="4"/>
        <v>769.32</v>
      </c>
      <c r="I30" s="274">
        <f t="shared" si="4"/>
        <v>769.32</v>
      </c>
      <c r="J30" s="274">
        <f t="shared" si="4"/>
        <v>769.32</v>
      </c>
      <c r="K30" s="274">
        <f t="shared" si="4"/>
        <v>769.32</v>
      </c>
      <c r="L30" s="274">
        <f t="shared" si="4"/>
        <v>769.32</v>
      </c>
    </row>
    <row r="31" spans="2:12" x14ac:dyDescent="0.3">
      <c r="B31" s="32" t="s">
        <v>73</v>
      </c>
      <c r="C31" s="44">
        <f t="shared" ref="C31:L31" si="5">SUM(C28:C30)</f>
        <v>13820.75</v>
      </c>
      <c r="D31" s="37">
        <f t="shared" si="5"/>
        <v>10193.4</v>
      </c>
      <c r="E31" s="37">
        <f t="shared" si="5"/>
        <v>12839.599999999999</v>
      </c>
      <c r="F31" s="37">
        <f t="shared" si="5"/>
        <v>10411.449999999999</v>
      </c>
      <c r="G31" s="37">
        <f t="shared" si="5"/>
        <v>11219.93</v>
      </c>
      <c r="H31" s="410">
        <f t="shared" si="5"/>
        <v>11767.196666666667</v>
      </c>
      <c r="I31" s="410">
        <f t="shared" si="5"/>
        <v>11235.128888888888</v>
      </c>
      <c r="J31" s="410">
        <f t="shared" si="5"/>
        <v>11407.418518518518</v>
      </c>
      <c r="K31" s="410">
        <f t="shared" si="5"/>
        <v>11469.914691358024</v>
      </c>
      <c r="L31" s="410">
        <f t="shared" si="5"/>
        <v>11370.820699588476</v>
      </c>
    </row>
    <row r="32" spans="2:12" ht="15" thickBot="1" x14ac:dyDescent="0.35">
      <c r="B32" s="31" t="s">
        <v>74</v>
      </c>
      <c r="C32" s="47">
        <f t="shared" ref="C32:L32" si="6">C31+C26</f>
        <v>101388.23</v>
      </c>
      <c r="D32" s="36">
        <f t="shared" si="6"/>
        <v>100896.54</v>
      </c>
      <c r="E32" s="36">
        <f t="shared" si="6"/>
        <v>110866.65000000002</v>
      </c>
      <c r="F32" s="36">
        <f t="shared" si="6"/>
        <v>114520.50999999998</v>
      </c>
      <c r="G32" s="36">
        <f t="shared" si="6"/>
        <v>133605.34</v>
      </c>
      <c r="H32" s="417">
        <f t="shared" si="6"/>
        <v>134992.67518627067</v>
      </c>
      <c r="I32" s="417">
        <f t="shared" si="6"/>
        <v>144775.51771080564</v>
      </c>
      <c r="J32" s="417">
        <f t="shared" si="6"/>
        <v>155872.55218353504</v>
      </c>
      <c r="K32" s="417">
        <f t="shared" si="6"/>
        <v>167368.95260449807</v>
      </c>
      <c r="L32" s="417">
        <f t="shared" si="6"/>
        <v>178601.88353255953</v>
      </c>
    </row>
    <row r="33" spans="2:12" x14ac:dyDescent="0.3">
      <c r="B33" s="39"/>
      <c r="C33" s="40"/>
      <c r="D33" s="40"/>
      <c r="E33" s="40"/>
      <c r="F33" s="40"/>
      <c r="G33" s="40"/>
      <c r="H33" s="415"/>
      <c r="I33" s="415"/>
      <c r="J33" s="415"/>
      <c r="K33" s="415"/>
      <c r="L33" s="415"/>
    </row>
    <row r="34" spans="2:12" x14ac:dyDescent="0.3">
      <c r="B34" s="244" t="s">
        <v>334</v>
      </c>
      <c r="C34" s="34">
        <f>'(BS)'!B5</f>
        <v>281.01</v>
      </c>
      <c r="D34" s="34">
        <f>'(BS)'!C5</f>
        <v>281.10000000000002</v>
      </c>
      <c r="E34" s="34">
        <f>'(BS)'!D5</f>
        <v>274.93</v>
      </c>
      <c r="F34" s="34">
        <f>'(BS)'!E5</f>
        <v>275.04000000000002</v>
      </c>
      <c r="G34" s="34">
        <f>'(BS)'!F5</f>
        <v>275.13</v>
      </c>
      <c r="H34" s="274">
        <f>G34</f>
        <v>275.13</v>
      </c>
      <c r="I34" s="274">
        <f>H34</f>
        <v>275.13</v>
      </c>
      <c r="J34" s="274">
        <f>I34</f>
        <v>275.13</v>
      </c>
      <c r="K34" s="274">
        <f>J34</f>
        <v>275.13</v>
      </c>
      <c r="L34" s="274">
        <f>K34</f>
        <v>275.13</v>
      </c>
    </row>
    <row r="35" spans="2:12" x14ac:dyDescent="0.3">
      <c r="B35" s="249" t="s">
        <v>335</v>
      </c>
      <c r="C35" s="34">
        <f>'(BS)'!B6</f>
        <v>66743.66</v>
      </c>
      <c r="D35" s="34">
        <f>'(BS)'!C6</f>
        <v>71172.23</v>
      </c>
      <c r="E35" s="34">
        <f>'(BS)'!D6</f>
        <v>64015.42</v>
      </c>
      <c r="F35" s="34">
        <f>'(BS)'!E6</f>
        <v>71620.800000000003</v>
      </c>
      <c r="G35" s="34">
        <f>'(BS)'!F6</f>
        <v>74257.77</v>
      </c>
      <c r="H35" s="274">
        <f>G35+'P&amp;L'!H18</f>
        <v>90173.37372582854</v>
      </c>
      <c r="I35" s="274">
        <f>H35+'P&amp;L'!I18</f>
        <v>110064.22098627186</v>
      </c>
      <c r="J35" s="274">
        <f>I35+'P&amp;L'!J18</f>
        <v>134036.75686453344</v>
      </c>
      <c r="K35" s="274">
        <f>J35+'P&amp;L'!K18</f>
        <v>161860.02204018284</v>
      </c>
      <c r="L35" s="274">
        <f>K35+'P&amp;L'!L18</f>
        <v>193377.90944520335</v>
      </c>
    </row>
    <row r="36" spans="2:12" x14ac:dyDescent="0.3">
      <c r="B36" s="249" t="s">
        <v>336</v>
      </c>
      <c r="C36" s="34">
        <f>'(BS)'!B7</f>
        <v>89.38</v>
      </c>
      <c r="D36" s="34">
        <f>'(BS)'!C7</f>
        <v>74.62</v>
      </c>
      <c r="E36" s="34">
        <f>'(BS)'!D7</f>
        <v>125.69</v>
      </c>
      <c r="F36" s="34">
        <f>'(BS)'!E7</f>
        <v>0</v>
      </c>
      <c r="G36" s="34">
        <f>'(BS)'!F7</f>
        <v>0</v>
      </c>
      <c r="H36" s="274">
        <f>G36</f>
        <v>0</v>
      </c>
      <c r="I36" s="274">
        <f>H36</f>
        <v>0</v>
      </c>
      <c r="J36" s="274">
        <f>I36</f>
        <v>0</v>
      </c>
      <c r="K36" s="274">
        <f>J36</f>
        <v>0</v>
      </c>
      <c r="L36" s="274">
        <f>K36</f>
        <v>0</v>
      </c>
    </row>
    <row r="37" spans="2:12" x14ac:dyDescent="0.3">
      <c r="B37" s="49" t="s">
        <v>75</v>
      </c>
      <c r="C37" s="37">
        <f t="shared" ref="C37:L37" si="7">SUM(C34:C36)</f>
        <v>67114.05</v>
      </c>
      <c r="D37" s="37">
        <f t="shared" si="7"/>
        <v>71527.95</v>
      </c>
      <c r="E37" s="37">
        <f t="shared" si="7"/>
        <v>64416.04</v>
      </c>
      <c r="F37" s="37">
        <f t="shared" si="7"/>
        <v>71895.839999999997</v>
      </c>
      <c r="G37" s="37">
        <f t="shared" si="7"/>
        <v>74532.900000000009</v>
      </c>
      <c r="H37" s="410">
        <f t="shared" si="7"/>
        <v>90448.503725828545</v>
      </c>
      <c r="I37" s="410">
        <f t="shared" si="7"/>
        <v>110339.35098627186</v>
      </c>
      <c r="J37" s="410">
        <f t="shared" si="7"/>
        <v>134311.88686453344</v>
      </c>
      <c r="K37" s="410">
        <f t="shared" si="7"/>
        <v>162135.15204018285</v>
      </c>
      <c r="L37" s="410">
        <f t="shared" si="7"/>
        <v>193653.03944520335</v>
      </c>
    </row>
    <row r="38" spans="2:12" ht="15" thickBot="1" x14ac:dyDescent="0.35">
      <c r="B38" s="31" t="s">
        <v>50</v>
      </c>
      <c r="C38" s="47">
        <f t="shared" ref="C38:L38" si="8">C37+C32</f>
        <v>168502.28</v>
      </c>
      <c r="D38" s="36">
        <f t="shared" si="8"/>
        <v>172424.49</v>
      </c>
      <c r="E38" s="36">
        <f t="shared" si="8"/>
        <v>175282.69000000003</v>
      </c>
      <c r="F38" s="36">
        <f t="shared" si="8"/>
        <v>186416.34999999998</v>
      </c>
      <c r="G38" s="36">
        <f t="shared" si="8"/>
        <v>208138.23999999999</v>
      </c>
      <c r="H38" s="424">
        <f t="shared" si="8"/>
        <v>225441.17891209922</v>
      </c>
      <c r="I38" s="424">
        <f t="shared" si="8"/>
        <v>255114.8686970775</v>
      </c>
      <c r="J38" s="424">
        <f t="shared" si="8"/>
        <v>290184.43904806848</v>
      </c>
      <c r="K38" s="424">
        <f t="shared" si="8"/>
        <v>329504.10464468092</v>
      </c>
      <c r="L38" s="424">
        <f t="shared" si="8"/>
        <v>372254.92297776288</v>
      </c>
    </row>
    <row r="40" spans="2:12" x14ac:dyDescent="0.3">
      <c r="B40" t="s">
        <v>76</v>
      </c>
      <c r="C40" s="50" t="str">
        <f>IF(C20=C38,"TRUE","FALSE")</f>
        <v>TRUE</v>
      </c>
      <c r="D40" s="50" t="str">
        <f t="shared" ref="D40:L40" si="9">IF(D20=D38,"TRUE","FALSE")</f>
        <v>TRUE</v>
      </c>
      <c r="E40" s="50" t="str">
        <f t="shared" si="9"/>
        <v>TRUE</v>
      </c>
      <c r="F40" s="50" t="str">
        <f t="shared" si="9"/>
        <v>TRUE</v>
      </c>
      <c r="G40" s="50" t="str">
        <f t="shared" si="9"/>
        <v>TRUE</v>
      </c>
      <c r="H40" s="50" t="str">
        <f t="shared" si="9"/>
        <v>TRUE</v>
      </c>
      <c r="I40" s="50" t="str">
        <f t="shared" si="9"/>
        <v>TRUE</v>
      </c>
      <c r="J40" s="50" t="str">
        <f t="shared" si="9"/>
        <v>TRUE</v>
      </c>
      <c r="K40" s="50" t="str">
        <f t="shared" si="9"/>
        <v>TRUE</v>
      </c>
      <c r="L40" s="50" t="str">
        <f t="shared" si="9"/>
        <v>TRUE</v>
      </c>
    </row>
    <row r="41" spans="2:12" x14ac:dyDescent="0.3">
      <c r="H41" s="422"/>
      <c r="I41" s="423"/>
      <c r="J41" s="423"/>
      <c r="K41" s="423"/>
      <c r="L41" s="423"/>
    </row>
    <row r="42" spans="2:12" x14ac:dyDescent="0.3">
      <c r="H42" s="165"/>
      <c r="I42" s="165"/>
      <c r="J42" s="165"/>
      <c r="K42" s="165"/>
      <c r="L42" s="165"/>
    </row>
    <row r="43" spans="2:12" x14ac:dyDescent="0.3">
      <c r="H43" s="165"/>
    </row>
    <row r="44" spans="2:12" x14ac:dyDescent="0.3">
      <c r="H44" s="284">
        <v>-182.07601133200001</v>
      </c>
      <c r="I44" s="284">
        <v>5314.6837992696101</v>
      </c>
      <c r="J44" s="284">
        <v>13085.5599644256</v>
      </c>
      <c r="K44" s="284">
        <v>22973.089018904899</v>
      </c>
      <c r="L44" s="284">
        <v>34836.747822126403</v>
      </c>
    </row>
    <row r="45" spans="2:12" x14ac:dyDescent="0.3">
      <c r="H45" s="172">
        <f>-2518.67305160215-H44</f>
        <v>-2336.5970402701496</v>
      </c>
      <c r="I45" s="172">
        <f>-2518.67305160215-I44</f>
        <v>-7833.3568508717599</v>
      </c>
      <c r="J45" s="172">
        <f>-2518.67305160215-J44</f>
        <v>-15604.233016027749</v>
      </c>
      <c r="K45" s="172">
        <f>-2518.67305160215-K44</f>
        <v>-25491.762070507048</v>
      </c>
      <c r="L45" s="172">
        <f>-2518.67305160215-L44</f>
        <v>-37355.420873728552</v>
      </c>
    </row>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sheetData>
  <conditionalFormatting sqref="C40:L40">
    <cfRule type="containsText" dxfId="1" priority="1" operator="containsText" text="FALSE">
      <formula>NOT(ISERROR(SEARCH("FALSE",C40)))</formula>
    </cfRule>
    <cfRule type="containsText" dxfId="0" priority="2" operator="containsText" text="TRUE">
      <formula>NOT(ISERROR(SEARCH("TRUE",C40)))</formula>
    </cfRule>
  </conditionalFormatting>
  <hyperlinks>
    <hyperlink ref="L2" location="'Balance Sheet'!A1" display="'Balance Sheet'!A1" xr:uid="{98413290-5BBF-4821-979D-4B4F1C7871A4}"/>
  </hyperlinks>
  <pageMargins left="0.7" right="0.7" top="0.75" bottom="0.75" header="0.3" footer="0.3"/>
  <ignoredErrors>
    <ignoredError sqref="C17:F17" formulaRange="1"/>
  </ignoredErrors>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5179F-2449-4ECB-96E0-E6C3340274F5}">
  <sheetPr codeName="Sheet16"/>
  <dimension ref="A2:L35"/>
  <sheetViews>
    <sheetView showGridLines="0" zoomScale="99" workbookViewId="0">
      <pane xSplit="2" ySplit="4" topLeftCell="C5" activePane="bottomRight" state="frozen"/>
      <selection pane="topRight" activeCell="C1" sqref="C1"/>
      <selection pane="bottomLeft" activeCell="A5" sqref="A5"/>
      <selection pane="bottomRight" activeCell="I37" sqref="I37"/>
    </sheetView>
  </sheetViews>
  <sheetFormatPr defaultColWidth="0" defaultRowHeight="14.4" x14ac:dyDescent="0.3"/>
  <cols>
    <col min="1" max="1" width="1.88671875" customWidth="1"/>
    <col min="2" max="2" width="44.44140625" customWidth="1"/>
    <col min="3" max="12" width="14.88671875" customWidth="1"/>
    <col min="13" max="16384" width="8.88671875" hidden="1"/>
  </cols>
  <sheetData>
    <row r="2" spans="2:12" ht="25.8" x14ac:dyDescent="0.5">
      <c r="B2" s="26" t="s">
        <v>77</v>
      </c>
      <c r="L2" s="210" t="s">
        <v>190</v>
      </c>
    </row>
    <row r="3" spans="2:12" x14ac:dyDescent="0.3">
      <c r="B3" s="27" t="s">
        <v>53</v>
      </c>
    </row>
    <row r="4" spans="2:12" x14ac:dyDescent="0.3">
      <c r="B4" s="289" t="s">
        <v>54</v>
      </c>
      <c r="C4" s="290" t="s">
        <v>649</v>
      </c>
      <c r="D4" s="290" t="s">
        <v>650</v>
      </c>
      <c r="E4" s="290" t="s">
        <v>651</v>
      </c>
      <c r="F4" s="290" t="s">
        <v>652</v>
      </c>
      <c r="G4" s="290" t="s">
        <v>653</v>
      </c>
      <c r="H4" s="314" t="s">
        <v>654</v>
      </c>
      <c r="I4" s="314" t="s">
        <v>655</v>
      </c>
      <c r="J4" s="314" t="s">
        <v>656</v>
      </c>
      <c r="K4" s="314" t="s">
        <v>657</v>
      </c>
      <c r="L4" s="315" t="s">
        <v>658</v>
      </c>
    </row>
    <row r="5" spans="2:12" x14ac:dyDescent="0.3">
      <c r="B5" s="367" t="s">
        <v>78</v>
      </c>
      <c r="C5" s="351"/>
      <c r="D5" s="351"/>
      <c r="E5" s="351"/>
      <c r="F5" s="351"/>
      <c r="G5" s="351"/>
      <c r="H5" s="368"/>
      <c r="I5" s="368"/>
      <c r="J5" s="368"/>
      <c r="K5" s="368"/>
      <c r="L5" s="369"/>
    </row>
    <row r="6" spans="2:12" x14ac:dyDescent="0.3">
      <c r="B6" s="370" t="s">
        <v>126</v>
      </c>
      <c r="C6" s="371">
        <f>'(CFS)'!B4</f>
        <v>26545</v>
      </c>
      <c r="D6" s="371">
        <f>'(CFS)'!C4</f>
        <v>23703</v>
      </c>
      <c r="E6" s="371">
        <f>'(CFS)'!D4</f>
        <v>27904</v>
      </c>
      <c r="F6" s="371">
        <f>'(CFS)'!E4</f>
        <v>26316</v>
      </c>
      <c r="G6" s="371">
        <f>'(CFS)'!F4</f>
        <v>45210</v>
      </c>
      <c r="H6" s="372">
        <f>'P&amp;L'!H10</f>
        <v>35730.63358348616</v>
      </c>
      <c r="I6" s="372">
        <f>'P&amp;L'!I10</f>
        <v>43052.148557215973</v>
      </c>
      <c r="J6" s="372">
        <f>'P&amp;L'!J10</f>
        <v>50627.299338770579</v>
      </c>
      <c r="K6" s="372">
        <f>'P&amp;L'!K10</f>
        <v>58213.98730745427</v>
      </c>
      <c r="L6" s="373">
        <f>'P&amp;L'!L10</f>
        <v>65508.274271065093</v>
      </c>
    </row>
    <row r="7" spans="2:12" x14ac:dyDescent="0.3">
      <c r="B7" s="374" t="s">
        <v>24</v>
      </c>
      <c r="C7" s="371">
        <f>'(CFS)'!B5</f>
        <v>3012</v>
      </c>
      <c r="D7" s="371">
        <f>'(CFS)'!C5</f>
        <v>-9852</v>
      </c>
      <c r="E7" s="371">
        <f>'(CFS)'!D5</f>
        <v>-4495</v>
      </c>
      <c r="F7" s="371">
        <f>'(CFS)'!E5</f>
        <v>-10643</v>
      </c>
      <c r="G7" s="371">
        <f>'(CFS)'!F5</f>
        <v>-10316</v>
      </c>
      <c r="H7" s="372">
        <f>'Balance Sheet'!G7-'Balance Sheet'!H7</f>
        <v>-13381.341302884997</v>
      </c>
      <c r="I7" s="372">
        <f>'Balance Sheet'!H7-'Balance Sheet'!I7</f>
        <v>-8914.8345254704109</v>
      </c>
      <c r="J7" s="372">
        <f>'Balance Sheet'!I7-'Balance Sheet'!J7</f>
        <v>-9592.2071864939062</v>
      </c>
      <c r="K7" s="372">
        <f>'Balance Sheet'!J7-'Balance Sheet'!K7</f>
        <v>-10180.588648298988</v>
      </c>
      <c r="L7" s="373">
        <f>'Balance Sheet'!K7-'Balance Sheet'!L7</f>
        <v>-10648.814954050249</v>
      </c>
    </row>
    <row r="8" spans="2:12" x14ac:dyDescent="0.3">
      <c r="B8" s="370" t="s">
        <v>25</v>
      </c>
      <c r="C8" s="371">
        <f>'(CFS)'!B6</f>
        <v>349</v>
      </c>
      <c r="D8" s="371">
        <f>'(CFS)'!C6</f>
        <v>-74</v>
      </c>
      <c r="E8" s="371">
        <f>'(CFS)'!D6</f>
        <v>-476</v>
      </c>
      <c r="F8" s="371">
        <f>'(CFS)'!E6</f>
        <v>245</v>
      </c>
      <c r="G8" s="371">
        <f>'(CFS)'!F6</f>
        <v>-540</v>
      </c>
      <c r="H8" s="372">
        <f>'Balance Sheet'!G6-'Balance Sheet'!H6</f>
        <v>-1450.9454115606814</v>
      </c>
      <c r="I8" s="372">
        <f>'Balance Sheet'!H6-'Balance Sheet'!I6</f>
        <v>-780.74600333223498</v>
      </c>
      <c r="J8" s="372">
        <f>'Balance Sheet'!I6-'Balance Sheet'!J6</f>
        <v>-840.06914571358084</v>
      </c>
      <c r="K8" s="372">
        <f>'Balance Sheet'!J6-'Balance Sheet'!K6</f>
        <v>-891.5985906434471</v>
      </c>
      <c r="L8" s="373">
        <f>'Balance Sheet'!K6-'Balance Sheet'!L6</f>
        <v>-932.60505193287099</v>
      </c>
    </row>
    <row r="9" spans="2:12" x14ac:dyDescent="0.3">
      <c r="B9" s="374" t="s">
        <v>26</v>
      </c>
      <c r="C9" s="371">
        <f>'(CFS)'!B7</f>
        <v>2220</v>
      </c>
      <c r="D9" s="371">
        <f>'(CFS)'!C7</f>
        <v>9678</v>
      </c>
      <c r="E9" s="371">
        <f>'(CFS)'!D7</f>
        <v>5413</v>
      </c>
      <c r="F9" s="371">
        <f>'(CFS)'!E7</f>
        <v>14601</v>
      </c>
      <c r="G9" s="371">
        <f>'(CFS)'!F7</f>
        <v>9835</v>
      </c>
      <c r="H9" s="372">
        <f>'Balance Sheet'!H23-'Balance Sheet'!G23</f>
        <v>15621.832546531463</v>
      </c>
      <c r="I9" s="372">
        <f>'Balance Sheet'!I23-'Balance Sheet'!H23</f>
        <v>9833.5790734535258</v>
      </c>
      <c r="J9" s="372">
        <f>'Balance Sheet'!J23-'Balance Sheet'!I23</f>
        <v>10580.760370575663</v>
      </c>
      <c r="K9" s="372">
        <f>'Balance Sheet'!K23-'Balance Sheet'!J23</f>
        <v>11229.779218147509</v>
      </c>
      <c r="L9" s="373">
        <f>'Balance Sheet'!L23-'Balance Sheet'!K23</f>
        <v>11746.259965908015</v>
      </c>
    </row>
    <row r="10" spans="2:12" x14ac:dyDescent="0.3">
      <c r="B10" s="370" t="s">
        <v>27</v>
      </c>
      <c r="C10" s="371">
        <f>'(CFS)'!B8</f>
        <v>4618</v>
      </c>
      <c r="D10" s="371">
        <f>'(CFS)'!C8</f>
        <v>5005</v>
      </c>
      <c r="E10" s="371">
        <f>'(CFS)'!D8</f>
        <v>4937</v>
      </c>
      <c r="F10" s="371">
        <f>'(CFS)'!E8</f>
        <v>-5588</v>
      </c>
      <c r="G10" s="371">
        <f>'(CFS)'!F8</f>
        <v>-14208</v>
      </c>
      <c r="H10" s="372">
        <f>'Balance Sheet'!G9-'Balance Sheet'!H9</f>
        <v>58.977999999999952</v>
      </c>
      <c r="I10" s="372">
        <f>'Balance Sheet'!H9-'Balance Sheet'!I9</f>
        <v>-8.8263999999999783</v>
      </c>
      <c r="J10" s="372">
        <f>'Balance Sheet'!I9-'Balance Sheet'!J9</f>
        <v>-26.85367999999994</v>
      </c>
      <c r="K10" s="372">
        <f>'Balance Sheet'!J9-'Balance Sheet'!K9</f>
        <v>-53.274416000000031</v>
      </c>
      <c r="L10" s="373">
        <f>'Balance Sheet'!K9-'Balance Sheet'!L9</f>
        <v>50.466700799999956</v>
      </c>
    </row>
    <row r="11" spans="2:12" x14ac:dyDescent="0.3">
      <c r="B11" s="374" t="s">
        <v>28</v>
      </c>
      <c r="C11" s="371">
        <f>'(CFS)'!B9</f>
        <v>-10198</v>
      </c>
      <c r="D11" s="371">
        <f>'(CFS)'!C9</f>
        <v>-4757</v>
      </c>
      <c r="E11" s="371">
        <f>'(CFS)'!D9</f>
        <v>-5379</v>
      </c>
      <c r="F11" s="371">
        <f>'(CFS)'!E9</f>
        <v>-1385</v>
      </c>
      <c r="G11" s="371">
        <f>'(CFS)'!F9</f>
        <v>-15229</v>
      </c>
      <c r="H11" s="372">
        <f>WC!H23</f>
        <v>-11457.052026927468</v>
      </c>
      <c r="I11" s="372">
        <f>WC!I23</f>
        <v>-920.19837114081247</v>
      </c>
      <c r="J11" s="372">
        <f>WC!J23</f>
        <v>85.332952524150187</v>
      </c>
      <c r="K11" s="372">
        <f>WC!K23</f>
        <v>172.34720597601063</v>
      </c>
      <c r="L11" s="373">
        <f>WC!L23</f>
        <v>-337.95243487704374</v>
      </c>
    </row>
    <row r="12" spans="2:12" x14ac:dyDescent="0.3">
      <c r="B12" s="370" t="s">
        <v>29</v>
      </c>
      <c r="C12" s="371">
        <f>'(CFS)'!B10</f>
        <v>-3471</v>
      </c>
      <c r="D12" s="371">
        <f>'(CFS)'!C10</f>
        <v>-4539</v>
      </c>
      <c r="E12" s="371">
        <f>'(CFS)'!D10</f>
        <v>-5127</v>
      </c>
      <c r="F12" s="371">
        <f>'(CFS)'!E10</f>
        <v>-5280</v>
      </c>
      <c r="G12" s="371">
        <f>'(CFS)'!F10</f>
        <v>-5601</v>
      </c>
      <c r="H12" s="372">
        <f>D12</f>
        <v>-4539</v>
      </c>
      <c r="I12" s="372">
        <f>H12</f>
        <v>-4539</v>
      </c>
      <c r="J12" s="372">
        <f>I12</f>
        <v>-4539</v>
      </c>
      <c r="K12" s="372">
        <f>J12</f>
        <v>-4539</v>
      </c>
      <c r="L12" s="373">
        <f>K12</f>
        <v>-4539</v>
      </c>
    </row>
    <row r="13" spans="2:12" x14ac:dyDescent="0.3">
      <c r="B13" s="375" t="s">
        <v>79</v>
      </c>
      <c r="C13" s="366">
        <f t="shared" ref="C13:L13" si="0">SUM(C6:C12)</f>
        <v>23075</v>
      </c>
      <c r="D13" s="366">
        <f t="shared" si="0"/>
        <v>19164</v>
      </c>
      <c r="E13" s="366">
        <f t="shared" si="0"/>
        <v>22777</v>
      </c>
      <c r="F13" s="366">
        <f t="shared" si="0"/>
        <v>18266</v>
      </c>
      <c r="G13" s="366">
        <f t="shared" si="0"/>
        <v>9151</v>
      </c>
      <c r="H13" s="376">
        <f t="shared" si="0"/>
        <v>20583.105388644475</v>
      </c>
      <c r="I13" s="376">
        <f t="shared" si="0"/>
        <v>37722.122330726044</v>
      </c>
      <c r="J13" s="376">
        <f t="shared" si="0"/>
        <v>46295.262649662902</v>
      </c>
      <c r="K13" s="376">
        <f t="shared" si="0"/>
        <v>53951.65207663535</v>
      </c>
      <c r="L13" s="377">
        <f t="shared" si="0"/>
        <v>60846.628496912941</v>
      </c>
    </row>
    <row r="14" spans="2:12" x14ac:dyDescent="0.3">
      <c r="B14" s="298"/>
      <c r="C14" s="366"/>
      <c r="D14" s="366"/>
      <c r="E14" s="366"/>
      <c r="F14" s="366"/>
      <c r="G14" s="366"/>
      <c r="H14" s="376"/>
      <c r="I14" s="376"/>
      <c r="J14" s="376"/>
      <c r="K14" s="376"/>
      <c r="L14" s="377"/>
    </row>
    <row r="15" spans="2:12" x14ac:dyDescent="0.3">
      <c r="B15" s="378" t="s">
        <v>80</v>
      </c>
      <c r="C15" s="371"/>
      <c r="D15" s="371"/>
      <c r="E15" s="371"/>
      <c r="F15" s="371"/>
      <c r="G15" s="371"/>
      <c r="H15" s="372"/>
      <c r="I15" s="372"/>
      <c r="J15" s="372"/>
      <c r="K15" s="372"/>
      <c r="L15" s="373"/>
    </row>
    <row r="16" spans="2:12" x14ac:dyDescent="0.3">
      <c r="B16" s="370" t="s">
        <v>31</v>
      </c>
      <c r="C16" s="371">
        <f>'(CFS)'!B12</f>
        <v>-1808</v>
      </c>
      <c r="D16" s="371">
        <f>'(CFS)'!C12</f>
        <v>-3111</v>
      </c>
      <c r="E16" s="371">
        <f>'(CFS)'!D12</f>
        <v>-4144</v>
      </c>
      <c r="F16" s="371">
        <f>'(CFS)'!E12</f>
        <v>-4517</v>
      </c>
      <c r="G16" s="371">
        <f>'(CFS)'!F12</f>
        <v>-4419</v>
      </c>
      <c r="H16" s="372">
        <f>-(PPE!H6+PPE!H24)</f>
        <v>-7280.2591060286704</v>
      </c>
      <c r="I16" s="372">
        <f>-(PPE!I6+PPE!I24)</f>
        <v>-7970.7356683770868</v>
      </c>
      <c r="J16" s="372">
        <f>-(PPE!J6+PPE!J24)</f>
        <v>-10379.738358339573</v>
      </c>
      <c r="K16" s="372">
        <f>-(PPE!K6+PPE!K24)</f>
        <v>-15785.354491561617</v>
      </c>
      <c r="L16" s="373">
        <f>-(PPE!L6+PPE!L24)</f>
        <v>-25066.811148936773</v>
      </c>
    </row>
    <row r="17" spans="2:12" x14ac:dyDescent="0.3">
      <c r="B17" s="374" t="s">
        <v>32</v>
      </c>
      <c r="C17" s="371">
        <f>'(CFS)'!B13</f>
        <v>885</v>
      </c>
      <c r="D17" s="371">
        <f>'(CFS)'!C13</f>
        <v>71</v>
      </c>
      <c r="E17" s="371">
        <f>'(CFS)'!D13</f>
        <v>350</v>
      </c>
      <c r="F17" s="371">
        <f>'(CFS)'!E13</f>
        <v>306</v>
      </c>
      <c r="G17" s="371">
        <f>'(CFS)'!F13</f>
        <v>878</v>
      </c>
      <c r="H17" s="372">
        <f>G17</f>
        <v>878</v>
      </c>
      <c r="I17" s="372">
        <f>H17</f>
        <v>878</v>
      </c>
      <c r="J17" s="372">
        <f>I17</f>
        <v>878</v>
      </c>
      <c r="K17" s="372">
        <f>J17</f>
        <v>878</v>
      </c>
      <c r="L17" s="373">
        <f>K17</f>
        <v>878</v>
      </c>
    </row>
    <row r="18" spans="2:12" x14ac:dyDescent="0.3">
      <c r="B18" s="370" t="s">
        <v>33</v>
      </c>
      <c r="C18" s="371">
        <f>'(CFS)'!B14</f>
        <v>-18715</v>
      </c>
      <c r="D18" s="371">
        <f>'(CFS)'!C14</f>
        <v>-2156</v>
      </c>
      <c r="E18" s="371">
        <f>'(CFS)'!D14</f>
        <v>-9120</v>
      </c>
      <c r="F18" s="371">
        <f>'(CFS)'!E14</f>
        <v>-4889</v>
      </c>
      <c r="G18" s="371">
        <f>'(CFS)'!F14</f>
        <v>-8235</v>
      </c>
      <c r="H18" s="372">
        <f>D18</f>
        <v>-2156</v>
      </c>
      <c r="I18" s="372">
        <f t="shared" ref="I18:L20" si="1">H18</f>
        <v>-2156</v>
      </c>
      <c r="J18" s="372">
        <f t="shared" si="1"/>
        <v>-2156</v>
      </c>
      <c r="K18" s="372">
        <f t="shared" si="1"/>
        <v>-2156</v>
      </c>
      <c r="L18" s="373">
        <f t="shared" si="1"/>
        <v>-2156</v>
      </c>
    </row>
    <row r="19" spans="2:12" x14ac:dyDescent="0.3">
      <c r="B19" s="374" t="s">
        <v>34</v>
      </c>
      <c r="C19" s="371">
        <f>'(CFS)'!B15</f>
        <v>240</v>
      </c>
      <c r="D19" s="371">
        <f>'(CFS)'!C15</f>
        <v>2463</v>
      </c>
      <c r="E19" s="371">
        <f>'(CFS)'!D15</f>
        <v>827</v>
      </c>
      <c r="F19" s="371">
        <f>'(CFS)'!E15</f>
        <v>4931</v>
      </c>
      <c r="G19" s="371">
        <f>'(CFS)'!F15</f>
        <v>1726</v>
      </c>
      <c r="H19" s="372">
        <f>D19</f>
        <v>2463</v>
      </c>
      <c r="I19" s="372">
        <f t="shared" si="1"/>
        <v>2463</v>
      </c>
      <c r="J19" s="372">
        <f t="shared" si="1"/>
        <v>2463</v>
      </c>
      <c r="K19" s="372">
        <f t="shared" si="1"/>
        <v>2463</v>
      </c>
      <c r="L19" s="373">
        <f t="shared" si="1"/>
        <v>2463</v>
      </c>
    </row>
    <row r="20" spans="2:12" x14ac:dyDescent="0.3">
      <c r="B20" s="294" t="s">
        <v>40</v>
      </c>
      <c r="C20" s="371">
        <f>SUM('(CFS)'!B16:B21)</f>
        <v>13646</v>
      </c>
      <c r="D20" s="371">
        <f>SUM('(CFS)'!C16:C21)</f>
        <v>-852</v>
      </c>
      <c r="E20" s="371">
        <f>SUM('(CFS)'!D16:D21)</f>
        <v>4038</v>
      </c>
      <c r="F20" s="371">
        <f>SUM('(CFS)'!E16:E21)</f>
        <v>6348</v>
      </c>
      <c r="G20" s="371">
        <f>SUM('(CFS)'!F16:F21)</f>
        <v>-5430</v>
      </c>
      <c r="H20" s="372">
        <f>G20</f>
        <v>-5430</v>
      </c>
      <c r="I20" s="372">
        <f t="shared" si="1"/>
        <v>-5430</v>
      </c>
      <c r="J20" s="372">
        <f t="shared" si="1"/>
        <v>-5430</v>
      </c>
      <c r="K20" s="372">
        <f t="shared" si="1"/>
        <v>-5430</v>
      </c>
      <c r="L20" s="373">
        <f t="shared" si="1"/>
        <v>-5430</v>
      </c>
    </row>
    <row r="21" spans="2:12" x14ac:dyDescent="0.3">
      <c r="B21" s="375" t="s">
        <v>81</v>
      </c>
      <c r="C21" s="366">
        <f t="shared" ref="C21:L21" si="2">SUM(C16:C20)</f>
        <v>-5752</v>
      </c>
      <c r="D21" s="366">
        <f t="shared" si="2"/>
        <v>-3585</v>
      </c>
      <c r="E21" s="366">
        <f t="shared" si="2"/>
        <v>-8049</v>
      </c>
      <c r="F21" s="366">
        <f t="shared" si="2"/>
        <v>2179</v>
      </c>
      <c r="G21" s="366">
        <f t="shared" si="2"/>
        <v>-15480</v>
      </c>
      <c r="H21" s="376">
        <f t="shared" si="2"/>
        <v>-11525.25910602867</v>
      </c>
      <c r="I21" s="376">
        <f t="shared" si="2"/>
        <v>-12215.735668377087</v>
      </c>
      <c r="J21" s="376">
        <f t="shared" si="2"/>
        <v>-14624.738358339573</v>
      </c>
      <c r="K21" s="376">
        <f t="shared" si="2"/>
        <v>-20030.354491561615</v>
      </c>
      <c r="L21" s="377">
        <f t="shared" si="2"/>
        <v>-29311.811148936773</v>
      </c>
    </row>
    <row r="22" spans="2:12" x14ac:dyDescent="0.3">
      <c r="B22" s="379"/>
      <c r="C22" s="366"/>
      <c r="D22" s="366"/>
      <c r="E22" s="366"/>
      <c r="F22" s="366"/>
      <c r="G22" s="366"/>
      <c r="H22" s="376"/>
      <c r="I22" s="376"/>
      <c r="J22" s="376"/>
      <c r="K22" s="376"/>
      <c r="L22" s="377"/>
    </row>
    <row r="23" spans="2:12" x14ac:dyDescent="0.3">
      <c r="B23" s="378" t="s">
        <v>82</v>
      </c>
      <c r="C23" s="380"/>
      <c r="D23" s="380"/>
      <c r="E23" s="380"/>
      <c r="F23" s="380"/>
      <c r="G23" s="380"/>
      <c r="H23" s="381"/>
      <c r="I23" s="381"/>
      <c r="J23" s="381"/>
      <c r="K23" s="381"/>
      <c r="L23" s="382"/>
    </row>
    <row r="24" spans="2:12" x14ac:dyDescent="0.3">
      <c r="B24" s="370" t="s">
        <v>42</v>
      </c>
      <c r="C24" s="371">
        <f>'(CFS)'!B23</f>
        <v>16</v>
      </c>
      <c r="D24" s="371">
        <f>'(CFS)'!C23</f>
        <v>11</v>
      </c>
      <c r="E24" s="371">
        <f>'(CFS)'!D23</f>
        <v>10</v>
      </c>
      <c r="F24" s="371">
        <f>'(CFS)'!E23</f>
        <v>10</v>
      </c>
      <c r="G24" s="371">
        <f>'(CFS)'!F23</f>
        <v>9</v>
      </c>
      <c r="H24" s="372">
        <f>G24</f>
        <v>9</v>
      </c>
      <c r="I24" s="372">
        <f>H24</f>
        <v>9</v>
      </c>
      <c r="J24" s="372">
        <f>I24</f>
        <v>9</v>
      </c>
      <c r="K24" s="372">
        <f>J24</f>
        <v>9</v>
      </c>
      <c r="L24" s="373">
        <f>K24</f>
        <v>9</v>
      </c>
    </row>
    <row r="25" spans="2:12" x14ac:dyDescent="0.3">
      <c r="B25" s="374" t="s">
        <v>43</v>
      </c>
      <c r="C25" s="371">
        <f>'(CFS)'!B24</f>
        <v>36325</v>
      </c>
      <c r="D25" s="371">
        <f>'(CFS)'!C24</f>
        <v>27537</v>
      </c>
      <c r="E25" s="371">
        <f>'(CFS)'!D24</f>
        <v>28386</v>
      </c>
      <c r="F25" s="371">
        <f>'(CFS)'!E24</f>
        <v>23175</v>
      </c>
      <c r="G25" s="371">
        <f>'(CFS)'!F24</f>
        <v>46547</v>
      </c>
      <c r="H25" s="372">
        <f>SUM(Drivers!H29:H30)-SUM(Drivers!G29:G30)</f>
        <v>7142.1646666666638</v>
      </c>
      <c r="I25" s="372">
        <f>SUM(Drivers!I29:I30)-SUM(Drivers!H29:H30)</f>
        <v>-360.37217777777914</v>
      </c>
      <c r="J25" s="372">
        <f>SUM(Drivers!J29:J30)-SUM(Drivers!I29:I30)</f>
        <v>92.252349629630771</v>
      </c>
      <c r="K25" s="372">
        <f>SUM(Drivers!K29:K30)-SUM(Drivers!J29:J30)</f>
        <v>-403.36656316049266</v>
      </c>
      <c r="L25" s="373">
        <f>SUM(Drivers!L29:L30)-SUM(Drivers!K29:K30)</f>
        <v>-1066.0392749695493</v>
      </c>
    </row>
    <row r="26" spans="2:12" x14ac:dyDescent="0.3">
      <c r="B26" s="370" t="s">
        <v>44</v>
      </c>
      <c r="C26" s="371">
        <f>'(CFS)'!B25</f>
        <v>-44991</v>
      </c>
      <c r="D26" s="371">
        <f>'(CFS)'!C25</f>
        <v>-35806</v>
      </c>
      <c r="E26" s="371">
        <f>'(CFS)'!D25</f>
        <v>-32795</v>
      </c>
      <c r="F26" s="371">
        <f>'(CFS)'!E25</f>
        <v>-27228</v>
      </c>
      <c r="G26" s="371">
        <f>'(CFS)'!F25</f>
        <v>-30782</v>
      </c>
      <c r="H26" s="372">
        <f>'Balance Sheet'!H45</f>
        <v>-2336.5970402701496</v>
      </c>
      <c r="I26" s="372">
        <f>'Balance Sheet'!I45-H26</f>
        <v>-5496.7598106016103</v>
      </c>
      <c r="J26" s="372">
        <f>'Balance Sheet'!J45-I26-H26</f>
        <v>-7770.8761651559889</v>
      </c>
      <c r="K26" s="372">
        <f>'Balance Sheet'!K45-J26-I26-H26</f>
        <v>-9887.5290544793006</v>
      </c>
      <c r="L26" s="373">
        <f>'Balance Sheet'!L45-K26-J26-I26-H26</f>
        <v>-11863.658803221499</v>
      </c>
    </row>
    <row r="27" spans="2:12" x14ac:dyDescent="0.3">
      <c r="B27" s="374" t="s">
        <v>45</v>
      </c>
      <c r="C27" s="371">
        <f>'(CFS)'!B26</f>
        <v>-3388</v>
      </c>
      <c r="D27" s="371">
        <f>'(CFS)'!C26</f>
        <v>-2968</v>
      </c>
      <c r="E27" s="371">
        <f>'(CFS)'!D26</f>
        <v>-3047</v>
      </c>
      <c r="F27" s="371">
        <f>'(CFS)'!E26</f>
        <v>-3605</v>
      </c>
      <c r="G27" s="371">
        <f>'(CFS)'!F26</f>
        <v>-3609</v>
      </c>
      <c r="H27" s="372">
        <f>-'P&amp;L'!H13</f>
        <v>-3298.310434998521</v>
      </c>
      <c r="I27" s="372">
        <f>-'P&amp;L'!I13</f>
        <v>-3321.5941903802709</v>
      </c>
      <c r="J27" s="372">
        <f>-'P&amp;L'!J13</f>
        <v>-3361.0479093684025</v>
      </c>
      <c r="K27" s="372">
        <f>-'P&amp;L'!K13</f>
        <v>-3382.4836207593894</v>
      </c>
      <c r="L27" s="373">
        <f>-'P&amp;L'!L13</f>
        <v>-3306.2656853008534</v>
      </c>
    </row>
    <row r="28" spans="2:12" x14ac:dyDescent="0.3">
      <c r="B28" s="370" t="s">
        <v>46</v>
      </c>
      <c r="C28" s="371">
        <f>'(CFS)'!B27</f>
        <v>-3651</v>
      </c>
      <c r="D28" s="371">
        <f>'(CFS)'!C27</f>
        <v>-2528</v>
      </c>
      <c r="E28" s="371">
        <f>'(CFS)'!D27</f>
        <v>-3091</v>
      </c>
      <c r="F28" s="371">
        <f>'(CFS)'!E27</f>
        <v>-4217</v>
      </c>
      <c r="G28" s="371">
        <f>'(CFS)'!F27</f>
        <v>-3850</v>
      </c>
      <c r="H28" s="372">
        <f>-'P&amp;L'!H17</f>
        <v>-4001.8883707289933</v>
      </c>
      <c r="I28" s="372">
        <f>-'P&amp;L'!I17</f>
        <v>-5001.4408316999561</v>
      </c>
      <c r="J28" s="372">
        <f>-'P&amp;L'!J17</f>
        <v>-6027.7583056689473</v>
      </c>
      <c r="K28" s="372">
        <f>-'P&amp;L'!K17</f>
        <v>-6996.0023672519465</v>
      </c>
      <c r="L28" s="373">
        <f>-'P&amp;L'!L17</f>
        <v>-7924.9941911663936</v>
      </c>
    </row>
    <row r="29" spans="2:12" x14ac:dyDescent="0.3">
      <c r="B29" s="293" t="s">
        <v>83</v>
      </c>
      <c r="C29" s="371">
        <f>SUM('(CFS)'!B28:B29)</f>
        <v>414</v>
      </c>
      <c r="D29" s="371">
        <f>SUM('(CFS)'!C28:C29)</f>
        <v>-1427</v>
      </c>
      <c r="E29" s="371">
        <f>SUM('(CFS)'!D28:D29)</f>
        <v>-1036</v>
      </c>
      <c r="F29" s="371">
        <f>SUM('(CFS)'!E28:E29)</f>
        <v>-13548</v>
      </c>
      <c r="G29" s="371">
        <f>SUM('(CFS)'!F28:F29)</f>
        <v>-1758</v>
      </c>
      <c r="H29" s="372">
        <f>E29</f>
        <v>-1036</v>
      </c>
      <c r="I29" s="372">
        <f>H29</f>
        <v>-1036</v>
      </c>
      <c r="J29" s="372">
        <f>I29</f>
        <v>-1036</v>
      </c>
      <c r="K29" s="372">
        <f>J29</f>
        <v>-1036</v>
      </c>
      <c r="L29" s="373">
        <f>K29</f>
        <v>-1036</v>
      </c>
    </row>
    <row r="30" spans="2:12" x14ac:dyDescent="0.3">
      <c r="B30" s="383" t="s">
        <v>84</v>
      </c>
      <c r="C30" s="366">
        <f>SUM(C24:C29)</f>
        <v>-15275</v>
      </c>
      <c r="D30" s="366">
        <f>SUM(D24:D29)</f>
        <v>-15181</v>
      </c>
      <c r="E30" s="366">
        <f>SUM(E24:E29)</f>
        <v>-11573</v>
      </c>
      <c r="F30" s="366">
        <f>SUM(F24:F29)</f>
        <v>-25413</v>
      </c>
      <c r="G30" s="366">
        <f>SUM(G24:G29)</f>
        <v>6557</v>
      </c>
      <c r="H30" s="376">
        <f>SUM(H24:H28)</f>
        <v>-2485.6311793310001</v>
      </c>
      <c r="I30" s="376">
        <f>SUM(I24:I28)</f>
        <v>-14171.167010459616</v>
      </c>
      <c r="J30" s="376">
        <f>SUM(J24:J28)</f>
        <v>-17058.430030563708</v>
      </c>
      <c r="K30" s="376">
        <f>SUM(K24:K28)</f>
        <v>-20660.381605651128</v>
      </c>
      <c r="L30" s="377">
        <f>SUM(L24:L28)</f>
        <v>-24151.957954658297</v>
      </c>
    </row>
    <row r="31" spans="2:12" x14ac:dyDescent="0.3">
      <c r="B31" s="384"/>
      <c r="C31" s="385"/>
      <c r="D31" s="385"/>
      <c r="E31" s="385"/>
      <c r="F31" s="385"/>
      <c r="G31" s="385"/>
      <c r="H31" s="418"/>
      <c r="I31" s="418"/>
      <c r="J31" s="418"/>
      <c r="K31" s="418"/>
      <c r="L31" s="419"/>
    </row>
    <row r="32" spans="2:12" ht="15" thickBot="1" x14ac:dyDescent="0.35">
      <c r="B32" s="386" t="s">
        <v>85</v>
      </c>
      <c r="C32" s="57">
        <f>C13+C21+C30</f>
        <v>2048</v>
      </c>
      <c r="D32" s="57">
        <f t="shared" ref="D32:L32" si="3">D13+D21+D30</f>
        <v>398</v>
      </c>
      <c r="E32" s="57">
        <f t="shared" si="3"/>
        <v>3155</v>
      </c>
      <c r="F32" s="57">
        <f t="shared" si="3"/>
        <v>-4968</v>
      </c>
      <c r="G32" s="57">
        <f t="shared" si="3"/>
        <v>228</v>
      </c>
      <c r="H32" s="420">
        <f>H13+H21+H30</f>
        <v>6572.2151032848051</v>
      </c>
      <c r="I32" s="420">
        <f t="shared" si="3"/>
        <v>11335.219651889343</v>
      </c>
      <c r="J32" s="420">
        <f t="shared" si="3"/>
        <v>14612.094260759623</v>
      </c>
      <c r="K32" s="420">
        <f t="shared" si="3"/>
        <v>13260.915979422607</v>
      </c>
      <c r="L32" s="421">
        <f t="shared" si="3"/>
        <v>7382.8593933178709</v>
      </c>
    </row>
    <row r="34" spans="8:8" x14ac:dyDescent="0.3">
      <c r="H34" s="275"/>
    </row>
    <row r="35" spans="8:8" x14ac:dyDescent="0.3">
      <c r="H35" s="276"/>
    </row>
  </sheetData>
  <hyperlinks>
    <hyperlink ref="L2" location="'Cash Flow'!A1" display="'Cash Flow'!A1" xr:uid="{C65649DD-B8B1-41E7-B59E-E7D1A1BD653A}"/>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EE308-51EA-440C-A904-704C1F64E4C6}">
  <sheetPr codeName="Sheet17"/>
  <dimension ref="A2:L45"/>
  <sheetViews>
    <sheetView showGridLines="0" zoomScale="99" workbookViewId="0">
      <pane xSplit="2" ySplit="4" topLeftCell="C14" activePane="bottomRight" state="frozen"/>
      <selection pane="topRight" activeCell="C1" sqref="C1"/>
      <selection pane="bottomLeft" activeCell="A5" sqref="A5"/>
      <selection pane="bottomRight" activeCell="L2" sqref="L2"/>
    </sheetView>
  </sheetViews>
  <sheetFormatPr defaultColWidth="0" defaultRowHeight="14.4" x14ac:dyDescent="0.3"/>
  <cols>
    <col min="1" max="1" width="1.88671875" customWidth="1"/>
    <col min="2" max="2" width="42.77734375" customWidth="1"/>
    <col min="3" max="12" width="14.88671875" customWidth="1"/>
    <col min="13" max="16384" width="8.88671875" hidden="1"/>
  </cols>
  <sheetData>
    <row r="2" spans="2:12" ht="25.8" x14ac:dyDescent="0.5">
      <c r="B2" s="26" t="s">
        <v>77</v>
      </c>
      <c r="L2" s="210" t="s">
        <v>190</v>
      </c>
    </row>
    <row r="3" spans="2:12" x14ac:dyDescent="0.3">
      <c r="B3" s="27" t="s">
        <v>53</v>
      </c>
    </row>
    <row r="4" spans="2:12" x14ac:dyDescent="0.3">
      <c r="B4" s="28" t="s">
        <v>54</v>
      </c>
      <c r="C4" s="29">
        <v>2020</v>
      </c>
      <c r="D4" s="29">
        <v>2021</v>
      </c>
      <c r="E4" s="29">
        <v>2022</v>
      </c>
      <c r="F4" s="29">
        <v>2023</v>
      </c>
      <c r="G4" s="33">
        <v>2024</v>
      </c>
      <c r="H4" s="30">
        <v>2025</v>
      </c>
      <c r="I4" s="30">
        <v>2026</v>
      </c>
      <c r="J4" s="30">
        <v>2027</v>
      </c>
      <c r="K4" s="30">
        <v>2028</v>
      </c>
      <c r="L4" s="30">
        <v>2029</v>
      </c>
    </row>
    <row r="5" spans="2:12" x14ac:dyDescent="0.3">
      <c r="B5" s="39" t="s">
        <v>78</v>
      </c>
      <c r="C5" s="34"/>
      <c r="D5" s="34"/>
      <c r="E5" s="34"/>
      <c r="F5" s="34"/>
      <c r="G5" s="34"/>
      <c r="H5" s="38"/>
      <c r="I5" s="38"/>
      <c r="J5" s="38"/>
      <c r="K5" s="38"/>
      <c r="L5" s="38"/>
    </row>
    <row r="6" spans="2:12" x14ac:dyDescent="0.3">
      <c r="B6" s="138" t="s">
        <v>129</v>
      </c>
      <c r="C6" s="52"/>
      <c r="D6" s="52">
        <f>'P&amp;L'!D16</f>
        <v>12624.869999999988</v>
      </c>
      <c r="E6" s="52">
        <f>'P&amp;L'!E16</f>
        <v>15569.720000000001</v>
      </c>
      <c r="F6" s="52">
        <f>'P&amp;L'!F16</f>
        <v>17687.39</v>
      </c>
      <c r="G6" s="52">
        <f>'P&amp;L'!G16</f>
        <v>19159.399999999976</v>
      </c>
      <c r="H6" s="53">
        <f>'P&amp;L'!H16</f>
        <v>19917.492096557529</v>
      </c>
      <c r="I6" s="53">
        <f>'P&amp;L'!I16</f>
        <v>24892.288092143281</v>
      </c>
      <c r="J6" s="53">
        <f>'P&amp;L'!J16</f>
        <v>30000.294183930535</v>
      </c>
      <c r="K6" s="53">
        <f>'P&amp;L'!K16</f>
        <v>34819.267542901354</v>
      </c>
      <c r="L6" s="53">
        <f>'P&amp;L'!L16</f>
        <v>39442.881596186897</v>
      </c>
    </row>
    <row r="7" spans="2:12" x14ac:dyDescent="0.3">
      <c r="B7" s="138" t="s">
        <v>59</v>
      </c>
      <c r="C7" s="52"/>
      <c r="D7" s="52">
        <f>'P&amp;L'!D11</f>
        <v>3502.25</v>
      </c>
      <c r="E7" s="52">
        <f>'P&amp;L'!E11</f>
        <v>3682.33</v>
      </c>
      <c r="F7" s="52">
        <f>'P&amp;L'!F11</f>
        <v>4121.18</v>
      </c>
      <c r="G7" s="52">
        <f>'P&amp;L'!G11</f>
        <v>4364.75</v>
      </c>
      <c r="H7" s="53">
        <f>'P&amp;L'!H11</f>
        <v>5148.0873997786912</v>
      </c>
      <c r="I7" s="53">
        <f>'P&amp;L'!I11</f>
        <v>5631.5295830777759</v>
      </c>
      <c r="J7" s="53">
        <f>'P&amp;L'!J11</f>
        <v>6169.9580267576011</v>
      </c>
      <c r="K7" s="53">
        <f>'P&amp;L'!K11</f>
        <v>7133.876915597134</v>
      </c>
      <c r="L7" s="53">
        <f>'P&amp;L'!L11</f>
        <v>8170.6639334534175</v>
      </c>
    </row>
    <row r="8" spans="2:12" x14ac:dyDescent="0.3">
      <c r="B8" s="144" t="s">
        <v>130</v>
      </c>
      <c r="C8" s="52"/>
      <c r="D8" s="52"/>
      <c r="E8" s="52"/>
      <c r="F8" s="52"/>
      <c r="G8" s="52"/>
      <c r="H8" s="53"/>
      <c r="I8" s="53"/>
      <c r="J8" s="53"/>
      <c r="K8" s="53"/>
      <c r="L8" s="53"/>
    </row>
    <row r="9" spans="2:12" x14ac:dyDescent="0.3">
      <c r="B9" s="139" t="s">
        <v>16</v>
      </c>
      <c r="C9" s="52"/>
      <c r="D9" s="52">
        <f>'Balance Sheet'!C5-'Balance Sheet'!D5</f>
        <v>-1746.0699999999997</v>
      </c>
      <c r="E9" s="52">
        <f>'Balance Sheet'!D5-'Balance Sheet'!E5</f>
        <v>3410.9500000000007</v>
      </c>
      <c r="F9" s="52">
        <f>'Balance Sheet'!E5-'Balance Sheet'!F5</f>
        <v>-7974.9500000000007</v>
      </c>
      <c r="G9" s="52">
        <f>'Balance Sheet'!F5-'Balance Sheet'!G5</f>
        <v>-4824.2700000000004</v>
      </c>
      <c r="H9" s="53">
        <f>'Balance Sheet'!G5-'Balance Sheet'!H5</f>
        <v>-3744.8533881186122</v>
      </c>
      <c r="I9" s="53">
        <f>'Balance Sheet'!H5-'Balance Sheet'!I5</f>
        <v>-5065.0231189870683</v>
      </c>
      <c r="J9" s="53">
        <f>'Balance Sheet'!I5-'Balance Sheet'!J5</f>
        <v>-5449.876946441902</v>
      </c>
      <c r="K9" s="53">
        <f>'Balance Sheet'!J5-'Balance Sheet'!K5</f>
        <v>-5784.1698262829814</v>
      </c>
      <c r="L9" s="53">
        <f>'Balance Sheet'!K5-'Balance Sheet'!L5</f>
        <v>-6050.1957470975831</v>
      </c>
    </row>
    <row r="10" spans="2:12" x14ac:dyDescent="0.3">
      <c r="B10" s="139" t="s">
        <v>17</v>
      </c>
      <c r="C10" s="52"/>
      <c r="D10" s="52">
        <f>'Balance Sheet'!C6-'Balance Sheet'!D6</f>
        <v>-296.04999999999973</v>
      </c>
      <c r="E10" s="52">
        <f>'Balance Sheet'!D6-'Balance Sheet'!E6</f>
        <v>-92.409999999999854</v>
      </c>
      <c r="F10" s="52">
        <f>'Balance Sheet'!E6-'Balance Sheet'!F6</f>
        <v>122.19999999999982</v>
      </c>
      <c r="G10" s="52">
        <f>'Balance Sheet'!F6-'Balance Sheet'!G6</f>
        <v>-292.15000000000009</v>
      </c>
      <c r="H10" s="53">
        <f>'Balance Sheet'!G6-'Balance Sheet'!H6</f>
        <v>-1450.9454115606814</v>
      </c>
      <c r="I10" s="53">
        <f>'Balance Sheet'!H6-'Balance Sheet'!I6</f>
        <v>-780.74600333223498</v>
      </c>
      <c r="J10" s="53">
        <f>'Balance Sheet'!I6-'Balance Sheet'!J6</f>
        <v>-840.06914571358084</v>
      </c>
      <c r="K10" s="53">
        <f>'Balance Sheet'!J6-'Balance Sheet'!K6</f>
        <v>-891.5985906434471</v>
      </c>
      <c r="L10" s="53">
        <f>'Balance Sheet'!K6-'Balance Sheet'!L6</f>
        <v>-932.60505193287099</v>
      </c>
    </row>
    <row r="11" spans="2:12" x14ac:dyDescent="0.3">
      <c r="B11" s="139" t="s">
        <v>19</v>
      </c>
      <c r="C11" s="52"/>
      <c r="D11" s="52">
        <f>'Balance Sheet'!C10-'Balance Sheet'!D10</f>
        <v>-5685.5600000000049</v>
      </c>
      <c r="E11" s="52">
        <f>'Balance Sheet'!D10-'Balance Sheet'!E10</f>
        <v>456.06999999999971</v>
      </c>
      <c r="F11" s="52">
        <f>'Balance Sheet'!E10-'Balance Sheet'!F10</f>
        <v>1467.4700000000012</v>
      </c>
      <c r="G11" s="52">
        <f>'Balance Sheet'!F10-'Balance Sheet'!G10</f>
        <v>-12306.759999999995</v>
      </c>
      <c r="H11" s="53">
        <f>'Balance Sheet'!G10-'Balance Sheet'!H10</f>
        <v>9919.6099999999933</v>
      </c>
      <c r="I11" s="53">
        <f>'Balance Sheet'!H10-'Balance Sheet'!I10</f>
        <v>-1229.8340000000098</v>
      </c>
      <c r="J11" s="53">
        <f>'Balance Sheet'!I10-'Balance Sheet'!J10</f>
        <v>-338.68879999998899</v>
      </c>
      <c r="K11" s="53">
        <f>'Balance Sheet'!J10-'Balance Sheet'!K10</f>
        <v>-497.6405600000071</v>
      </c>
      <c r="L11" s="53">
        <f>'Balance Sheet'!K10-'Balance Sheet'!L10</f>
        <v>-890.66267199999857</v>
      </c>
    </row>
    <row r="12" spans="2:12" x14ac:dyDescent="0.3">
      <c r="B12" s="140" t="s">
        <v>11</v>
      </c>
      <c r="C12" s="52"/>
      <c r="D12" s="52">
        <f>'Balance Sheet'!D22-'Balance Sheet'!C22</f>
        <v>1430.3599999999997</v>
      </c>
      <c r="E12" s="52">
        <f>'Balance Sheet'!E22-'Balance Sheet'!D22</f>
        <v>1849.0900000000001</v>
      </c>
      <c r="F12" s="52">
        <f>'Balance Sheet'!F22-'Balance Sheet'!E22</f>
        <v>2039.5499999999993</v>
      </c>
      <c r="G12" s="52">
        <f>'Balance Sheet'!G22-'Balance Sheet'!F22</f>
        <v>-11055.419999999998</v>
      </c>
      <c r="H12" s="53">
        <f>'Balance Sheet'!H22-'Balance Sheet'!G22</f>
        <v>6594.8979999999983</v>
      </c>
      <c r="I12" s="53">
        <f>'Balance Sheet'!I22-'Balance Sheet'!H22</f>
        <v>171.69560000000092</v>
      </c>
      <c r="J12" s="53">
        <f>'Balance Sheet'!J22-'Balance Sheet'!I22</f>
        <v>-80.037280000000464</v>
      </c>
      <c r="K12" s="53">
        <f>'Balance Sheet'!K22-'Balance Sheet'!J22</f>
        <v>-465.86273599999913</v>
      </c>
      <c r="L12" s="53">
        <f>'Balance Sheet'!L22-'Balance Sheet'!K22</f>
        <v>-966.94528320000063</v>
      </c>
    </row>
    <row r="13" spans="2:12" x14ac:dyDescent="0.3">
      <c r="B13" s="140" t="s">
        <v>12</v>
      </c>
      <c r="C13" s="52"/>
      <c r="D13" s="52">
        <f>'Balance Sheet'!D23-'Balance Sheet'!C23</f>
        <v>-3604.9699999999939</v>
      </c>
      <c r="E13" s="52">
        <f>'Balance Sheet'!E23-'Balance Sheet'!D23</f>
        <v>-934.04000000000087</v>
      </c>
      <c r="F13" s="52">
        <f>'Balance Sheet'!F23-'Balance Sheet'!E23</f>
        <v>-2050.3400000000038</v>
      </c>
      <c r="G13" s="52">
        <f>'Balance Sheet'!G23-'Balance Sheet'!F23</f>
        <v>10344.520000000004</v>
      </c>
      <c r="H13" s="53">
        <f>'Balance Sheet'!H23-'Balance Sheet'!G23</f>
        <v>15621.832546531463</v>
      </c>
      <c r="I13" s="53">
        <f>'Balance Sheet'!I23-'Balance Sheet'!H23</f>
        <v>9833.5790734535258</v>
      </c>
      <c r="J13" s="53">
        <f>'Balance Sheet'!J23-'Balance Sheet'!I23</f>
        <v>10580.760370575663</v>
      </c>
      <c r="K13" s="53">
        <f>'Balance Sheet'!K23-'Balance Sheet'!J23</f>
        <v>11229.779218147509</v>
      </c>
      <c r="L13" s="53">
        <f>'Balance Sheet'!L23-'Balance Sheet'!K23</f>
        <v>11746.259965908015</v>
      </c>
    </row>
    <row r="14" spans="2:12" x14ac:dyDescent="0.3">
      <c r="B14" s="140" t="s">
        <v>13</v>
      </c>
      <c r="C14" s="52"/>
      <c r="D14" s="52">
        <f>'Balance Sheet'!D24-'Balance Sheet'!C24</f>
        <v>5339.3800000000047</v>
      </c>
      <c r="E14" s="52">
        <f>'Balance Sheet'!E24-'Balance Sheet'!D24</f>
        <v>6589.6599999999962</v>
      </c>
      <c r="F14" s="52">
        <f>'Balance Sheet'!F24-'Balance Sheet'!E24</f>
        <v>5346.1399999999994</v>
      </c>
      <c r="G14" s="52">
        <f>'Balance Sheet'!G24-'Balance Sheet'!F24</f>
        <v>18682.989999999998</v>
      </c>
      <c r="H14" s="53">
        <f>'Balance Sheet'!H24-'Balance Sheet'!G24</f>
        <v>-21857.815999999999</v>
      </c>
      <c r="I14" s="53">
        <f>'Balance Sheet'!I24-'Balance Sheet'!H24</f>
        <v>0</v>
      </c>
      <c r="J14" s="53">
        <f>'Balance Sheet'!J24-'Balance Sheet'!I24</f>
        <v>0</v>
      </c>
      <c r="K14" s="53">
        <f>'Balance Sheet'!K24-'Balance Sheet'!J24</f>
        <v>0</v>
      </c>
      <c r="L14" s="53">
        <f>'Balance Sheet'!L24-'Balance Sheet'!K24</f>
        <v>0</v>
      </c>
    </row>
    <row r="15" spans="2:12" x14ac:dyDescent="0.3">
      <c r="B15" s="49" t="s">
        <v>79</v>
      </c>
      <c r="C15" s="55">
        <f t="shared" ref="C15:L15" si="0">SUM(C6:C14)</f>
        <v>0</v>
      </c>
      <c r="D15" s="55">
        <f t="shared" si="0"/>
        <v>11564.209999999995</v>
      </c>
      <c r="E15" s="55">
        <f t="shared" si="0"/>
        <v>30531.37</v>
      </c>
      <c r="F15" s="55">
        <f t="shared" si="0"/>
        <v>20758.639999999996</v>
      </c>
      <c r="G15" s="55">
        <f t="shared" si="0"/>
        <v>24073.059999999983</v>
      </c>
      <c r="H15" s="135">
        <f t="shared" si="0"/>
        <v>30148.305243188384</v>
      </c>
      <c r="I15" s="135">
        <f t="shared" si="0"/>
        <v>33453.489226355268</v>
      </c>
      <c r="J15" s="135">
        <f t="shared" si="0"/>
        <v>40042.340409108328</v>
      </c>
      <c r="K15" s="135">
        <f t="shared" si="0"/>
        <v>45543.65196371956</v>
      </c>
      <c r="L15" s="135">
        <f t="shared" si="0"/>
        <v>50519.396741317876</v>
      </c>
    </row>
    <row r="16" spans="2:12" x14ac:dyDescent="0.3">
      <c r="B16" s="39"/>
      <c r="C16" s="56"/>
      <c r="D16" s="56"/>
      <c r="E16" s="56"/>
      <c r="F16" s="56"/>
      <c r="G16" s="56"/>
      <c r="H16" s="54"/>
      <c r="I16" s="54"/>
      <c r="J16" s="54"/>
      <c r="K16" s="54"/>
      <c r="L16" s="54"/>
    </row>
    <row r="17" spans="2:12" x14ac:dyDescent="0.3">
      <c r="B17" s="51" t="s">
        <v>80</v>
      </c>
      <c r="C17" s="52"/>
      <c r="D17" s="52"/>
      <c r="E17" s="52"/>
      <c r="F17" s="52"/>
      <c r="G17" s="52"/>
      <c r="H17" s="53"/>
      <c r="I17" s="53"/>
      <c r="J17" s="53"/>
      <c r="K17" s="53"/>
      <c r="L17" s="53"/>
    </row>
    <row r="18" spans="2:12" x14ac:dyDescent="0.3">
      <c r="B18" s="138" t="s">
        <v>102</v>
      </c>
      <c r="C18" s="52"/>
      <c r="D18" s="52">
        <f>-PPE!D6</f>
        <v>-3174.4800000000018</v>
      </c>
      <c r="E18" s="52">
        <f>-PPE!E6</f>
        <v>-3483.87</v>
      </c>
      <c r="F18" s="52">
        <f>-PPE!F6</f>
        <v>-2647.84</v>
      </c>
      <c r="G18" s="52">
        <f>-PPE!G6</f>
        <v>-5095.2900000000009</v>
      </c>
      <c r="H18" s="134">
        <f>-PPE!H6</f>
        <v>-4759.7757442209204</v>
      </c>
      <c r="I18" s="134">
        <f>-PPE!I6</f>
        <v>-5283.6535236505988</v>
      </c>
      <c r="J18" s="134">
        <f>-PPE!J6</f>
        <v>-5881.9418634745971</v>
      </c>
      <c r="K18" s="134">
        <f>-PPE!K6</f>
        <v>-7074.4199539131478</v>
      </c>
      <c r="L18" s="134">
        <f>-PPE!L6</f>
        <v>-7633.0887144480985</v>
      </c>
    </row>
    <row r="19" spans="2:12" x14ac:dyDescent="0.3">
      <c r="B19" s="141" t="s">
        <v>110</v>
      </c>
      <c r="C19" s="52"/>
      <c r="D19" s="52">
        <f>-PPE!D24</f>
        <v>-2358.98</v>
      </c>
      <c r="E19" s="52">
        <f>-PPE!E24</f>
        <v>-342.6099999999999</v>
      </c>
      <c r="F19" s="52">
        <f>-PPE!F24</f>
        <v>-1231.8599999999999</v>
      </c>
      <c r="G19" s="52">
        <f>-PPE!G24</f>
        <v>-2029.13</v>
      </c>
      <c r="H19" s="134">
        <f>-PPE!H24</f>
        <v>-2520.4833618077505</v>
      </c>
      <c r="I19" s="134">
        <f>-PPE!I24</f>
        <v>-2687.0821447264884</v>
      </c>
      <c r="J19" s="134">
        <f>-PPE!J24</f>
        <v>-4497.796494864976</v>
      </c>
      <c r="K19" s="134">
        <f>-PPE!K24</f>
        <v>-8710.9345376484689</v>
      </c>
      <c r="L19" s="134">
        <f>-PPE!L24</f>
        <v>-17433.722434488674</v>
      </c>
    </row>
    <row r="20" spans="2:12" x14ac:dyDescent="0.3">
      <c r="B20" s="45" t="s">
        <v>68</v>
      </c>
      <c r="C20" s="52"/>
      <c r="D20" s="52">
        <f>'Balance Sheet'!C14-'Balance Sheet'!D14</f>
        <v>0.48000000000001819</v>
      </c>
      <c r="E20" s="52">
        <f>'Balance Sheet'!D14-'Balance Sheet'!E14</f>
        <v>-5.5200000000000102</v>
      </c>
      <c r="F20" s="52">
        <f>'Balance Sheet'!E14-'Balance Sheet'!F14</f>
        <v>-30.189999999999998</v>
      </c>
      <c r="G20" s="52">
        <f>'Balance Sheet'!F14-'Balance Sheet'!G14</f>
        <v>111.35000000000001</v>
      </c>
      <c r="H20" s="134">
        <f>'Balance Sheet'!G14-'Balance Sheet'!H14</f>
        <v>-2520.4833618077505</v>
      </c>
      <c r="I20" s="134">
        <f>'Balance Sheet'!H14-'Balance Sheet'!I14</f>
        <v>-2687.0821447264884</v>
      </c>
      <c r="J20" s="134">
        <f>'Balance Sheet'!I14-'Balance Sheet'!J14</f>
        <v>-4497.7964948649751</v>
      </c>
      <c r="K20" s="134">
        <f>'Balance Sheet'!J14-'Balance Sheet'!K14</f>
        <v>-8710.9345376484671</v>
      </c>
      <c r="L20" s="134">
        <f>'Balance Sheet'!K14-'Balance Sheet'!L14</f>
        <v>-17433.722434488678</v>
      </c>
    </row>
    <row r="21" spans="2:12" x14ac:dyDescent="0.3">
      <c r="B21" s="142" t="s">
        <v>69</v>
      </c>
      <c r="C21" s="52"/>
      <c r="D21" s="52">
        <f>-('Balance Sheet'!D16-'Balance Sheet'!C16)</f>
        <v>-5.1300000000000008</v>
      </c>
      <c r="E21" s="52">
        <f>-('Balance Sheet'!E16-'Balance Sheet'!D16)</f>
        <v>-10.239999999999998</v>
      </c>
      <c r="F21" s="52">
        <f>-('Balance Sheet'!F16-'Balance Sheet'!E16)</f>
        <v>4.8699999999999974</v>
      </c>
      <c r="G21" s="52">
        <f>-('Balance Sheet'!G16-'Balance Sheet'!F16)</f>
        <v>21.76</v>
      </c>
      <c r="H21" s="134">
        <f>-('Balance Sheet'!H16-'Balance Sheet'!G16)</f>
        <v>0</v>
      </c>
      <c r="I21" s="134">
        <f>-('Balance Sheet'!I16-'Balance Sheet'!H16)</f>
        <v>0</v>
      </c>
      <c r="J21" s="134">
        <f>-('Balance Sheet'!J16-'Balance Sheet'!I16)</f>
        <v>0</v>
      </c>
      <c r="K21" s="134">
        <f>-('Balance Sheet'!K16-'Balance Sheet'!J16)</f>
        <v>0</v>
      </c>
      <c r="L21" s="134">
        <f>-('Balance Sheet'!L16-'Balance Sheet'!K16)</f>
        <v>0</v>
      </c>
    </row>
    <row r="22" spans="2:12" x14ac:dyDescent="0.3">
      <c r="B22" s="142" t="s">
        <v>70</v>
      </c>
      <c r="C22" s="52"/>
      <c r="D22" s="52">
        <f>-('Balance Sheet'!D17-'Balance Sheet'!C17)</f>
        <v>-1378.4099999999962</v>
      </c>
      <c r="E22" s="52">
        <f>-('Balance Sheet'!E17-'Balance Sheet'!D17)</f>
        <v>-3322.2299999999959</v>
      </c>
      <c r="F22" s="52">
        <f>-('Balance Sheet'!F17-'Balance Sheet'!E17)</f>
        <v>-3376.25</v>
      </c>
      <c r="G22" s="52">
        <f>-('Balance Sheet'!G17-'Balance Sheet'!F17)</f>
        <v>6923.9699999999939</v>
      </c>
      <c r="H22" s="134">
        <f>-('Balance Sheet'!H17-'Balance Sheet'!G17)</f>
        <v>0</v>
      </c>
      <c r="I22" s="134">
        <f>-('Balance Sheet'!I17-'Balance Sheet'!H17)</f>
        <v>0</v>
      </c>
      <c r="J22" s="134">
        <f>-('Balance Sheet'!J17-'Balance Sheet'!I17)</f>
        <v>0</v>
      </c>
      <c r="K22" s="134">
        <f>-('Balance Sheet'!K17-'Balance Sheet'!J17)</f>
        <v>0</v>
      </c>
      <c r="L22" s="134">
        <f>-('Balance Sheet'!L17-'Balance Sheet'!K17)</f>
        <v>0</v>
      </c>
    </row>
    <row r="23" spans="2:12" x14ac:dyDescent="0.3">
      <c r="B23" s="142" t="s">
        <v>15</v>
      </c>
      <c r="C23" s="52"/>
      <c r="D23" s="52">
        <f>'Balance Sheet'!D18-'Balance Sheet'!C18</f>
        <v>2014.7899999999991</v>
      </c>
      <c r="E23" s="52">
        <f>'Balance Sheet'!E18-'Balance Sheet'!D18</f>
        <v>752.60000000000036</v>
      </c>
      <c r="F23" s="52">
        <f>'Balance Sheet'!F18-'Balance Sheet'!E18</f>
        <v>-70.260000000000218</v>
      </c>
      <c r="G23" s="52">
        <f>'Balance Sheet'!G18-'Balance Sheet'!F18</f>
        <v>1319.3999999999996</v>
      </c>
      <c r="H23" s="134">
        <f>'Balance Sheet'!H18-'Balance Sheet'!G18</f>
        <v>5148.087399778693</v>
      </c>
      <c r="I23" s="134">
        <f>'Balance Sheet'!I18-'Balance Sheet'!H18</f>
        <v>5631.5295830777759</v>
      </c>
      <c r="J23" s="134">
        <f>'Balance Sheet'!J18-'Balance Sheet'!I18</f>
        <v>6169.9580267576021</v>
      </c>
      <c r="K23" s="134">
        <f>'Balance Sheet'!K18-'Balance Sheet'!J18</f>
        <v>7133.8769155971313</v>
      </c>
      <c r="L23" s="134">
        <f>'Balance Sheet'!L18-'Balance Sheet'!K18</f>
        <v>8170.6639334534193</v>
      </c>
    </row>
    <row r="24" spans="2:12" x14ac:dyDescent="0.3">
      <c r="B24" s="49" t="s">
        <v>81</v>
      </c>
      <c r="C24" s="55">
        <f t="shared" ref="C24:L24" si="1">SUM(C18:C23)</f>
        <v>0</v>
      </c>
      <c r="D24" s="55">
        <f t="shared" si="1"/>
        <v>-4901.7299999999987</v>
      </c>
      <c r="E24" s="55">
        <f t="shared" si="1"/>
        <v>-6411.8699999999953</v>
      </c>
      <c r="F24" s="55">
        <f t="shared" si="1"/>
        <v>-7351.5300000000007</v>
      </c>
      <c r="G24" s="55">
        <f t="shared" si="1"/>
        <v>1252.0599999999931</v>
      </c>
      <c r="H24" s="135">
        <f t="shared" si="1"/>
        <v>-4652.6550680577275</v>
      </c>
      <c r="I24" s="135">
        <f t="shared" si="1"/>
        <v>-5026.2882300257988</v>
      </c>
      <c r="J24" s="135">
        <f t="shared" si="1"/>
        <v>-8707.5768264469461</v>
      </c>
      <c r="K24" s="135">
        <f t="shared" si="1"/>
        <v>-17362.412113612954</v>
      </c>
      <c r="L24" s="135">
        <f t="shared" si="1"/>
        <v>-34329.869649972032</v>
      </c>
    </row>
    <row r="25" spans="2:12" x14ac:dyDescent="0.3">
      <c r="C25" s="56"/>
      <c r="D25" s="56"/>
      <c r="E25" s="56"/>
      <c r="F25" s="56"/>
      <c r="G25" s="56"/>
      <c r="H25" s="54"/>
      <c r="I25" s="54"/>
      <c r="J25" s="54"/>
      <c r="K25" s="54"/>
      <c r="L25" s="54"/>
    </row>
    <row r="26" spans="2:12" x14ac:dyDescent="0.3">
      <c r="B26" s="51" t="s">
        <v>82</v>
      </c>
      <c r="C26" s="56"/>
      <c r="D26" s="56"/>
      <c r="E26" s="56"/>
      <c r="F26" s="56"/>
      <c r="G26" s="56"/>
      <c r="H26" s="54"/>
      <c r="I26" s="54"/>
      <c r="J26" s="54"/>
      <c r="K26" s="54"/>
      <c r="L26" s="54"/>
    </row>
    <row r="27" spans="2:12" x14ac:dyDescent="0.3">
      <c r="B27" s="138" t="s">
        <v>64</v>
      </c>
      <c r="C27" s="52"/>
      <c r="D27" s="52">
        <f>-'P&amp;L'!D17</f>
        <v>-3091.42</v>
      </c>
      <c r="E27" s="52">
        <f>-'P&amp;L'!E17</f>
        <v>-4216.95</v>
      </c>
      <c r="F27" s="52">
        <f>-'P&amp;L'!F17</f>
        <v>-3849.57</v>
      </c>
      <c r="G27" s="52">
        <f>-'P&amp;L'!G17</f>
        <v>-3849.57</v>
      </c>
      <c r="H27" s="134">
        <f>-'P&amp;L'!H17</f>
        <v>-4001.8883707289933</v>
      </c>
      <c r="I27" s="134">
        <f>-'P&amp;L'!I17</f>
        <v>-5001.4408316999561</v>
      </c>
      <c r="J27" s="134">
        <f>-'P&amp;L'!J17</f>
        <v>-6027.7583056689473</v>
      </c>
      <c r="K27" s="134">
        <f>-'P&amp;L'!K17</f>
        <v>-6996.0023672519465</v>
      </c>
      <c r="L27" s="134">
        <f>-'P&amp;L'!L17</f>
        <v>-7924.9941911663936</v>
      </c>
    </row>
    <row r="28" spans="2:12" x14ac:dyDescent="0.3">
      <c r="B28" s="142" t="s">
        <v>18</v>
      </c>
      <c r="C28" s="52"/>
      <c r="D28" s="52">
        <f>('Balance Sheet'!C8-'Balance Sheet'!D8)</f>
        <v>1928.87</v>
      </c>
      <c r="E28" s="52">
        <f>('Balance Sheet'!D8-'Balance Sheet'!E8)</f>
        <v>-199.54999999999927</v>
      </c>
      <c r="F28" s="52">
        <f>('Balance Sheet'!E8-'Balance Sheet'!F8)</f>
        <v>422.57999999999993</v>
      </c>
      <c r="G28" s="52">
        <f>('Balance Sheet'!F8-'Balance Sheet'!G8)</f>
        <v>-3197.71</v>
      </c>
      <c r="H28" s="134">
        <f>('Balance Sheet'!G8-'Balance Sheet'!H8)</f>
        <v>-6572.2151032848051</v>
      </c>
      <c r="I28" s="134">
        <f>('Balance Sheet'!H8-'Balance Sheet'!I8)</f>
        <v>-11335.219651889343</v>
      </c>
      <c r="J28" s="134">
        <f>('Balance Sheet'!I8-'Balance Sheet'!J8)</f>
        <v>-14612.094260759619</v>
      </c>
      <c r="K28" s="134">
        <f>('Balance Sheet'!J8-'Balance Sheet'!K8)</f>
        <v>-13260.915979422607</v>
      </c>
      <c r="L28" s="134">
        <f>('Balance Sheet'!K8-'Balance Sheet'!L8)</f>
        <v>-7382.8593933178709</v>
      </c>
    </row>
    <row r="29" spans="2:12" x14ac:dyDescent="0.3">
      <c r="B29" s="143" t="s">
        <v>8</v>
      </c>
      <c r="C29" s="52"/>
      <c r="D29" s="52">
        <f>'Balance Sheet'!D25-'Balance Sheet'!C25</f>
        <v>-29.110000000000127</v>
      </c>
      <c r="E29" s="52">
        <f>'Balance Sheet'!E25-'Balance Sheet'!D25</f>
        <v>-180.79999999999995</v>
      </c>
      <c r="F29" s="52">
        <f>'Balance Sheet'!F25-'Balance Sheet'!E25</f>
        <v>746.66000000000008</v>
      </c>
      <c r="G29" s="52">
        <f>'Balance Sheet'!G25-'Balance Sheet'!F25</f>
        <v>304.25999999999976</v>
      </c>
      <c r="H29" s="134">
        <f>'Balance Sheet'!H25-'Balance Sheet'!G25</f>
        <v>481.15397307253807</v>
      </c>
      <c r="I29" s="134">
        <f>'Balance Sheet'!I25-'Balance Sheet'!H25</f>
        <v>309.63562885919737</v>
      </c>
      <c r="J29" s="134">
        <f>'Balance Sheet'!J25-'Balance Sheet'!I25</f>
        <v>424.02175252413917</v>
      </c>
      <c r="K29" s="134">
        <f>'Balance Sheet'!K25-'Balance Sheet'!J25</f>
        <v>669.98776597601773</v>
      </c>
      <c r="L29" s="134">
        <f>'Balance Sheet'!L25-'Balance Sheet'!K25</f>
        <v>552.71023712295482</v>
      </c>
    </row>
    <row r="30" spans="2:12" x14ac:dyDescent="0.3">
      <c r="B30" s="143" t="s">
        <v>7</v>
      </c>
      <c r="C30" s="52"/>
      <c r="D30" s="52">
        <f>'Balance Sheet'!D28-'Balance Sheet'!C28</f>
        <v>-3577.5599999999995</v>
      </c>
      <c r="E30" s="52">
        <f>'Balance Sheet'!E28-'Balance Sheet'!D28</f>
        <v>2540.2899999999991</v>
      </c>
      <c r="F30" s="52">
        <f>'Balance Sheet'!F28-'Balance Sheet'!E28</f>
        <v>-2645.1399999999994</v>
      </c>
      <c r="G30" s="52">
        <f>'Balance Sheet'!G28-'Balance Sheet'!F28</f>
        <v>501.67000000000007</v>
      </c>
      <c r="H30" s="134">
        <f>'Balance Sheet'!H28-'Balance Sheet'!G28</f>
        <v>547.26666666666642</v>
      </c>
      <c r="I30" s="134">
        <f>'Balance Sheet'!I28-'Balance Sheet'!H28</f>
        <v>-532.06777777777825</v>
      </c>
      <c r="J30" s="134">
        <f>'Balance Sheet'!J28-'Balance Sheet'!I28</f>
        <v>172.28962962962942</v>
      </c>
      <c r="K30" s="134">
        <f>'Balance Sheet'!K28-'Balance Sheet'!J28</f>
        <v>62.496172839506471</v>
      </c>
      <c r="L30" s="134">
        <f>'Balance Sheet'!L28-'Balance Sheet'!K28</f>
        <v>-99.093991769548666</v>
      </c>
    </row>
    <row r="31" spans="2:12" x14ac:dyDescent="0.3">
      <c r="B31" s="143" t="s">
        <v>9</v>
      </c>
      <c r="C31" s="52"/>
      <c r="D31" s="52">
        <f>'Balance Sheet'!D29-'Balance Sheet'!C29</f>
        <v>-41.489999999999981</v>
      </c>
      <c r="E31" s="52">
        <f>'Balance Sheet'!E29-'Balance Sheet'!D29</f>
        <v>45.149999999999977</v>
      </c>
      <c r="F31" s="52">
        <f>'Balance Sheet'!F29-'Balance Sheet'!E29</f>
        <v>149.00000000000003</v>
      </c>
      <c r="G31" s="52">
        <f>'Balance Sheet'!G29-'Balance Sheet'!F29</f>
        <v>303.21000000000004</v>
      </c>
      <c r="H31" s="134">
        <f>'Balance Sheet'!H29-'Balance Sheet'!G29</f>
        <v>0</v>
      </c>
      <c r="I31" s="134">
        <f>'Balance Sheet'!I29-'Balance Sheet'!H29</f>
        <v>0</v>
      </c>
      <c r="J31" s="134">
        <f>'Balance Sheet'!J29-'Balance Sheet'!I29</f>
        <v>0</v>
      </c>
      <c r="K31" s="134">
        <f>'Balance Sheet'!K29-'Balance Sheet'!J29</f>
        <v>0</v>
      </c>
      <c r="L31" s="134">
        <f>'Balance Sheet'!L29-'Balance Sheet'!K29</f>
        <v>0</v>
      </c>
    </row>
    <row r="32" spans="2:12" x14ac:dyDescent="0.3">
      <c r="B32" s="143" t="s">
        <v>10</v>
      </c>
      <c r="C32" s="52"/>
      <c r="D32" s="52">
        <f>'Balance Sheet'!D30-'Balance Sheet'!C30</f>
        <v>-8.2999999999999545</v>
      </c>
      <c r="E32" s="52">
        <f>'Balance Sheet'!E30-'Balance Sheet'!D30</f>
        <v>60.759999999999991</v>
      </c>
      <c r="F32" s="52">
        <f>'Balance Sheet'!F30-'Balance Sheet'!E30</f>
        <v>67.990000000000009</v>
      </c>
      <c r="G32" s="52">
        <f>'Balance Sheet'!G30-'Balance Sheet'!F30</f>
        <v>3.6000000000000227</v>
      </c>
      <c r="H32" s="134">
        <f>'Balance Sheet'!H30-'Balance Sheet'!G30</f>
        <v>0</v>
      </c>
      <c r="I32" s="134">
        <f>'Balance Sheet'!I30-'Balance Sheet'!H30</f>
        <v>0</v>
      </c>
      <c r="J32" s="134">
        <f>'Balance Sheet'!J30-'Balance Sheet'!I30</f>
        <v>0</v>
      </c>
      <c r="K32" s="134">
        <f>'Balance Sheet'!K30-'Balance Sheet'!J30</f>
        <v>0</v>
      </c>
      <c r="L32" s="134">
        <f>'Balance Sheet'!L30-'Balance Sheet'!K30</f>
        <v>0</v>
      </c>
    </row>
    <row r="33" spans="2:12" x14ac:dyDescent="0.3">
      <c r="B33" s="143" t="s">
        <v>6</v>
      </c>
      <c r="C33" s="52"/>
      <c r="D33" s="52">
        <f>'Balance Sheet'!D34-'Balance Sheet'!C34</f>
        <v>9.0000000000031832E-2</v>
      </c>
      <c r="E33" s="52">
        <f>'Balance Sheet'!E34-'Balance Sheet'!D34</f>
        <v>-6.1700000000000159</v>
      </c>
      <c r="F33" s="52">
        <f>'Balance Sheet'!F34-'Balance Sheet'!E34</f>
        <v>0.11000000000001364</v>
      </c>
      <c r="G33" s="52">
        <f>'Balance Sheet'!G34-'Balance Sheet'!F34</f>
        <v>8.9999999999974989E-2</v>
      </c>
      <c r="H33" s="134">
        <f>'Balance Sheet'!H34-'Balance Sheet'!G34</f>
        <v>0</v>
      </c>
      <c r="I33" s="134">
        <f>'Balance Sheet'!I34-'Balance Sheet'!H34</f>
        <v>0</v>
      </c>
      <c r="J33" s="134">
        <f>'Balance Sheet'!J34-'Balance Sheet'!I34</f>
        <v>0</v>
      </c>
      <c r="K33" s="134">
        <f>'Balance Sheet'!K34-'Balance Sheet'!J34</f>
        <v>0</v>
      </c>
      <c r="L33" s="134">
        <f>'Balance Sheet'!L34-'Balance Sheet'!K34</f>
        <v>0</v>
      </c>
    </row>
    <row r="34" spans="2:12" x14ac:dyDescent="0.3">
      <c r="B34" s="143" t="s">
        <v>127</v>
      </c>
      <c r="C34" s="52"/>
      <c r="D34" s="52">
        <f>'Balance Sheet'!D36-'Balance Sheet'!C36</f>
        <v>-14.759999999999991</v>
      </c>
      <c r="E34" s="52">
        <f>'Balance Sheet'!E36-'Balance Sheet'!D36</f>
        <v>51.069999999999993</v>
      </c>
      <c r="F34" s="52">
        <f>'Balance Sheet'!F36-'Balance Sheet'!E36</f>
        <v>-125.69</v>
      </c>
      <c r="G34" s="52">
        <f>'Balance Sheet'!G36-'Balance Sheet'!F36</f>
        <v>0</v>
      </c>
      <c r="H34" s="134">
        <f>'Balance Sheet'!H36-'Balance Sheet'!G36</f>
        <v>0</v>
      </c>
      <c r="I34" s="134">
        <f>'Balance Sheet'!I36-'Balance Sheet'!H36</f>
        <v>0</v>
      </c>
      <c r="J34" s="134">
        <f>'Balance Sheet'!J36-'Balance Sheet'!I36</f>
        <v>0</v>
      </c>
      <c r="K34" s="134">
        <f>'Balance Sheet'!K36-'Balance Sheet'!J36</f>
        <v>0</v>
      </c>
      <c r="L34" s="134">
        <f>'Balance Sheet'!L36-'Balance Sheet'!K36</f>
        <v>0</v>
      </c>
    </row>
    <row r="35" spans="2:12" x14ac:dyDescent="0.3">
      <c r="B35" s="143" t="s">
        <v>128</v>
      </c>
      <c r="C35" s="52"/>
      <c r="D35" s="52">
        <f>Drivers!D56</f>
        <v>-5104.8799999999956</v>
      </c>
      <c r="E35" s="52">
        <f>Drivers!E56</f>
        <v>-18509.579999999998</v>
      </c>
      <c r="F35" s="52">
        <f>Drivers!F56</f>
        <v>-6232.4399999999951</v>
      </c>
      <c r="G35" s="52">
        <f>Drivers!G56</f>
        <v>-12672.859999999975</v>
      </c>
      <c r="H35" s="134">
        <f>Drivers!H56</f>
        <v>0</v>
      </c>
      <c r="I35" s="134">
        <f>Drivers!I56</f>
        <v>0</v>
      </c>
      <c r="J35" s="134">
        <f>Drivers!J56</f>
        <v>0</v>
      </c>
      <c r="K35" s="134">
        <f>Drivers!K56</f>
        <v>0</v>
      </c>
      <c r="L35" s="134">
        <f>Drivers!L56</f>
        <v>0</v>
      </c>
    </row>
    <row r="36" spans="2:12" x14ac:dyDescent="0.3">
      <c r="B36" s="49" t="s">
        <v>84</v>
      </c>
      <c r="C36" s="55">
        <f t="shared" ref="C36:L36" si="2">SUM(C27:C35)</f>
        <v>0</v>
      </c>
      <c r="D36" s="55">
        <f t="shared" si="2"/>
        <v>-9938.559999999994</v>
      </c>
      <c r="E36" s="55">
        <f t="shared" si="2"/>
        <v>-20415.78</v>
      </c>
      <c r="F36" s="55">
        <f t="shared" si="2"/>
        <v>-11466.499999999995</v>
      </c>
      <c r="G36" s="55">
        <f t="shared" si="2"/>
        <v>-18607.309999999976</v>
      </c>
      <c r="H36" s="135">
        <f t="shared" si="2"/>
        <v>-9545.6828342745939</v>
      </c>
      <c r="I36" s="135">
        <f t="shared" si="2"/>
        <v>-16559.09263250788</v>
      </c>
      <c r="J36" s="135">
        <f t="shared" si="2"/>
        <v>-20043.5411842748</v>
      </c>
      <c r="K36" s="135">
        <f t="shared" si="2"/>
        <v>-19524.434407859029</v>
      </c>
      <c r="L36" s="135">
        <f t="shared" si="2"/>
        <v>-14854.237339130859</v>
      </c>
    </row>
    <row r="37" spans="2:12" x14ac:dyDescent="0.3">
      <c r="C37" s="52"/>
      <c r="D37" s="52"/>
      <c r="E37" s="52"/>
      <c r="F37" s="52"/>
      <c r="G37" s="52"/>
      <c r="H37" s="134"/>
      <c r="I37" s="134"/>
      <c r="J37" s="134"/>
      <c r="K37" s="134"/>
      <c r="L37" s="134"/>
    </row>
    <row r="38" spans="2:12" ht="15" thickBot="1" x14ac:dyDescent="0.35">
      <c r="B38" s="31" t="s">
        <v>85</v>
      </c>
      <c r="C38" s="57"/>
      <c r="D38" s="57">
        <f t="shared" ref="D38:L38" si="3">D15+D24+D36</f>
        <v>-3276.0799999999972</v>
      </c>
      <c r="E38" s="57">
        <f t="shared" si="3"/>
        <v>3703.7200000000048</v>
      </c>
      <c r="F38" s="57">
        <f t="shared" si="3"/>
        <v>1940.6100000000006</v>
      </c>
      <c r="G38" s="57">
        <f t="shared" si="3"/>
        <v>6717.8100000000013</v>
      </c>
      <c r="H38" s="136">
        <f t="shared" si="3"/>
        <v>15949.967340856063</v>
      </c>
      <c r="I38" s="136">
        <f t="shared" si="3"/>
        <v>11868.10836382159</v>
      </c>
      <c r="J38" s="136">
        <f t="shared" si="3"/>
        <v>11291.222398386584</v>
      </c>
      <c r="K38" s="136">
        <f t="shared" si="3"/>
        <v>8656.8054422475761</v>
      </c>
      <c r="L38" s="136">
        <f t="shared" si="3"/>
        <v>1335.2897522149851</v>
      </c>
    </row>
    <row r="39" spans="2:12" x14ac:dyDescent="0.3">
      <c r="B39" s="39" t="s">
        <v>109</v>
      </c>
      <c r="C39" s="56"/>
      <c r="D39" s="56">
        <f>C40</f>
        <v>36347.35</v>
      </c>
      <c r="E39" s="56">
        <f t="shared" ref="E39:L39" si="4">D40</f>
        <v>33071.270000000004</v>
      </c>
      <c r="F39" s="56">
        <f t="shared" si="4"/>
        <v>36774.990000000005</v>
      </c>
      <c r="G39" s="56">
        <f t="shared" si="4"/>
        <v>38715.600000000006</v>
      </c>
      <c r="H39" s="137">
        <f t="shared" si="4"/>
        <v>45433.41</v>
      </c>
      <c r="I39" s="137">
        <f t="shared" si="4"/>
        <v>61383.377340856066</v>
      </c>
      <c r="J39" s="137">
        <f t="shared" si="4"/>
        <v>73251.48570467766</v>
      </c>
      <c r="K39" s="137">
        <f t="shared" si="4"/>
        <v>84542.708103064244</v>
      </c>
      <c r="L39" s="137">
        <f t="shared" si="4"/>
        <v>93199.513545311813</v>
      </c>
    </row>
    <row r="40" spans="2:12" x14ac:dyDescent="0.3">
      <c r="B40" s="39" t="s">
        <v>111</v>
      </c>
      <c r="C40" s="56">
        <f>'Balance Sheet'!C7</f>
        <v>36347.35</v>
      </c>
      <c r="D40" s="56">
        <f t="shared" ref="D40:L40" si="5">D38+D39</f>
        <v>33071.270000000004</v>
      </c>
      <c r="E40" s="56">
        <f t="shared" si="5"/>
        <v>36774.990000000005</v>
      </c>
      <c r="F40" s="56">
        <f t="shared" si="5"/>
        <v>38715.600000000006</v>
      </c>
      <c r="G40" s="56">
        <f t="shared" si="5"/>
        <v>45433.41</v>
      </c>
      <c r="H40" s="137">
        <f t="shared" si="5"/>
        <v>61383.377340856066</v>
      </c>
      <c r="I40" s="137">
        <f t="shared" si="5"/>
        <v>73251.48570467766</v>
      </c>
      <c r="J40" s="137">
        <f t="shared" si="5"/>
        <v>84542.708103064244</v>
      </c>
      <c r="K40" s="137">
        <f t="shared" si="5"/>
        <v>93199.513545311813</v>
      </c>
      <c r="L40" s="137">
        <f t="shared" si="5"/>
        <v>94534.8032975268</v>
      </c>
    </row>
    <row r="41" spans="2:12" x14ac:dyDescent="0.3">
      <c r="B41" s="48"/>
      <c r="C41" s="52"/>
      <c r="D41" s="52"/>
      <c r="E41" s="52"/>
      <c r="F41" s="52"/>
      <c r="G41" s="52"/>
      <c r="H41" s="134"/>
      <c r="I41" s="134"/>
      <c r="J41" s="134"/>
      <c r="K41" s="134"/>
      <c r="L41" s="134"/>
    </row>
    <row r="45" spans="2:12" x14ac:dyDescent="0.3">
      <c r="B45" s="48"/>
    </row>
  </sheetData>
  <hyperlinks>
    <hyperlink ref="L2" location="'Cash Flow (A)'!A1" display="'Cash Flow (A)'!A1" xr:uid="{75E28DF9-B40A-4991-9963-E53422F69B7E}"/>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0B97D-2455-4C2D-B3AA-114233AD2F58}">
  <sheetPr codeName="Sheet18">
    <tabColor theme="5" tint="-0.249977111117893"/>
  </sheetPr>
  <dimension ref="A1"/>
  <sheetViews>
    <sheetView showGridLines="0" workbookViewId="0">
      <selection activeCell="N19" sqref="N19"/>
    </sheetView>
  </sheetViews>
  <sheetFormatPr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E40ECD-1473-450C-B110-9E11B7648C61}">
  <sheetPr codeName="Sheet19"/>
  <dimension ref="A1:L45"/>
  <sheetViews>
    <sheetView showGridLines="0" zoomScale="99" workbookViewId="0">
      <pane xSplit="2" ySplit="4" topLeftCell="C5" activePane="bottomRight" state="frozen"/>
      <selection pane="topRight" activeCell="C1" sqref="C1"/>
      <selection pane="bottomLeft" activeCell="A5" sqref="A5"/>
      <selection pane="bottomRight" activeCell="C17" sqref="C17"/>
    </sheetView>
  </sheetViews>
  <sheetFormatPr defaultColWidth="0" defaultRowHeight="14.4" x14ac:dyDescent="0.3"/>
  <cols>
    <col min="1" max="1" width="1.88671875" customWidth="1"/>
    <col min="2" max="2" width="42.77734375" customWidth="1"/>
    <col min="3" max="3" width="18.77734375" customWidth="1"/>
    <col min="4" max="12" width="14.88671875" hidden="1" customWidth="1"/>
    <col min="13" max="16384" width="8.88671875" hidden="1"/>
  </cols>
  <sheetData>
    <row r="1" spans="2:12" x14ac:dyDescent="0.3">
      <c r="C1" s="210" t="s">
        <v>190</v>
      </c>
    </row>
    <row r="2" spans="2:12" ht="25.8" x14ac:dyDescent="0.5">
      <c r="B2" s="26" t="s">
        <v>134</v>
      </c>
    </row>
    <row r="3" spans="2:12" x14ac:dyDescent="0.3">
      <c r="B3" s="27" t="s">
        <v>53</v>
      </c>
    </row>
    <row r="4" spans="2:12" x14ac:dyDescent="0.3">
      <c r="B4" s="428" t="s">
        <v>135</v>
      </c>
      <c r="C4" s="428"/>
      <c r="D4" s="29"/>
      <c r="E4" s="29"/>
      <c r="F4" s="29"/>
      <c r="G4" s="33"/>
      <c r="H4" s="30"/>
      <c r="I4" s="30"/>
      <c r="J4" s="30"/>
      <c r="K4" s="30"/>
      <c r="L4" s="30"/>
    </row>
    <row r="5" spans="2:12" x14ac:dyDescent="0.3">
      <c r="B5" s="58" t="s">
        <v>136</v>
      </c>
      <c r="C5" s="25">
        <f>'Balance Sheet'!G37</f>
        <v>74532.900000000009</v>
      </c>
    </row>
    <row r="6" spans="2:12" x14ac:dyDescent="0.3">
      <c r="B6" s="58" t="s">
        <v>137</v>
      </c>
      <c r="C6" s="97">
        <f>SUM(Drivers!G29:G30)</f>
        <v>11381.130000000001</v>
      </c>
    </row>
    <row r="7" spans="2:12" x14ac:dyDescent="0.3">
      <c r="B7" s="138"/>
    </row>
    <row r="8" spans="2:12" x14ac:dyDescent="0.3">
      <c r="B8" s="58" t="s">
        <v>138</v>
      </c>
      <c r="C8" s="21">
        <f>'P&amp;L'!G13/WACC!C6</f>
        <v>0.2503108215089363</v>
      </c>
    </row>
    <row r="9" spans="2:12" x14ac:dyDescent="0.3">
      <c r="B9" s="145" t="s">
        <v>139</v>
      </c>
      <c r="C9" s="73">
        <f>Drivers!H25</f>
        <v>0.25</v>
      </c>
    </row>
    <row r="10" spans="2:12" x14ac:dyDescent="0.3">
      <c r="B10" s="145" t="s">
        <v>140</v>
      </c>
      <c r="C10" s="24">
        <f>C6/(C6+C5)</f>
        <v>0.13247114586523295</v>
      </c>
    </row>
    <row r="11" spans="2:12" x14ac:dyDescent="0.3">
      <c r="B11" s="147" t="s">
        <v>141</v>
      </c>
      <c r="C11" s="150">
        <f>C8*(1-C9)</f>
        <v>0.18773311613170224</v>
      </c>
    </row>
    <row r="12" spans="2:12" x14ac:dyDescent="0.3">
      <c r="B12" s="140"/>
    </row>
    <row r="13" spans="2:12" x14ac:dyDescent="0.3">
      <c r="B13" s="146" t="s">
        <v>142</v>
      </c>
      <c r="C13" s="151">
        <v>6.9000000000000006E-2</v>
      </c>
    </row>
    <row r="14" spans="2:12" x14ac:dyDescent="0.3">
      <c r="B14" s="146" t="s">
        <v>143</v>
      </c>
      <c r="C14" s="151">
        <v>8.7999999999999995E-2</v>
      </c>
    </row>
    <row r="15" spans="2:12" x14ac:dyDescent="0.3">
      <c r="B15" s="48" t="s">
        <v>144</v>
      </c>
      <c r="C15" s="73">
        <f>C14-C13</f>
        <v>1.8999999999999989E-2</v>
      </c>
    </row>
    <row r="16" spans="2:12" x14ac:dyDescent="0.3">
      <c r="B16" s="58" t="s">
        <v>145</v>
      </c>
      <c r="C16">
        <v>1.38</v>
      </c>
    </row>
    <row r="17" spans="2:3" x14ac:dyDescent="0.3">
      <c r="B17" s="48" t="s">
        <v>146</v>
      </c>
      <c r="C17" s="152">
        <f>1-C10</f>
        <v>0.86752885413476699</v>
      </c>
    </row>
    <row r="18" spans="2:3" x14ac:dyDescent="0.3">
      <c r="B18" s="148" t="s">
        <v>147</v>
      </c>
      <c r="C18" s="153">
        <f>C13+C16*C15</f>
        <v>9.5219999999999985E-2</v>
      </c>
    </row>
    <row r="19" spans="2:3" x14ac:dyDescent="0.3">
      <c r="B19" s="141"/>
    </row>
    <row r="20" spans="2:3" ht="15" thickBot="1" x14ac:dyDescent="0.35">
      <c r="B20" s="149" t="s">
        <v>148</v>
      </c>
      <c r="C20" s="154">
        <f>(C17*C18)+(C10*C11)</f>
        <v>0.10747531850152994</v>
      </c>
    </row>
    <row r="21" spans="2:3" ht="15" thickTop="1" x14ac:dyDescent="0.3"/>
    <row r="23" spans="2:3" x14ac:dyDescent="0.3">
      <c r="C23" s="21"/>
    </row>
    <row r="45" spans="2:2" x14ac:dyDescent="0.3">
      <c r="B45" s="48"/>
    </row>
  </sheetData>
  <mergeCells count="1">
    <mergeCell ref="B4:C4"/>
  </mergeCells>
  <hyperlinks>
    <hyperlink ref="C1" location="WACC!A1" display="WACC!A1" xr:uid="{408BC101-8A0D-4F5E-918A-DEACA3B9E4EA}"/>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A2507-40E2-4D71-BF6A-F3C5541B88C6}">
  <sheetPr codeName="Sheet20"/>
  <dimension ref="A2:L45"/>
  <sheetViews>
    <sheetView showGridLines="0" zoomScale="99" workbookViewId="0">
      <pane xSplit="2" ySplit="4" topLeftCell="C5" activePane="bottomRight" state="frozen"/>
      <selection pane="topRight" activeCell="C1" sqref="C1"/>
      <selection pane="bottomLeft" activeCell="A5" sqref="A5"/>
      <selection pane="bottomRight" activeCell="C24" sqref="C24"/>
    </sheetView>
  </sheetViews>
  <sheetFormatPr defaultColWidth="0" defaultRowHeight="14.4" x14ac:dyDescent="0.3"/>
  <cols>
    <col min="1" max="1" width="1.88671875" customWidth="1"/>
    <col min="2" max="2" width="42.77734375" customWidth="1"/>
    <col min="3" max="12" width="14.88671875" customWidth="1"/>
    <col min="13" max="16384" width="8.88671875" hidden="1"/>
  </cols>
  <sheetData>
    <row r="2" spans="2:12" ht="25.8" x14ac:dyDescent="0.5">
      <c r="B2" s="26" t="s">
        <v>149</v>
      </c>
      <c r="L2" s="210" t="s">
        <v>190</v>
      </c>
    </row>
    <row r="3" spans="2:12" x14ac:dyDescent="0.3">
      <c r="B3" s="27" t="s">
        <v>53</v>
      </c>
    </row>
    <row r="4" spans="2:12" x14ac:dyDescent="0.3">
      <c r="B4" s="28" t="s">
        <v>150</v>
      </c>
      <c r="C4" s="29" t="str">
        <f>'P&amp;L'!C4</f>
        <v>2022</v>
      </c>
      <c r="D4" s="29" t="str">
        <f>'P&amp;L'!D4</f>
        <v>2023</v>
      </c>
      <c r="E4" s="29" t="str">
        <f>'P&amp;L'!E4</f>
        <v>2024</v>
      </c>
      <c r="F4" s="29" t="str">
        <f>'P&amp;L'!F4</f>
        <v>2025</v>
      </c>
      <c r="G4" s="29" t="str">
        <f>'P&amp;L'!G4</f>
        <v>2026</v>
      </c>
      <c r="H4" s="30" t="str">
        <f>'P&amp;L'!H4</f>
        <v>2027</v>
      </c>
      <c r="I4" s="30" t="str">
        <f>'P&amp;L'!I4</f>
        <v>2028</v>
      </c>
      <c r="J4" s="30" t="str">
        <f>'P&amp;L'!J4</f>
        <v>2029</v>
      </c>
      <c r="K4" s="30" t="str">
        <f>'P&amp;L'!K4</f>
        <v>2030</v>
      </c>
      <c r="L4" s="30" t="str">
        <f>'P&amp;L'!L4</f>
        <v>2031</v>
      </c>
    </row>
    <row r="5" spans="2:12" x14ac:dyDescent="0.3">
      <c r="B5" t="s">
        <v>150</v>
      </c>
      <c r="C5" s="161">
        <f>'Cash Flow'!D13+'Cash Flow'!D16</f>
        <v>16053</v>
      </c>
      <c r="D5" s="161">
        <f>'Cash Flow'!E13+'Cash Flow'!E16</f>
        <v>18633</v>
      </c>
      <c r="E5" s="161">
        <f>'Cash Flow'!F13+'Cash Flow'!F16</f>
        <v>13749</v>
      </c>
      <c r="F5" s="161">
        <f>'Cash Flow'!G13+'Cash Flow'!G16</f>
        <v>4732</v>
      </c>
      <c r="G5" s="277">
        <f>'Cash Flow'!H13+'Cash Flow'!H16</f>
        <v>13302.846282615805</v>
      </c>
      <c r="H5" s="178">
        <f>'Cash Flow'!H13+'Cash Flow'!H16</f>
        <v>13302.846282615805</v>
      </c>
      <c r="I5" s="178">
        <f>'Cash Flow'!I13+'Cash Flow'!I16</f>
        <v>29751.386662348959</v>
      </c>
      <c r="J5" s="178">
        <f>'Cash Flow'!J13+'Cash Flow'!J16</f>
        <v>35915.524291323331</v>
      </c>
      <c r="K5" s="178">
        <f>'Cash Flow'!K13+'Cash Flow'!K16</f>
        <v>38166.297585073735</v>
      </c>
      <c r="L5" s="178">
        <f>'Cash Flow'!L13+'Cash Flow'!L16</f>
        <v>35779.817347976168</v>
      </c>
    </row>
    <row r="6" spans="2:12" x14ac:dyDescent="0.3">
      <c r="B6" s="138"/>
      <c r="C6" s="52"/>
      <c r="D6" s="52"/>
      <c r="E6" s="52"/>
      <c r="F6" s="52"/>
      <c r="G6" s="155"/>
      <c r="H6" s="53"/>
      <c r="I6" s="53"/>
      <c r="J6" s="53"/>
      <c r="K6" s="53"/>
      <c r="L6" s="53"/>
    </row>
    <row r="7" spans="2:12" x14ac:dyDescent="0.3">
      <c r="B7" s="58" t="s">
        <v>151</v>
      </c>
      <c r="C7" s="52"/>
      <c r="D7" s="52"/>
      <c r="E7" s="52"/>
      <c r="F7" s="52"/>
      <c r="G7" s="162">
        <v>0</v>
      </c>
      <c r="H7" s="53">
        <f>G7+1</f>
        <v>1</v>
      </c>
      <c r="I7" s="53">
        <f>H7+1</f>
        <v>2</v>
      </c>
      <c r="J7" s="53">
        <f>I7+1</f>
        <v>3</v>
      </c>
      <c r="K7" s="53">
        <f>J7+1</f>
        <v>4</v>
      </c>
      <c r="L7" s="53">
        <f>K7+1</f>
        <v>5</v>
      </c>
    </row>
    <row r="8" spans="2:12" x14ac:dyDescent="0.3">
      <c r="B8" s="148" t="s">
        <v>152</v>
      </c>
      <c r="C8" s="55"/>
      <c r="D8" s="55"/>
      <c r="E8" s="55"/>
      <c r="F8" s="55"/>
      <c r="G8" s="159"/>
      <c r="H8" s="160">
        <f>H5/(1+$C$15)^H7</f>
        <v>12011.867046044174</v>
      </c>
      <c r="I8" s="160">
        <f>I5/(1+$C$15)^I7</f>
        <v>24257.112360105657</v>
      </c>
      <c r="J8" s="160">
        <f>J5/(1+$C$15)^J7</f>
        <v>26441.131862936782</v>
      </c>
      <c r="K8" s="160">
        <f>K5/(1+$C$15)^K7</f>
        <v>25371.363490522406</v>
      </c>
      <c r="L8" s="160">
        <f>L5/(1+$C$15)^L7</f>
        <v>21476.714219587306</v>
      </c>
    </row>
    <row r="9" spans="2:12" x14ac:dyDescent="0.3">
      <c r="B9" s="139"/>
      <c r="C9" s="52"/>
      <c r="D9" s="52"/>
      <c r="E9" s="52"/>
      <c r="F9" s="52"/>
      <c r="G9" s="155"/>
      <c r="H9" s="53"/>
      <c r="I9" s="53"/>
      <c r="J9" s="53"/>
      <c r="K9" s="53"/>
      <c r="L9" s="53"/>
    </row>
    <row r="10" spans="2:12" x14ac:dyDescent="0.3">
      <c r="B10" s="139"/>
      <c r="C10" s="52"/>
      <c r="D10" s="52"/>
      <c r="E10" s="52"/>
      <c r="F10" s="52"/>
      <c r="G10" s="155"/>
      <c r="H10" s="53"/>
      <c r="I10" s="53"/>
      <c r="J10" s="53"/>
      <c r="K10" s="53"/>
      <c r="L10" s="53"/>
    </row>
    <row r="11" spans="2:12" x14ac:dyDescent="0.3">
      <c r="B11" s="139"/>
    </row>
    <row r="12" spans="2:12" x14ac:dyDescent="0.3">
      <c r="B12" s="428" t="s">
        <v>153</v>
      </c>
      <c r="C12" s="428"/>
      <c r="F12" s="428" t="s">
        <v>165</v>
      </c>
      <c r="G12" s="428"/>
      <c r="H12" s="428"/>
      <c r="I12" s="428"/>
      <c r="J12" s="428"/>
      <c r="K12" s="428"/>
      <c r="L12" s="428"/>
    </row>
    <row r="13" spans="2:12" x14ac:dyDescent="0.3">
      <c r="B13" s="146" t="s">
        <v>154</v>
      </c>
      <c r="C13" s="164">
        <f>SUM(H8:L8)</f>
        <v>109558.18897919632</v>
      </c>
    </row>
    <row r="14" spans="2:12" x14ac:dyDescent="0.3">
      <c r="B14" s="146" t="s">
        <v>155</v>
      </c>
      <c r="C14" s="163">
        <v>3.4000000000000002E-2</v>
      </c>
      <c r="H14" s="428" t="s">
        <v>155</v>
      </c>
      <c r="I14" s="428"/>
      <c r="J14" s="428"/>
      <c r="K14" s="428"/>
      <c r="L14" s="428"/>
    </row>
    <row r="15" spans="2:12" x14ac:dyDescent="0.3">
      <c r="B15" s="48" t="s">
        <v>148</v>
      </c>
      <c r="C15" s="73">
        <f>WACC!C20</f>
        <v>0.10747531850152994</v>
      </c>
      <c r="G15" s="172">
        <f>C24</f>
        <v>2964.8101079275361</v>
      </c>
      <c r="H15" s="169">
        <f>I15-0.5%</f>
        <v>2.4E-2</v>
      </c>
      <c r="I15" s="169">
        <f>J15-0.5%</f>
        <v>2.9000000000000001E-2</v>
      </c>
      <c r="J15" s="169">
        <v>3.4000000000000002E-2</v>
      </c>
      <c r="K15" s="169">
        <f>J15+0.5%</f>
        <v>3.9E-2</v>
      </c>
      <c r="L15" s="169">
        <f>K15+0.5%</f>
        <v>4.3999999999999997E-2</v>
      </c>
    </row>
    <row r="16" spans="2:12" ht="14.4" customHeight="1" x14ac:dyDescent="0.3">
      <c r="B16" t="s">
        <v>156</v>
      </c>
      <c r="C16" s="22">
        <f>L5*(1+C14)/(C15-C14)</f>
        <v>503520.52760461322</v>
      </c>
      <c r="F16" s="429" t="s">
        <v>148</v>
      </c>
      <c r="G16" s="169">
        <f>G17-0.5%</f>
        <v>9.7475299999999987E-2</v>
      </c>
      <c r="H16" s="25">
        <f t="dataTable" ref="H16:L20" dt2D="1" dtr="1" r1="C14" r2="C15"/>
        <v>3067.8708408306907</v>
      </c>
      <c r="I16" s="25">
        <v>3246.0001399979747</v>
      </c>
      <c r="J16" s="25">
        <v>3452.1922130579837</v>
      </c>
      <c r="K16" s="25">
        <v>3693.6456824785082</v>
      </c>
      <c r="L16" s="25">
        <v>3980.251487541942</v>
      </c>
    </row>
    <row r="17" spans="2:12" x14ac:dyDescent="0.3">
      <c r="B17" s="48" t="s">
        <v>157</v>
      </c>
      <c r="C17" s="22">
        <f>C16/(1+C15)^L7</f>
        <v>302236.49187163264</v>
      </c>
      <c r="F17" s="429"/>
      <c r="G17" s="169">
        <f>G18-0.5%</f>
        <v>0.10247529999999999</v>
      </c>
      <c r="H17" s="25">
        <v>2863.1426754561485</v>
      </c>
      <c r="I17" s="170">
        <v>3015.772661326348</v>
      </c>
      <c r="J17" s="170">
        <v>3190.6924342979109</v>
      </c>
      <c r="K17" s="170">
        <v>3393.1693472863894</v>
      </c>
      <c r="L17" s="25">
        <v>3630.2723182837135</v>
      </c>
    </row>
    <row r="18" spans="2:12" x14ac:dyDescent="0.3">
      <c r="B18" s="58" t="s">
        <v>158</v>
      </c>
      <c r="C18" s="165">
        <f>C13+C17</f>
        <v>411794.68085082894</v>
      </c>
      <c r="F18" s="429"/>
      <c r="G18" s="169">
        <v>0.1074753</v>
      </c>
      <c r="H18" s="25">
        <v>2682.9828904819319</v>
      </c>
      <c r="I18" s="170">
        <v>2814.9186497581991</v>
      </c>
      <c r="J18" s="171">
        <v>2964.8108868271765</v>
      </c>
      <c r="K18" s="170">
        <v>3136.5930954726164</v>
      </c>
      <c r="L18" s="25">
        <v>3335.4381472468708</v>
      </c>
    </row>
    <row r="19" spans="2:12" x14ac:dyDescent="0.3">
      <c r="B19" s="156" t="s">
        <v>159</v>
      </c>
      <c r="C19" s="165">
        <f>'Balance Sheet'!G8</f>
        <v>7544.32</v>
      </c>
      <c r="F19" s="429"/>
      <c r="G19" s="169">
        <f>G18+0.5%</f>
        <v>0.1124753</v>
      </c>
      <c r="H19" s="25">
        <v>2523.2262624833652</v>
      </c>
      <c r="I19" s="170">
        <v>2638.160163703169</v>
      </c>
      <c r="J19" s="170">
        <v>2767.7399345430708</v>
      </c>
      <c r="K19" s="170">
        <v>2914.9555327752937</v>
      </c>
      <c r="L19" s="25">
        <v>3083.6702114397635</v>
      </c>
    </row>
    <row r="20" spans="2:12" x14ac:dyDescent="0.3">
      <c r="B20" s="45" t="s">
        <v>160</v>
      </c>
      <c r="C20" s="165">
        <f>WACC!C6</f>
        <v>11381.130000000001</v>
      </c>
      <c r="F20" s="429"/>
      <c r="G20" s="169">
        <f>G19+0.5%</f>
        <v>0.1174753</v>
      </c>
      <c r="H20" s="25">
        <v>2380.5987411737847</v>
      </c>
      <c r="I20" s="25">
        <v>2481.4123236557239</v>
      </c>
      <c r="J20" s="25">
        <v>2594.3029615638716</v>
      </c>
      <c r="K20" s="25">
        <v>2721.5790988467461</v>
      </c>
      <c r="L20" s="25">
        <v>2866.1775386289473</v>
      </c>
    </row>
    <row r="21" spans="2:12" x14ac:dyDescent="0.3">
      <c r="B21" s="45" t="s">
        <v>161</v>
      </c>
      <c r="C21">
        <f>'Balance Sheet'!G36</f>
        <v>0</v>
      </c>
    </row>
    <row r="22" spans="2:12" x14ac:dyDescent="0.3">
      <c r="B22" s="157" t="s">
        <v>162</v>
      </c>
      <c r="C22" s="166">
        <f>C18+C19-C20-C21</f>
        <v>407957.87085082894</v>
      </c>
    </row>
    <row r="23" spans="2:12" x14ac:dyDescent="0.3">
      <c r="B23" s="45" t="s">
        <v>163</v>
      </c>
      <c r="C23" s="25">
        <v>137.6</v>
      </c>
    </row>
    <row r="24" spans="2:12" ht="15" thickBot="1" x14ac:dyDescent="0.35">
      <c r="B24" s="158" t="s">
        <v>164</v>
      </c>
      <c r="C24" s="412">
        <f>C22/C23</f>
        <v>2964.8101079275361</v>
      </c>
    </row>
    <row r="26" spans="2:12" x14ac:dyDescent="0.3">
      <c r="B26" s="51"/>
    </row>
    <row r="27" spans="2:12" x14ac:dyDescent="0.3">
      <c r="B27" s="167" t="s">
        <v>166</v>
      </c>
      <c r="C27" s="168"/>
    </row>
    <row r="28" spans="2:12" x14ac:dyDescent="0.3">
      <c r="B28" s="142"/>
    </row>
    <row r="29" spans="2:12" x14ac:dyDescent="0.3">
      <c r="B29" s="143"/>
    </row>
    <row r="30" spans="2:12" x14ac:dyDescent="0.3">
      <c r="B30" s="143"/>
    </row>
    <row r="31" spans="2:12" x14ac:dyDescent="0.3">
      <c r="B31" s="143"/>
    </row>
    <row r="32" spans="2:12" x14ac:dyDescent="0.3">
      <c r="B32" s="143"/>
    </row>
    <row r="33" spans="2:2" x14ac:dyDescent="0.3">
      <c r="B33" s="143"/>
    </row>
    <row r="34" spans="2:2" x14ac:dyDescent="0.3">
      <c r="B34" s="143"/>
    </row>
    <row r="35" spans="2:2" x14ac:dyDescent="0.3">
      <c r="B35" s="143"/>
    </row>
    <row r="36" spans="2:2" x14ac:dyDescent="0.3">
      <c r="B36" s="51"/>
    </row>
    <row r="38" spans="2:2" x14ac:dyDescent="0.3">
      <c r="B38" s="39"/>
    </row>
    <row r="39" spans="2:2" x14ac:dyDescent="0.3">
      <c r="B39" s="39"/>
    </row>
    <row r="40" spans="2:2" x14ac:dyDescent="0.3">
      <c r="B40" s="39"/>
    </row>
    <row r="41" spans="2:2" x14ac:dyDescent="0.3">
      <c r="B41" s="48"/>
    </row>
    <row r="45" spans="2:2" x14ac:dyDescent="0.3">
      <c r="B45" s="48"/>
    </row>
  </sheetData>
  <mergeCells count="4">
    <mergeCell ref="F12:L12"/>
    <mergeCell ref="H14:L14"/>
    <mergeCell ref="F16:F20"/>
    <mergeCell ref="B12:C12"/>
  </mergeCells>
  <hyperlinks>
    <hyperlink ref="L2" location="DCF!A1" display="DCF!A1" xr:uid="{6D44D0EC-D2E7-44E2-9CA7-374401383C7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110E7-84F8-4334-A1E7-02E607D141C5}">
  <sheetPr codeName="Sheet21">
    <tabColor rgb="FF009900"/>
  </sheetPr>
  <dimension ref="A1"/>
  <sheetViews>
    <sheetView showGridLines="0" topLeftCell="A28" workbookViewId="0"/>
  </sheetViews>
  <sheetFormatPr defaultRowHeight="14.4" x14ac:dyDescent="0.3"/>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CEDB4-6623-444A-BC76-73DCD1CF7BBA}">
  <sheetPr codeName="Sheet22"/>
  <dimension ref="A2:T43"/>
  <sheetViews>
    <sheetView showGridLines="0" workbookViewId="0">
      <pane xSplit="2" ySplit="4" topLeftCell="C5" activePane="bottomRight" state="frozen"/>
      <selection pane="topRight" activeCell="C1" sqref="C1"/>
      <selection pane="bottomLeft" activeCell="A5" sqref="A5"/>
      <selection pane="bottomRight" activeCell="H2" sqref="H2"/>
    </sheetView>
  </sheetViews>
  <sheetFormatPr defaultColWidth="0" defaultRowHeight="14.4" x14ac:dyDescent="0.3"/>
  <cols>
    <col min="1" max="1" width="1.88671875" customWidth="1"/>
    <col min="2" max="2" width="28.5546875" customWidth="1"/>
    <col min="3" max="12" width="12.88671875" customWidth="1"/>
    <col min="13" max="16384" width="8.88671875" hidden="1"/>
  </cols>
  <sheetData>
    <row r="2" spans="2:12" ht="25.8" x14ac:dyDescent="0.5">
      <c r="B2" s="26" t="s">
        <v>67</v>
      </c>
      <c r="L2" s="210" t="s">
        <v>190</v>
      </c>
    </row>
    <row r="3" spans="2:12" x14ac:dyDescent="0.3">
      <c r="B3" s="27" t="s">
        <v>53</v>
      </c>
    </row>
    <row r="4" spans="2:12" x14ac:dyDescent="0.3">
      <c r="B4" s="28" t="s">
        <v>54</v>
      </c>
      <c r="C4" s="29" t="str">
        <f>'P&amp;L'!C4</f>
        <v>2022</v>
      </c>
      <c r="D4" s="29" t="str">
        <f>'P&amp;L'!D4</f>
        <v>2023</v>
      </c>
      <c r="E4" s="29" t="str">
        <f>'P&amp;L'!E4</f>
        <v>2024</v>
      </c>
      <c r="F4" s="29" t="str">
        <f>'P&amp;L'!F4</f>
        <v>2025</v>
      </c>
      <c r="G4" s="29" t="str">
        <f>'P&amp;L'!G4</f>
        <v>2026</v>
      </c>
      <c r="H4" s="30" t="str">
        <f>'P&amp;L'!H4</f>
        <v>2027</v>
      </c>
      <c r="I4" s="30" t="str">
        <f>'P&amp;L'!I4</f>
        <v>2028</v>
      </c>
      <c r="J4" s="30" t="str">
        <f>'P&amp;L'!J4</f>
        <v>2029</v>
      </c>
      <c r="K4" s="30" t="str">
        <f>'P&amp;L'!K4</f>
        <v>2030</v>
      </c>
      <c r="L4" s="30" t="str">
        <f>'P&amp;L'!L4</f>
        <v>2031</v>
      </c>
    </row>
    <row r="5" spans="2:12" x14ac:dyDescent="0.3">
      <c r="B5" t="s">
        <v>101</v>
      </c>
      <c r="C5" s="83" t="s">
        <v>88</v>
      </c>
      <c r="D5" s="84">
        <f>C8</f>
        <v>8328.9599999999991</v>
      </c>
      <c r="E5" s="84">
        <f t="shared" ref="E5:L5" si="0">D8</f>
        <v>8993.2900000000009</v>
      </c>
      <c r="F5" s="84">
        <f t="shared" si="0"/>
        <v>9678.7800000000007</v>
      </c>
      <c r="G5" s="107">
        <f t="shared" si="0"/>
        <v>9717.01</v>
      </c>
      <c r="H5" s="106">
        <f t="shared" si="0"/>
        <v>12154.2</v>
      </c>
      <c r="I5" s="106">
        <f t="shared" si="0"/>
        <v>13402.286195753275</v>
      </c>
      <c r="J5" s="106">
        <f t="shared" si="0"/>
        <v>14855.351258772871</v>
      </c>
      <c r="K5" s="106">
        <f t="shared" si="0"/>
        <v>16585.530195242285</v>
      </c>
      <c r="L5" s="106">
        <f t="shared" si="0"/>
        <v>18983.765118092069</v>
      </c>
    </row>
    <row r="6" spans="2:12" x14ac:dyDescent="0.3">
      <c r="B6" t="s">
        <v>102</v>
      </c>
      <c r="C6" s="83" t="s">
        <v>88</v>
      </c>
      <c r="D6" s="86">
        <f>D8-D5+D7</f>
        <v>3174.4800000000018</v>
      </c>
      <c r="E6" s="86">
        <f>E8-E5+E7</f>
        <v>3483.87</v>
      </c>
      <c r="F6" s="86">
        <f>F8-F5+F7</f>
        <v>2647.84</v>
      </c>
      <c r="G6" s="108">
        <f>G8-G5+G7</f>
        <v>5095.2900000000009</v>
      </c>
      <c r="H6" s="77">
        <f>H11*H5</f>
        <v>4759.7757442209204</v>
      </c>
      <c r="I6" s="77">
        <f>I11*I5</f>
        <v>5283.6535236505988</v>
      </c>
      <c r="J6" s="77">
        <f>J11*J5</f>
        <v>5881.9418634745971</v>
      </c>
      <c r="K6" s="77">
        <f>K11*K5</f>
        <v>7074.4199539131478</v>
      </c>
      <c r="L6" s="77">
        <f>L11*L5</f>
        <v>7633.0887144480985</v>
      </c>
    </row>
    <row r="7" spans="2:12" x14ac:dyDescent="0.3">
      <c r="B7" t="s">
        <v>3</v>
      </c>
      <c r="C7" s="83" t="s">
        <v>88</v>
      </c>
      <c r="D7" s="34">
        <f>D14</f>
        <v>2510.15</v>
      </c>
      <c r="E7" s="34">
        <f>E14</f>
        <v>2798.38</v>
      </c>
      <c r="F7" s="34">
        <f>F14</f>
        <v>2609.6100000000006</v>
      </c>
      <c r="G7" s="35">
        <f>G14</f>
        <v>2658.1</v>
      </c>
      <c r="H7" s="77">
        <f>H10*H5</f>
        <v>3511.6895484676484</v>
      </c>
      <c r="I7" s="77">
        <f>I10*I5</f>
        <v>3830.5884606310046</v>
      </c>
      <c r="J7" s="77">
        <f>J10*J5</f>
        <v>4151.762927005183</v>
      </c>
      <c r="K7" s="77">
        <f>K10*K5</f>
        <v>4676.1850310633645</v>
      </c>
      <c r="L7" s="77">
        <f>L10*L5</f>
        <v>5392.182137214103</v>
      </c>
    </row>
    <row r="8" spans="2:12" x14ac:dyDescent="0.3">
      <c r="B8" s="81" t="s">
        <v>103</v>
      </c>
      <c r="C8" s="82">
        <f>'Balance Sheet'!C13</f>
        <v>8328.9599999999991</v>
      </c>
      <c r="D8" s="82">
        <f>'Balance Sheet'!D13</f>
        <v>8993.2900000000009</v>
      </c>
      <c r="E8" s="82">
        <f>'Balance Sheet'!E13</f>
        <v>9678.7800000000007</v>
      </c>
      <c r="F8" s="82">
        <f>'Balance Sheet'!F13</f>
        <v>9717.01</v>
      </c>
      <c r="G8" s="82">
        <f>'Balance Sheet'!G13</f>
        <v>12154.2</v>
      </c>
      <c r="H8" s="80">
        <f>H5+H6-H7</f>
        <v>13402.286195753275</v>
      </c>
      <c r="I8" s="80">
        <f>I5+I6-I7</f>
        <v>14855.351258772871</v>
      </c>
      <c r="J8" s="80">
        <f>J5+J6-J7</f>
        <v>16585.530195242285</v>
      </c>
      <c r="K8" s="80">
        <f>K5+K6-K7</f>
        <v>18983.765118092069</v>
      </c>
      <c r="L8" s="80">
        <f>L5+L6-L7</f>
        <v>21224.671695326066</v>
      </c>
    </row>
    <row r="9" spans="2:12" x14ac:dyDescent="0.3">
      <c r="B9" s="1"/>
      <c r="C9" s="34"/>
      <c r="D9" s="34"/>
      <c r="E9" s="34"/>
      <c r="F9" s="34"/>
      <c r="G9" s="35"/>
      <c r="H9" s="77"/>
      <c r="I9" s="77"/>
      <c r="J9" s="77"/>
      <c r="K9" s="77"/>
      <c r="L9" s="77"/>
    </row>
    <row r="10" spans="2:12" x14ac:dyDescent="0.3">
      <c r="B10" s="62" t="s">
        <v>106</v>
      </c>
      <c r="C10" s="113" t="s">
        <v>88</v>
      </c>
      <c r="D10" s="64">
        <f>D7/D5</f>
        <v>0.3013761622099278</v>
      </c>
      <c r="E10" s="64">
        <f>E7/E5</f>
        <v>0.31116310048936485</v>
      </c>
      <c r="F10" s="64">
        <f>F7/F5</f>
        <v>0.2696217911761607</v>
      </c>
      <c r="G10" s="114">
        <f>G7/G5</f>
        <v>0.27355122614878441</v>
      </c>
      <c r="H10" s="115">
        <f t="shared" ref="H10:L11" si="1">AVERAGE(D10:G10)</f>
        <v>0.28892807000605947</v>
      </c>
      <c r="I10" s="115">
        <f t="shared" si="1"/>
        <v>0.28581604695509238</v>
      </c>
      <c r="J10" s="115">
        <f t="shared" si="1"/>
        <v>0.27947928357152424</v>
      </c>
      <c r="K10" s="115">
        <f t="shared" si="1"/>
        <v>0.28194365667036514</v>
      </c>
      <c r="L10" s="115">
        <f t="shared" si="1"/>
        <v>0.28404176430076034</v>
      </c>
    </row>
    <row r="11" spans="2:12" x14ac:dyDescent="0.3">
      <c r="B11" s="62" t="s">
        <v>107</v>
      </c>
      <c r="C11" s="113" t="s">
        <v>88</v>
      </c>
      <c r="D11" s="64">
        <f>D6/D5</f>
        <v>0.3811376210235134</v>
      </c>
      <c r="E11" s="64">
        <f>E6/E5</f>
        <v>0.38738548406645396</v>
      </c>
      <c r="F11" s="64">
        <f>F6/F5</f>
        <v>0.27357166915664993</v>
      </c>
      <c r="G11" s="114">
        <f>G6/G5</f>
        <v>0.52436809265401607</v>
      </c>
      <c r="H11" s="115">
        <f t="shared" si="1"/>
        <v>0.39161571672515838</v>
      </c>
      <c r="I11" s="115">
        <f t="shared" si="1"/>
        <v>0.39423524065056958</v>
      </c>
      <c r="J11" s="115">
        <f t="shared" si="1"/>
        <v>0.39594767979659851</v>
      </c>
      <c r="K11" s="115">
        <f t="shared" si="1"/>
        <v>0.42654168245658564</v>
      </c>
      <c r="L11" s="115">
        <f t="shared" si="1"/>
        <v>0.40208507990722808</v>
      </c>
    </row>
    <row r="12" spans="2:12" x14ac:dyDescent="0.3">
      <c r="C12" s="34"/>
      <c r="D12" s="34"/>
      <c r="E12" s="34"/>
      <c r="F12" s="34"/>
      <c r="G12" s="35"/>
      <c r="H12" s="77"/>
      <c r="I12" s="77"/>
      <c r="J12" s="77"/>
      <c r="K12" s="77"/>
      <c r="L12" s="77"/>
    </row>
    <row r="13" spans="2:12" x14ac:dyDescent="0.3">
      <c r="B13" s="39" t="s">
        <v>59</v>
      </c>
      <c r="C13" s="40"/>
      <c r="D13" s="40"/>
      <c r="E13" s="40"/>
      <c r="F13" s="40"/>
      <c r="G13" s="78"/>
      <c r="H13" s="76"/>
      <c r="I13" s="76"/>
      <c r="J13" s="76"/>
      <c r="K13" s="76"/>
      <c r="L13" s="76"/>
    </row>
    <row r="14" spans="2:12" x14ac:dyDescent="0.3">
      <c r="B14" t="s">
        <v>3</v>
      </c>
      <c r="C14" s="34">
        <f>C16-C15</f>
        <v>2039.3599999999997</v>
      </c>
      <c r="D14" s="34">
        <f>D16-D15</f>
        <v>2510.15</v>
      </c>
      <c r="E14" s="34">
        <f>E16-E15</f>
        <v>2798.38</v>
      </c>
      <c r="F14" s="34">
        <f>F16-F15</f>
        <v>2609.6100000000006</v>
      </c>
      <c r="G14" s="35">
        <f>G16-G15</f>
        <v>2658.1</v>
      </c>
      <c r="H14" s="77">
        <f>H7</f>
        <v>3511.6895484676484</v>
      </c>
      <c r="I14" s="77">
        <f>I7</f>
        <v>3830.5884606310046</v>
      </c>
      <c r="J14" s="77">
        <f>J7</f>
        <v>4151.762927005183</v>
      </c>
      <c r="K14" s="77">
        <f>K7</f>
        <v>4676.1850310633645</v>
      </c>
      <c r="L14" s="77">
        <f>L7</f>
        <v>5392.182137214103</v>
      </c>
    </row>
    <row r="15" spans="2:12" x14ac:dyDescent="0.3">
      <c r="B15" t="s">
        <v>104</v>
      </c>
      <c r="C15" s="87">
        <v>908.59</v>
      </c>
      <c r="D15" s="87">
        <v>992.1</v>
      </c>
      <c r="E15" s="87">
        <v>883.95</v>
      </c>
      <c r="F15" s="87">
        <v>1511.57</v>
      </c>
      <c r="G15" s="109">
        <v>1706.65</v>
      </c>
      <c r="H15" s="77">
        <f>H18*H14/H19</f>
        <v>1636.3978513110424</v>
      </c>
      <c r="I15" s="77">
        <f>I18*I14/I19</f>
        <v>1800.9411224467715</v>
      </c>
      <c r="J15" s="77">
        <f>J18*J14/J19</f>
        <v>2018.1950997524179</v>
      </c>
      <c r="K15" s="77">
        <f>K18*K14/K19</f>
        <v>2457.6918845337696</v>
      </c>
      <c r="L15" s="77">
        <f>L18*L14/L19</f>
        <v>2778.481796239314</v>
      </c>
    </row>
    <row r="16" spans="2:12" x14ac:dyDescent="0.3">
      <c r="B16" s="85" t="s">
        <v>105</v>
      </c>
      <c r="C16" s="273">
        <f>'P&amp;L'!C11</f>
        <v>2947.95</v>
      </c>
      <c r="D16" s="273">
        <f>'P&amp;L'!D11</f>
        <v>3502.25</v>
      </c>
      <c r="E16" s="273">
        <f>'P&amp;L'!E11</f>
        <v>3682.33</v>
      </c>
      <c r="F16" s="273">
        <f>'P&amp;L'!F11</f>
        <v>4121.18</v>
      </c>
      <c r="G16" s="273">
        <f>'P&amp;L'!G11</f>
        <v>4364.75</v>
      </c>
      <c r="H16" s="79">
        <f>H14+H15</f>
        <v>5148.0873997786912</v>
      </c>
      <c r="I16" s="79">
        <f>I14+I15</f>
        <v>5631.5295830777759</v>
      </c>
      <c r="J16" s="79">
        <f>J14+J15</f>
        <v>6169.9580267576011</v>
      </c>
      <c r="K16" s="79">
        <f>K14+K15</f>
        <v>7133.876915597134</v>
      </c>
      <c r="L16" s="79">
        <f>L14+L15</f>
        <v>8170.6639334534175</v>
      </c>
    </row>
    <row r="17" spans="2:12" x14ac:dyDescent="0.3">
      <c r="B17" s="39"/>
      <c r="C17" s="40"/>
      <c r="D17" s="40"/>
      <c r="E17" s="40"/>
      <c r="F17" s="40"/>
      <c r="G17" s="78"/>
      <c r="H17" s="41"/>
      <c r="I17" s="41"/>
      <c r="J17" s="41"/>
      <c r="K17" s="41"/>
      <c r="L17" s="41"/>
    </row>
    <row r="18" spans="2:12" x14ac:dyDescent="0.3">
      <c r="B18" s="27" t="s">
        <v>108</v>
      </c>
      <c r="C18" s="64">
        <f>C15/C16</f>
        <v>0.30821079054936484</v>
      </c>
      <c r="D18" s="64">
        <f>D15/D16</f>
        <v>0.28327503747590838</v>
      </c>
      <c r="E18" s="64">
        <f>E15/E16</f>
        <v>0.24005181501929487</v>
      </c>
      <c r="F18" s="64">
        <f>F15/F16</f>
        <v>0.3667808734391606</v>
      </c>
      <c r="G18" s="114">
        <f>G15/G16</f>
        <v>0.39100750329343037</v>
      </c>
      <c r="H18" s="116">
        <f>AVERAGE(C18:G18)</f>
        <v>0.31786520395543183</v>
      </c>
      <c r="I18" s="116">
        <f>AVERAGE(D18:H18)</f>
        <v>0.31979608663664527</v>
      </c>
      <c r="J18" s="116">
        <f>AVERAGE(E18:I18)</f>
        <v>0.32710029646879263</v>
      </c>
      <c r="K18" s="116">
        <f>AVERAGE(F18:J18)</f>
        <v>0.34450999275869215</v>
      </c>
      <c r="L18" s="116">
        <f>AVERAGE(G18:K18)</f>
        <v>0.34005581662259843</v>
      </c>
    </row>
    <row r="19" spans="2:12" x14ac:dyDescent="0.3">
      <c r="B19" s="27"/>
      <c r="C19" s="63"/>
      <c r="D19" s="63"/>
      <c r="E19" s="63"/>
      <c r="F19" s="63"/>
      <c r="G19" s="117"/>
      <c r="H19" s="116">
        <f>1-H18</f>
        <v>0.68213479604456817</v>
      </c>
      <c r="I19" s="116">
        <f>1-I18</f>
        <v>0.68020391336335473</v>
      </c>
      <c r="J19" s="116">
        <f>1-J18</f>
        <v>0.67289970353120743</v>
      </c>
      <c r="K19" s="116">
        <f>1-K18</f>
        <v>0.6554900072413079</v>
      </c>
      <c r="L19" s="116">
        <f>1-L18</f>
        <v>0.65994418337740157</v>
      </c>
    </row>
    <row r="20" spans="2:12" ht="25.8" x14ac:dyDescent="0.5">
      <c r="B20" s="89" t="s">
        <v>14</v>
      </c>
      <c r="C20" s="89"/>
      <c r="D20" s="89"/>
      <c r="E20" s="90"/>
      <c r="F20" s="90"/>
      <c r="G20" s="90"/>
      <c r="H20" s="90"/>
      <c r="I20" s="90"/>
      <c r="J20" s="90"/>
      <c r="K20" s="90"/>
      <c r="L20" s="90"/>
    </row>
    <row r="21" spans="2:12" x14ac:dyDescent="0.3">
      <c r="B21" s="91" t="s">
        <v>53</v>
      </c>
      <c r="C21" s="90"/>
      <c r="D21" s="90"/>
      <c r="E21" s="90"/>
      <c r="F21" s="90"/>
      <c r="G21" s="90"/>
      <c r="H21" s="90"/>
      <c r="I21" s="90"/>
      <c r="J21" s="90"/>
      <c r="K21" s="90"/>
      <c r="L21" s="90"/>
    </row>
    <row r="22" spans="2:12" x14ac:dyDescent="0.3">
      <c r="B22" s="92" t="s">
        <v>54</v>
      </c>
      <c r="C22" s="93">
        <v>2020</v>
      </c>
      <c r="D22" s="93">
        <v>2021</v>
      </c>
      <c r="E22" s="93">
        <v>2022</v>
      </c>
      <c r="F22" s="93">
        <v>2023</v>
      </c>
      <c r="G22" s="94">
        <v>2024</v>
      </c>
      <c r="H22" s="95">
        <v>2025</v>
      </c>
      <c r="I22" s="95">
        <v>2026</v>
      </c>
      <c r="J22" s="95">
        <v>2027</v>
      </c>
      <c r="K22" s="95">
        <v>2028</v>
      </c>
      <c r="L22" s="95">
        <v>2029</v>
      </c>
    </row>
    <row r="23" spans="2:12" x14ac:dyDescent="0.3">
      <c r="B23" s="90" t="s">
        <v>109</v>
      </c>
      <c r="C23" s="96" t="s">
        <v>88</v>
      </c>
      <c r="D23" s="98">
        <f>C26</f>
        <v>571.5</v>
      </c>
      <c r="E23" s="98">
        <f t="shared" ref="E23:L23" si="2">D26</f>
        <v>1938.38</v>
      </c>
      <c r="F23" s="98">
        <f t="shared" si="2"/>
        <v>1397.04</v>
      </c>
      <c r="G23" s="110">
        <f t="shared" si="2"/>
        <v>1117.33</v>
      </c>
      <c r="H23" s="104">
        <f t="shared" si="2"/>
        <v>1439.81</v>
      </c>
      <c r="I23" s="104">
        <f t="shared" si="2"/>
        <v>2323.8955104967081</v>
      </c>
      <c r="J23" s="104">
        <f t="shared" si="2"/>
        <v>3210.0365327764248</v>
      </c>
      <c r="K23" s="104">
        <f t="shared" si="2"/>
        <v>5689.6379278889826</v>
      </c>
      <c r="L23" s="104">
        <f t="shared" si="2"/>
        <v>11942.880581003681</v>
      </c>
    </row>
    <row r="24" spans="2:12" x14ac:dyDescent="0.3">
      <c r="B24" s="90" t="s">
        <v>110</v>
      </c>
      <c r="C24" s="96" t="s">
        <v>88</v>
      </c>
      <c r="D24" s="99">
        <f>D26-D23+D25</f>
        <v>2358.98</v>
      </c>
      <c r="E24" s="99">
        <f>E26-E23+E25</f>
        <v>342.6099999999999</v>
      </c>
      <c r="F24" s="99">
        <f>F26-F23+F25</f>
        <v>1231.8599999999999</v>
      </c>
      <c r="G24" s="111">
        <f>G26-G23+G25</f>
        <v>2029.13</v>
      </c>
      <c r="H24" s="105">
        <f>H23*H28</f>
        <v>2520.4833618077505</v>
      </c>
      <c r="I24" s="105">
        <f>I23*I28</f>
        <v>2687.0821447264884</v>
      </c>
      <c r="J24" s="105">
        <f>J23*J28</f>
        <v>4497.796494864976</v>
      </c>
      <c r="K24" s="105">
        <f>K23*K28</f>
        <v>8710.9345376484689</v>
      </c>
      <c r="L24" s="105">
        <f>L23*L28</f>
        <v>17433.722434488674</v>
      </c>
    </row>
    <row r="25" spans="2:12" x14ac:dyDescent="0.3">
      <c r="B25" s="90" t="s">
        <v>104</v>
      </c>
      <c r="C25" s="96" t="s">
        <v>88</v>
      </c>
      <c r="D25" s="100">
        <f>D15</f>
        <v>992.1</v>
      </c>
      <c r="E25" s="100">
        <f t="shared" ref="E25:L25" si="3">E15</f>
        <v>883.95</v>
      </c>
      <c r="F25" s="100">
        <f t="shared" si="3"/>
        <v>1511.57</v>
      </c>
      <c r="G25" s="112">
        <f t="shared" si="3"/>
        <v>1706.65</v>
      </c>
      <c r="H25" s="105">
        <f t="shared" si="3"/>
        <v>1636.3978513110424</v>
      </c>
      <c r="I25" s="105">
        <f t="shared" si="3"/>
        <v>1800.9411224467715</v>
      </c>
      <c r="J25" s="105">
        <f t="shared" si="3"/>
        <v>2018.1950997524179</v>
      </c>
      <c r="K25" s="105">
        <f t="shared" si="3"/>
        <v>2457.6918845337696</v>
      </c>
      <c r="L25" s="105">
        <f t="shared" si="3"/>
        <v>2778.481796239314</v>
      </c>
    </row>
    <row r="26" spans="2:12" x14ac:dyDescent="0.3">
      <c r="B26" s="101" t="s">
        <v>111</v>
      </c>
      <c r="C26" s="102">
        <f>'Balance Sheet'!C15</f>
        <v>571.5</v>
      </c>
      <c r="D26" s="102">
        <f>'Balance Sheet'!D15</f>
        <v>1938.38</v>
      </c>
      <c r="E26" s="102">
        <f>'Balance Sheet'!E15</f>
        <v>1397.04</v>
      </c>
      <c r="F26" s="102">
        <f>'Balance Sheet'!F15</f>
        <v>1117.33</v>
      </c>
      <c r="G26" s="102">
        <f>'Balance Sheet'!G15</f>
        <v>1439.81</v>
      </c>
      <c r="H26" s="103">
        <f>H23+H24-H25</f>
        <v>2323.8955104967081</v>
      </c>
      <c r="I26" s="103">
        <f>I23+I24-I25</f>
        <v>3210.0365327764248</v>
      </c>
      <c r="J26" s="103">
        <f>J23+J24-J25</f>
        <v>5689.6379278889826</v>
      </c>
      <c r="K26" s="103">
        <f>K23+K24-K25</f>
        <v>11942.880581003681</v>
      </c>
      <c r="L26" s="103">
        <f>L23+L24-L25</f>
        <v>26598.121219253044</v>
      </c>
    </row>
    <row r="27" spans="2:12" x14ac:dyDescent="0.3">
      <c r="B27" s="39"/>
      <c r="C27" s="40"/>
      <c r="D27" s="40"/>
      <c r="E27" s="40"/>
      <c r="F27" s="40"/>
      <c r="G27" s="78"/>
      <c r="H27" s="88"/>
      <c r="I27" s="88"/>
      <c r="J27" s="88"/>
      <c r="K27" s="88"/>
      <c r="L27" s="88"/>
    </row>
    <row r="28" spans="2:12" x14ac:dyDescent="0.3">
      <c r="B28" s="62" t="s">
        <v>112</v>
      </c>
      <c r="C28" s="113" t="s">
        <v>88</v>
      </c>
      <c r="D28" s="64">
        <f>D24/D23</f>
        <v>4.1276990376202978</v>
      </c>
      <c r="E28" s="64">
        <f>E24/E23</f>
        <v>0.17675068871944608</v>
      </c>
      <c r="F28" s="64">
        <f>F24/F23</f>
        <v>0.88176430166638031</v>
      </c>
      <c r="G28" s="114">
        <f>G24/G23</f>
        <v>1.8160525538560679</v>
      </c>
      <c r="H28" s="118">
        <f>AVERAGE(D28:G28)</f>
        <v>1.750566645465548</v>
      </c>
      <c r="I28" s="118">
        <f>AVERAGE(E28:H28)</f>
        <v>1.1562835474268605</v>
      </c>
      <c r="J28" s="118">
        <f>AVERAGE(F28:I28)</f>
        <v>1.401166762103714</v>
      </c>
      <c r="K28" s="118">
        <f>AVERAGE(G28:J28)</f>
        <v>1.5310173772130475</v>
      </c>
      <c r="L28" s="118">
        <f>AVERAGE(H28:K28)</f>
        <v>1.4597585830522926</v>
      </c>
    </row>
    <row r="39" spans="13:20" x14ac:dyDescent="0.3">
      <c r="M39" s="29">
        <v>2022</v>
      </c>
      <c r="N39" s="29">
        <v>2023</v>
      </c>
      <c r="O39" s="33">
        <v>2024</v>
      </c>
      <c r="P39" s="30">
        <v>2025</v>
      </c>
      <c r="Q39" s="30">
        <v>2026</v>
      </c>
      <c r="R39" s="30">
        <v>2027</v>
      </c>
      <c r="S39" s="30">
        <v>2028</v>
      </c>
      <c r="T39" s="30">
        <v>2029</v>
      </c>
    </row>
    <row r="40" spans="13:20" x14ac:dyDescent="0.3">
      <c r="M40" s="84">
        <f t="shared" ref="M40:T40" si="4">L43</f>
        <v>0</v>
      </c>
      <c r="N40" s="84">
        <f t="shared" si="4"/>
        <v>0</v>
      </c>
      <c r="O40" s="84">
        <f t="shared" si="4"/>
        <v>0</v>
      </c>
      <c r="P40" s="84">
        <f t="shared" si="4"/>
        <v>0</v>
      </c>
      <c r="Q40" s="84">
        <f t="shared" si="4"/>
        <v>0</v>
      </c>
      <c r="R40" s="84">
        <f t="shared" si="4"/>
        <v>0</v>
      </c>
      <c r="S40" s="84">
        <f t="shared" si="4"/>
        <v>0</v>
      </c>
      <c r="T40" s="84">
        <f t="shared" si="4"/>
        <v>0</v>
      </c>
    </row>
    <row r="41" spans="13:20" x14ac:dyDescent="0.3">
      <c r="M41" s="86">
        <f>M43-M40+M42</f>
        <v>0</v>
      </c>
      <c r="N41" s="86">
        <f>N43-N40+N42</f>
        <v>0</v>
      </c>
      <c r="O41" s="86">
        <f>O43-O40+O42</f>
        <v>0</v>
      </c>
      <c r="P41" s="77">
        <f>P46*P40</f>
        <v>0</v>
      </c>
      <c r="Q41" s="77">
        <f>Q46*Q40</f>
        <v>0</v>
      </c>
      <c r="R41" s="77">
        <f>R46*R40</f>
        <v>0</v>
      </c>
      <c r="S41" s="77">
        <f>S46*S40</f>
        <v>0</v>
      </c>
      <c r="T41" s="77">
        <f>T46*T40</f>
        <v>0</v>
      </c>
    </row>
    <row r="42" spans="13:20" x14ac:dyDescent="0.3">
      <c r="M42" s="34">
        <f>M49</f>
        <v>0</v>
      </c>
      <c r="N42" s="34">
        <f>N49</f>
        <v>0</v>
      </c>
      <c r="O42" s="34">
        <f>O49</f>
        <v>0</v>
      </c>
      <c r="P42" s="77">
        <f>P45*P40</f>
        <v>0</v>
      </c>
      <c r="Q42" s="77">
        <f>Q45*Q40</f>
        <v>0</v>
      </c>
      <c r="R42" s="77">
        <f>R45*R40</f>
        <v>0</v>
      </c>
      <c r="S42" s="77">
        <f>S45*S40</f>
        <v>0</v>
      </c>
      <c r="T42" s="77">
        <f>T45*T40</f>
        <v>0</v>
      </c>
    </row>
    <row r="43" spans="13:20" x14ac:dyDescent="0.3">
      <c r="M43" s="82">
        <f>'Balance Sheet'!M41</f>
        <v>0</v>
      </c>
      <c r="N43" s="82">
        <f>'Balance Sheet'!N41</f>
        <v>0</v>
      </c>
      <c r="O43" s="82">
        <f>'Balance Sheet'!O41</f>
        <v>0</v>
      </c>
      <c r="P43" s="80">
        <f>P40+P41-P42</f>
        <v>0</v>
      </c>
      <c r="Q43" s="80">
        <f>Q40+Q41-Q42</f>
        <v>0</v>
      </c>
      <c r="R43" s="80">
        <f>R40+R41-R42</f>
        <v>0</v>
      </c>
      <c r="S43" s="80">
        <f>S40+S41-S42</f>
        <v>0</v>
      </c>
      <c r="T43" s="80">
        <f>T40+T41-T42</f>
        <v>0</v>
      </c>
    </row>
  </sheetData>
  <hyperlinks>
    <hyperlink ref="L2" location="PPE!A1" display="PPE!A1" xr:uid="{372B96BF-FE7C-4059-A996-880508BC469E}"/>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FE533-B419-4CF3-8CD5-1DBA936B0561}">
  <sheetPr codeName="Sheet23"/>
  <dimension ref="A2:T41"/>
  <sheetViews>
    <sheetView showGridLines="0" workbookViewId="0">
      <pane xSplit="2" ySplit="4" topLeftCell="C5" activePane="bottomRight" state="frozen"/>
      <selection pane="topRight" activeCell="C1" sqref="C1"/>
      <selection pane="bottomLeft" activeCell="A5" sqref="A5"/>
      <selection pane="bottomRight" activeCell="G31" sqref="G31"/>
    </sheetView>
  </sheetViews>
  <sheetFormatPr defaultColWidth="0" defaultRowHeight="14.4" x14ac:dyDescent="0.3"/>
  <cols>
    <col min="1" max="1" width="1.88671875" customWidth="1"/>
    <col min="2" max="2" width="28.5546875" customWidth="1"/>
    <col min="3" max="6" width="12.88671875" customWidth="1"/>
    <col min="7" max="7" width="13.77734375" customWidth="1"/>
    <col min="8" max="12" width="12.88671875" customWidth="1"/>
    <col min="13" max="16384" width="8.88671875" hidden="1"/>
  </cols>
  <sheetData>
    <row r="2" spans="2:12" ht="25.8" x14ac:dyDescent="0.5">
      <c r="B2" s="26" t="s">
        <v>118</v>
      </c>
      <c r="L2" s="210" t="s">
        <v>190</v>
      </c>
    </row>
    <row r="3" spans="2:12" x14ac:dyDescent="0.3">
      <c r="B3" s="27" t="s">
        <v>53</v>
      </c>
    </row>
    <row r="4" spans="2:12" x14ac:dyDescent="0.3">
      <c r="B4" s="28" t="s">
        <v>54</v>
      </c>
      <c r="C4" s="29" t="str">
        <f>'P&amp;L'!C4</f>
        <v>2022</v>
      </c>
      <c r="D4" s="29" t="str">
        <f>'P&amp;L'!D4</f>
        <v>2023</v>
      </c>
      <c r="E4" s="29" t="str">
        <f>'P&amp;L'!E4</f>
        <v>2024</v>
      </c>
      <c r="F4" s="29" t="str">
        <f>'P&amp;L'!F4</f>
        <v>2025</v>
      </c>
      <c r="G4" s="29" t="str">
        <f>'P&amp;L'!G4</f>
        <v>2026</v>
      </c>
      <c r="H4" s="30" t="str">
        <f>'P&amp;L'!H4</f>
        <v>2027</v>
      </c>
      <c r="I4" s="30" t="str">
        <f>'P&amp;L'!I4</f>
        <v>2028</v>
      </c>
      <c r="J4" s="30" t="str">
        <f>'P&amp;L'!J4</f>
        <v>2029</v>
      </c>
      <c r="K4" s="30" t="str">
        <f>'P&amp;L'!K4</f>
        <v>2030</v>
      </c>
      <c r="L4" s="30" t="str">
        <f>'P&amp;L'!L4</f>
        <v>2031</v>
      </c>
    </row>
    <row r="5" spans="2:12" x14ac:dyDescent="0.3">
      <c r="B5" s="249" t="s">
        <v>359</v>
      </c>
      <c r="C5" s="128">
        <f>'Balance Sheet'!C5</f>
        <v>18478.22</v>
      </c>
      <c r="D5" s="128">
        <f>'Balance Sheet'!D5</f>
        <v>20224.29</v>
      </c>
      <c r="E5" s="128">
        <f>'Balance Sheet'!E5</f>
        <v>16813.34</v>
      </c>
      <c r="F5" s="128">
        <f>'Balance Sheet'!F5</f>
        <v>24788.29</v>
      </c>
      <c r="G5" s="128">
        <f>'Balance Sheet'!G5</f>
        <v>29612.560000000001</v>
      </c>
      <c r="H5" s="130">
        <f>Drivers!H47*Drivers!H50</f>
        <v>33357.413388118614</v>
      </c>
      <c r="I5" s="130">
        <f>Drivers!I47*Drivers!I50</f>
        <v>38422.436507105682</v>
      </c>
      <c r="J5" s="130">
        <f>Drivers!J47*Drivers!J50</f>
        <v>43872.313453547584</v>
      </c>
      <c r="K5" s="130">
        <f>Drivers!K47*Drivers!K50</f>
        <v>49656.483279830565</v>
      </c>
      <c r="L5" s="130">
        <f>Drivers!L47*Drivers!L50</f>
        <v>55706.679026928148</v>
      </c>
    </row>
    <row r="6" spans="2:12" x14ac:dyDescent="0.3">
      <c r="B6" s="255" t="s">
        <v>16</v>
      </c>
      <c r="C6" s="128">
        <f>'Balance Sheet'!C6</f>
        <v>3132.51</v>
      </c>
      <c r="D6" s="128">
        <f>'Balance Sheet'!D6</f>
        <v>3428.56</v>
      </c>
      <c r="E6" s="128">
        <f>'Balance Sheet'!E6</f>
        <v>3520.97</v>
      </c>
      <c r="F6" s="128">
        <f>'Balance Sheet'!F6</f>
        <v>3398.77</v>
      </c>
      <c r="G6" s="128">
        <f>'Balance Sheet'!G6</f>
        <v>3690.92</v>
      </c>
      <c r="H6" s="131">
        <f>Drivers!H43*Drivers!H51</f>
        <v>5141.8654115606814</v>
      </c>
      <c r="I6" s="131">
        <f>Drivers!I43*Drivers!I51</f>
        <v>5922.6114148929164</v>
      </c>
      <c r="J6" s="131">
        <f>Drivers!J43*Drivers!J51</f>
        <v>6762.6805606064972</v>
      </c>
      <c r="K6" s="131">
        <f>Drivers!K43*Drivers!K51</f>
        <v>7654.2791512499443</v>
      </c>
      <c r="L6" s="131">
        <f>Drivers!L43*Drivers!L51</f>
        <v>8586.8842031828153</v>
      </c>
    </row>
    <row r="7" spans="2:12" x14ac:dyDescent="0.3">
      <c r="B7" t="s">
        <v>360</v>
      </c>
      <c r="C7" s="128">
        <f>'Balance Sheet'!C7</f>
        <v>36347.35</v>
      </c>
      <c r="D7" s="128">
        <f>'Balance Sheet'!D7</f>
        <v>33152.58</v>
      </c>
      <c r="E7" s="128">
        <f>'Balance Sheet'!E7</f>
        <v>36961.550000000003</v>
      </c>
      <c r="F7" s="128">
        <f>'Balance Sheet'!F7</f>
        <v>38330.18</v>
      </c>
      <c r="G7" s="128">
        <f>'Balance Sheet'!G7</f>
        <v>45330.3</v>
      </c>
      <c r="H7" s="77">
        <f>Drivers!H44*Drivers!H50</f>
        <v>58711.641302885</v>
      </c>
      <c r="I7" s="77">
        <f>Drivers!I44*Drivers!I50</f>
        <v>67626.475828355411</v>
      </c>
      <c r="J7" s="77">
        <f>Drivers!J44*Drivers!J50</f>
        <v>77218.683014849317</v>
      </c>
      <c r="K7" s="77">
        <f>Drivers!K44*Drivers!K50</f>
        <v>87399.271663148305</v>
      </c>
      <c r="L7" s="77">
        <f>Drivers!L44*Drivers!L50</f>
        <v>98048.086617198554</v>
      </c>
    </row>
    <row r="8" spans="2:12" x14ac:dyDescent="0.3">
      <c r="B8" t="s">
        <v>362</v>
      </c>
      <c r="C8" s="128">
        <f>'Balance Sheet'!C9</f>
        <v>249.6</v>
      </c>
      <c r="D8" s="128">
        <f>'Balance Sheet'!D9</f>
        <v>168.29</v>
      </c>
      <c r="E8" s="128">
        <f>'Balance Sheet'!E9</f>
        <v>63.04</v>
      </c>
      <c r="F8" s="128">
        <f>'Balance Sheet'!F9</f>
        <v>635.02</v>
      </c>
      <c r="G8" s="128">
        <f>'Balance Sheet'!G9</f>
        <v>352.71</v>
      </c>
      <c r="H8" s="132">
        <f t="shared" ref="H8:L9" si="0">AVERAGE(C8:G8)</f>
        <v>293.73200000000003</v>
      </c>
      <c r="I8" s="132">
        <f t="shared" si="0"/>
        <v>302.55840000000001</v>
      </c>
      <c r="J8" s="132">
        <f t="shared" si="0"/>
        <v>329.41207999999995</v>
      </c>
      <c r="K8" s="132">
        <f t="shared" si="0"/>
        <v>382.68649599999998</v>
      </c>
      <c r="L8" s="132">
        <f t="shared" si="0"/>
        <v>332.21979520000002</v>
      </c>
    </row>
    <row r="9" spans="2:12" x14ac:dyDescent="0.3">
      <c r="B9" t="s">
        <v>363</v>
      </c>
      <c r="C9" s="128">
        <f>'Balance Sheet'!C10</f>
        <v>57311.67</v>
      </c>
      <c r="D9" s="128">
        <f>'Balance Sheet'!D10</f>
        <v>62997.23</v>
      </c>
      <c r="E9" s="128">
        <f>'Balance Sheet'!E10</f>
        <v>62541.16</v>
      </c>
      <c r="F9" s="128">
        <f>'Balance Sheet'!F10</f>
        <v>61073.69</v>
      </c>
      <c r="G9" s="128">
        <f>'Balance Sheet'!G10</f>
        <v>73380.45</v>
      </c>
      <c r="H9" s="132">
        <f t="shared" si="0"/>
        <v>63460.840000000004</v>
      </c>
      <c r="I9" s="132">
        <f t="shared" si="0"/>
        <v>64690.674000000014</v>
      </c>
      <c r="J9" s="132">
        <f t="shared" si="0"/>
        <v>65029.362800000003</v>
      </c>
      <c r="K9" s="132">
        <f t="shared" si="0"/>
        <v>65527.00336000001</v>
      </c>
      <c r="L9" s="132">
        <f t="shared" si="0"/>
        <v>66417.666032000008</v>
      </c>
    </row>
    <row r="10" spans="2:12" x14ac:dyDescent="0.3">
      <c r="B10" s="43" t="s">
        <v>123</v>
      </c>
      <c r="C10" s="129">
        <f t="shared" ref="C10:L10" si="1">SUM(C5:C9)</f>
        <v>115519.35</v>
      </c>
      <c r="D10" s="129">
        <f t="shared" si="1"/>
        <v>119970.95000000001</v>
      </c>
      <c r="E10" s="129">
        <f t="shared" si="1"/>
        <v>119900.06</v>
      </c>
      <c r="F10" s="129">
        <f t="shared" si="1"/>
        <v>128225.95000000001</v>
      </c>
      <c r="G10" s="129">
        <f t="shared" si="1"/>
        <v>152366.94</v>
      </c>
      <c r="H10" s="122">
        <f t="shared" si="1"/>
        <v>160965.49210256431</v>
      </c>
      <c r="I10" s="122">
        <f t="shared" si="1"/>
        <v>176964.75615035402</v>
      </c>
      <c r="J10" s="122">
        <f t="shared" si="1"/>
        <v>193212.45190900337</v>
      </c>
      <c r="K10" s="122">
        <f t="shared" si="1"/>
        <v>210619.72395022883</v>
      </c>
      <c r="L10" s="122">
        <f t="shared" si="1"/>
        <v>229091.53567450953</v>
      </c>
    </row>
    <row r="11" spans="2:12" x14ac:dyDescent="0.3">
      <c r="B11" s="62"/>
      <c r="C11" s="113"/>
      <c r="D11" s="64"/>
      <c r="E11" s="64"/>
      <c r="F11" s="64"/>
      <c r="G11" s="64"/>
      <c r="H11" s="115"/>
      <c r="I11" s="115"/>
      <c r="J11" s="115"/>
      <c r="K11" s="115"/>
      <c r="L11" s="115"/>
    </row>
    <row r="12" spans="2:12" x14ac:dyDescent="0.3">
      <c r="B12" s="244" t="s">
        <v>11</v>
      </c>
      <c r="C12" s="128">
        <f>'Balance Sheet'!C23</f>
        <v>45385.34</v>
      </c>
      <c r="D12" s="128">
        <f>'Balance Sheet'!D23</f>
        <v>41780.370000000003</v>
      </c>
      <c r="E12" s="128">
        <f>'Balance Sheet'!E23</f>
        <v>40846.33</v>
      </c>
      <c r="F12" s="128">
        <f>'Balance Sheet'!F23</f>
        <v>38795.99</v>
      </c>
      <c r="G12" s="128">
        <f>'Balance Sheet'!G23</f>
        <v>49140.51</v>
      </c>
      <c r="H12" s="133">
        <f>Drivers!H46*Drivers!H51</f>
        <v>64762.342546531465</v>
      </c>
      <c r="I12" s="133">
        <f>Drivers!I46*Drivers!I51</f>
        <v>74595.921619984991</v>
      </c>
      <c r="J12" s="133">
        <f>Drivers!J46*Drivers!J51</f>
        <v>85176.681990560654</v>
      </c>
      <c r="K12" s="133">
        <f>Drivers!K46*Drivers!K51</f>
        <v>96406.461208708162</v>
      </c>
      <c r="L12" s="133">
        <f>Drivers!L46*Drivers!L51</f>
        <v>108152.72117461618</v>
      </c>
    </row>
    <row r="13" spans="2:12" x14ac:dyDescent="0.3">
      <c r="B13" s="244" t="s">
        <v>344</v>
      </c>
      <c r="C13" s="128">
        <f>'Balance Sheet'!C24</f>
        <v>32990.78</v>
      </c>
      <c r="D13" s="128">
        <f>'Balance Sheet'!D24</f>
        <v>38330.160000000003</v>
      </c>
      <c r="E13" s="128">
        <f>'Balance Sheet'!E24</f>
        <v>44919.82</v>
      </c>
      <c r="F13" s="128">
        <f>'Balance Sheet'!F24</f>
        <v>50265.96</v>
      </c>
      <c r="G13" s="128">
        <f>'Balance Sheet'!G24</f>
        <v>68948.95</v>
      </c>
      <c r="H13" s="77">
        <f>AVERAGE(WC!C13:G13)</f>
        <v>47091.133999999998</v>
      </c>
      <c r="I13" s="77">
        <f>H13</f>
        <v>47091.133999999998</v>
      </c>
      <c r="J13" s="77">
        <f>I13</f>
        <v>47091.133999999998</v>
      </c>
      <c r="K13" s="77">
        <f>J13</f>
        <v>47091.133999999998</v>
      </c>
      <c r="L13" s="77">
        <f>K13</f>
        <v>47091.133999999998</v>
      </c>
    </row>
    <row r="14" spans="2:12" x14ac:dyDescent="0.3">
      <c r="B14" s="250" t="s">
        <v>345</v>
      </c>
      <c r="C14" s="128">
        <f>'Balance Sheet'!C25</f>
        <v>1861.48</v>
      </c>
      <c r="D14" s="128">
        <f>'Balance Sheet'!D25</f>
        <v>1832.37</v>
      </c>
      <c r="E14" s="128">
        <f>'Balance Sheet'!E25</f>
        <v>1651.57</v>
      </c>
      <c r="F14" s="128">
        <f>'Balance Sheet'!F25</f>
        <v>2398.23</v>
      </c>
      <c r="G14" s="128">
        <f>'Balance Sheet'!G25</f>
        <v>2702.49</v>
      </c>
      <c r="H14" s="77">
        <f>Drivers!H48*Drivers!H50</f>
        <v>3183.6439730725378</v>
      </c>
      <c r="I14" s="77">
        <f>Drivers!I48*Drivers!I50</f>
        <v>3493.2796019317352</v>
      </c>
      <c r="J14" s="77">
        <f>Drivers!J48*Drivers!J50</f>
        <v>3917.3013544558744</v>
      </c>
      <c r="K14" s="77">
        <f>Drivers!K48*Drivers!K50</f>
        <v>4587.2891204318921</v>
      </c>
      <c r="L14" s="77">
        <f>Drivers!L48*Drivers!L50</f>
        <v>5139.9993575548469</v>
      </c>
    </row>
    <row r="15" spans="2:12" x14ac:dyDescent="0.3">
      <c r="B15" s="43" t="s">
        <v>124</v>
      </c>
      <c r="C15" s="129">
        <f t="shared" ref="C15:L15" si="2">SUM(C12:C14)</f>
        <v>80237.599999999991</v>
      </c>
      <c r="D15" s="129">
        <f t="shared" si="2"/>
        <v>81942.899999999994</v>
      </c>
      <c r="E15" s="129">
        <f t="shared" si="2"/>
        <v>87417.72</v>
      </c>
      <c r="F15" s="129">
        <f t="shared" si="2"/>
        <v>91460.18</v>
      </c>
      <c r="G15" s="129">
        <f t="shared" si="2"/>
        <v>120791.95</v>
      </c>
      <c r="H15" s="122">
        <f t="shared" si="2"/>
        <v>115037.120519604</v>
      </c>
      <c r="I15" s="122">
        <f t="shared" si="2"/>
        <v>125180.33522191671</v>
      </c>
      <c r="J15" s="122">
        <f t="shared" si="2"/>
        <v>136185.11734501654</v>
      </c>
      <c r="K15" s="122">
        <f t="shared" si="2"/>
        <v>148084.88432914007</v>
      </c>
      <c r="L15" s="122">
        <f t="shared" si="2"/>
        <v>160383.85453217104</v>
      </c>
    </row>
    <row r="16" spans="2:12" x14ac:dyDescent="0.3">
      <c r="C16" s="87"/>
      <c r="D16" s="87"/>
      <c r="E16" s="87"/>
      <c r="F16" s="87"/>
      <c r="G16" s="87"/>
      <c r="H16" s="77"/>
      <c r="I16" s="77"/>
      <c r="J16" s="77"/>
      <c r="K16" s="77"/>
      <c r="L16" s="77"/>
    </row>
    <row r="17" spans="2:12" x14ac:dyDescent="0.3">
      <c r="B17" s="32" t="s">
        <v>125</v>
      </c>
      <c r="C17" s="44">
        <f t="shared" ref="C17:L17" si="3">C10-C15</f>
        <v>35281.750000000015</v>
      </c>
      <c r="D17" s="44">
        <f t="shared" si="3"/>
        <v>38028.050000000017</v>
      </c>
      <c r="E17" s="44">
        <f t="shared" si="3"/>
        <v>32482.339999999997</v>
      </c>
      <c r="F17" s="44">
        <f t="shared" si="3"/>
        <v>36765.770000000019</v>
      </c>
      <c r="G17" s="44">
        <f t="shared" si="3"/>
        <v>31574.990000000005</v>
      </c>
      <c r="H17" s="122">
        <f t="shared" si="3"/>
        <v>45928.371582960317</v>
      </c>
      <c r="I17" s="122">
        <f t="shared" si="3"/>
        <v>51784.420928437306</v>
      </c>
      <c r="J17" s="122">
        <f t="shared" si="3"/>
        <v>57027.334563986835</v>
      </c>
      <c r="K17" s="122">
        <f t="shared" si="3"/>
        <v>62534.839621088759</v>
      </c>
      <c r="L17" s="122">
        <f t="shared" si="3"/>
        <v>68707.681142338493</v>
      </c>
    </row>
    <row r="19" spans="2:12" x14ac:dyDescent="0.3">
      <c r="G19" s="45"/>
      <c r="H19" s="97"/>
      <c r="I19" s="97"/>
      <c r="J19" s="97"/>
      <c r="K19" s="97"/>
      <c r="L19" s="97"/>
    </row>
    <row r="20" spans="2:12" x14ac:dyDescent="0.3">
      <c r="G20" s="430" t="s">
        <v>19</v>
      </c>
      <c r="H20" s="431">
        <f>G9-H9</f>
        <v>9919.6099999999933</v>
      </c>
      <c r="I20" s="431">
        <f>H9-I9</f>
        <v>-1229.8340000000098</v>
      </c>
      <c r="J20" s="431">
        <f>I9-J9</f>
        <v>-338.68879999998899</v>
      </c>
      <c r="K20" s="431">
        <f>J9-K9</f>
        <v>-497.6405600000071</v>
      </c>
      <c r="L20" s="431">
        <f>K9-L9</f>
        <v>-890.66267199999857</v>
      </c>
    </row>
    <row r="21" spans="2:12" x14ac:dyDescent="0.3">
      <c r="G21" s="432" t="s">
        <v>12</v>
      </c>
      <c r="H21" s="172">
        <f t="shared" ref="H21:L22" si="4">H13-G13</f>
        <v>-21857.815999999999</v>
      </c>
      <c r="I21" s="172">
        <f t="shared" si="4"/>
        <v>0</v>
      </c>
      <c r="J21" s="172">
        <f t="shared" si="4"/>
        <v>0</v>
      </c>
      <c r="K21" s="172">
        <f t="shared" si="4"/>
        <v>0</v>
      </c>
      <c r="L21" s="172">
        <f t="shared" si="4"/>
        <v>0</v>
      </c>
    </row>
    <row r="22" spans="2:12" x14ac:dyDescent="0.3">
      <c r="G22" s="432" t="s">
        <v>13</v>
      </c>
      <c r="H22" s="172">
        <f t="shared" si="4"/>
        <v>481.15397307253807</v>
      </c>
      <c r="I22" s="172">
        <f t="shared" si="4"/>
        <v>309.63562885919737</v>
      </c>
      <c r="J22" s="172">
        <f t="shared" si="4"/>
        <v>424.02175252413917</v>
      </c>
      <c r="K22" s="172">
        <f t="shared" si="4"/>
        <v>669.98776597601773</v>
      </c>
      <c r="L22" s="172">
        <f t="shared" si="4"/>
        <v>552.71023712295482</v>
      </c>
    </row>
    <row r="23" spans="2:12" x14ac:dyDescent="0.3">
      <c r="G23" s="284"/>
      <c r="H23" s="433">
        <f>SUM(H19:H22)</f>
        <v>-11457.052026927468</v>
      </c>
      <c r="I23" s="433">
        <f>SUM(I19:I22)</f>
        <v>-920.19837114081247</v>
      </c>
      <c r="J23" s="433">
        <f>SUM(J19:J22)</f>
        <v>85.332952524150187</v>
      </c>
      <c r="K23" s="433">
        <f>SUM(K19:K22)</f>
        <v>172.34720597601063</v>
      </c>
      <c r="L23" s="433">
        <f>SUM(L19:L22)</f>
        <v>-337.95243487704374</v>
      </c>
    </row>
    <row r="37" spans="13:20" x14ac:dyDescent="0.3">
      <c r="M37" s="29">
        <v>2022</v>
      </c>
      <c r="N37" s="29">
        <v>2023</v>
      </c>
      <c r="O37" s="33">
        <v>2024</v>
      </c>
      <c r="P37" s="30">
        <v>2025</v>
      </c>
      <c r="Q37" s="30">
        <v>2026</v>
      </c>
      <c r="R37" s="30">
        <v>2027</v>
      </c>
      <c r="S37" s="30">
        <v>2028</v>
      </c>
      <c r="T37" s="30">
        <v>2029</v>
      </c>
    </row>
    <row r="38" spans="13:20" x14ac:dyDescent="0.3">
      <c r="M38" s="84">
        <f t="shared" ref="M38:T38" si="5">L41</f>
        <v>0</v>
      </c>
      <c r="N38" s="84">
        <f t="shared" si="5"/>
        <v>0</v>
      </c>
      <c r="O38" s="84">
        <f t="shared" si="5"/>
        <v>0</v>
      </c>
      <c r="P38" s="84">
        <f t="shared" si="5"/>
        <v>0</v>
      </c>
      <c r="Q38" s="84">
        <f t="shared" si="5"/>
        <v>0</v>
      </c>
      <c r="R38" s="84">
        <f t="shared" si="5"/>
        <v>0</v>
      </c>
      <c r="S38" s="84">
        <f t="shared" si="5"/>
        <v>0</v>
      </c>
      <c r="T38" s="84">
        <f t="shared" si="5"/>
        <v>0</v>
      </c>
    </row>
    <row r="39" spans="13:20" x14ac:dyDescent="0.3">
      <c r="M39" s="86">
        <f>M41-M38+M40</f>
        <v>0</v>
      </c>
      <c r="N39" s="86">
        <f>N41-N38+N40</f>
        <v>0</v>
      </c>
      <c r="O39" s="86">
        <f>O41-O38+O40</f>
        <v>0</v>
      </c>
      <c r="P39" s="77">
        <f>P44*P38</f>
        <v>0</v>
      </c>
      <c r="Q39" s="77">
        <f>Q44*Q38</f>
        <v>0</v>
      </c>
      <c r="R39" s="77">
        <f>R44*R38</f>
        <v>0</v>
      </c>
      <c r="S39" s="77">
        <f>S44*S38</f>
        <v>0</v>
      </c>
      <c r="T39" s="77">
        <f>T44*T38</f>
        <v>0</v>
      </c>
    </row>
    <row r="40" spans="13:20" x14ac:dyDescent="0.3">
      <c r="M40" s="34">
        <f>M47</f>
        <v>0</v>
      </c>
      <c r="N40" s="34">
        <f>N47</f>
        <v>0</v>
      </c>
      <c r="O40" s="34">
        <f>O47</f>
        <v>0</v>
      </c>
      <c r="P40" s="77">
        <f>P43*P38</f>
        <v>0</v>
      </c>
      <c r="Q40" s="77">
        <f>Q43*Q38</f>
        <v>0</v>
      </c>
      <c r="R40" s="77">
        <f>R43*R38</f>
        <v>0</v>
      </c>
      <c r="S40" s="77">
        <f>S43*S38</f>
        <v>0</v>
      </c>
      <c r="T40" s="77">
        <f>T43*T38</f>
        <v>0</v>
      </c>
    </row>
    <row r="41" spans="13:20" x14ac:dyDescent="0.3">
      <c r="M41" s="82">
        <f>'Balance Sheet'!M41</f>
        <v>0</v>
      </c>
      <c r="N41" s="82">
        <f>'Balance Sheet'!N41</f>
        <v>0</v>
      </c>
      <c r="O41" s="82">
        <f>'Balance Sheet'!O41</f>
        <v>0</v>
      </c>
      <c r="P41" s="80">
        <f>P38+P39-P40</f>
        <v>0</v>
      </c>
      <c r="Q41" s="80">
        <f>Q38+Q39-Q40</f>
        <v>0</v>
      </c>
      <c r="R41" s="80">
        <f>R38+R39-R40</f>
        <v>0</v>
      </c>
      <c r="S41" s="80">
        <f>S38+S39-S40</f>
        <v>0</v>
      </c>
      <c r="T41" s="80">
        <f>T38+T39-T40</f>
        <v>0</v>
      </c>
    </row>
  </sheetData>
  <hyperlinks>
    <hyperlink ref="L2" location="WC!A1" display="WC!A1" xr:uid="{9163D3D3-6B16-40C8-B637-A0655264A151}"/>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8F9BC-8669-4293-A7C8-F189B503A697}">
  <sheetPr codeName="Sheet24">
    <tabColor theme="4" tint="-0.499984740745262"/>
  </sheetPr>
  <dimension ref="A1"/>
  <sheetViews>
    <sheetView showGridLines="0" workbookViewId="0"/>
  </sheetViews>
  <sheetFormatPr defaultRowHeight="14.4" x14ac:dyDescent="0.3"/>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5"/>
  <dimension ref="A1:P54"/>
  <sheetViews>
    <sheetView showGridLines="0" workbookViewId="0">
      <selection activeCell="C57" sqref="C57"/>
    </sheetView>
  </sheetViews>
  <sheetFormatPr defaultColWidth="0" defaultRowHeight="14.4" x14ac:dyDescent="0.3"/>
  <cols>
    <col min="1" max="1" width="57.6640625" customWidth="1"/>
    <col min="2" max="6" width="13.5546875" customWidth="1"/>
    <col min="7" max="7" width="8.88671875" hidden="1" customWidth="1"/>
    <col min="8" max="8" width="11.77734375" hidden="1" customWidth="1"/>
    <col min="9" max="11" width="0" hidden="1" customWidth="1"/>
    <col min="12" max="16384" width="8.88671875" hidden="1"/>
  </cols>
  <sheetData>
    <row r="1" spans="1:16" ht="23.4" x14ac:dyDescent="0.3">
      <c r="A1" s="19" t="s">
        <v>51</v>
      </c>
      <c r="F1" s="210" t="s">
        <v>190</v>
      </c>
      <c r="G1" s="5"/>
    </row>
    <row r="2" spans="1:16" x14ac:dyDescent="0.3">
      <c r="B2" s="235">
        <v>44621</v>
      </c>
      <c r="C2" s="235">
        <v>44986</v>
      </c>
      <c r="D2" s="235">
        <v>45352</v>
      </c>
      <c r="E2" s="235">
        <v>45717</v>
      </c>
      <c r="F2" s="234">
        <v>46082</v>
      </c>
      <c r="G2" s="20"/>
      <c r="L2" t="s">
        <v>301</v>
      </c>
      <c r="N2" t="s">
        <v>302</v>
      </c>
      <c r="P2" t="s">
        <v>303</v>
      </c>
    </row>
    <row r="3" spans="1:16" x14ac:dyDescent="0.3">
      <c r="A3" s="2" t="s">
        <v>304</v>
      </c>
      <c r="B3" s="97"/>
      <c r="C3" s="97"/>
      <c r="D3" s="97"/>
      <c r="E3" s="97"/>
      <c r="F3" s="97"/>
    </row>
    <row r="4" spans="1:16" x14ac:dyDescent="0.3">
      <c r="A4" s="269" t="s">
        <v>55</v>
      </c>
      <c r="B4" s="268">
        <v>158788.31</v>
      </c>
      <c r="C4" s="268">
        <v>186269.87</v>
      </c>
      <c r="D4" s="268">
        <v>225270.94</v>
      </c>
      <c r="E4" s="268">
        <v>259859.27</v>
      </c>
      <c r="F4" s="268">
        <v>291635.03999999998</v>
      </c>
    </row>
    <row r="5" spans="1:16" x14ac:dyDescent="0.3">
      <c r="A5" s="2" t="s">
        <v>305</v>
      </c>
      <c r="B5" s="97"/>
      <c r="C5" s="97"/>
      <c r="D5" s="97"/>
      <c r="E5" s="97"/>
      <c r="F5" s="97"/>
    </row>
    <row r="6" spans="1:16" x14ac:dyDescent="0.3">
      <c r="A6" s="2" t="s">
        <v>306</v>
      </c>
      <c r="B6" s="97">
        <v>17100.84</v>
      </c>
      <c r="C6" s="97">
        <v>18995.11</v>
      </c>
      <c r="D6" s="97">
        <v>19442.25</v>
      </c>
      <c r="E6" s="97">
        <v>27655.02</v>
      </c>
      <c r="F6" s="97">
        <v>33031.760000000002</v>
      </c>
    </row>
    <row r="7" spans="1:16" x14ac:dyDescent="0.3">
      <c r="A7" s="2" t="s">
        <v>307</v>
      </c>
      <c r="B7" s="97">
        <v>1069.5</v>
      </c>
      <c r="C7" s="97">
        <v>1052.8599999999999</v>
      </c>
      <c r="D7" s="97">
        <v>1063.77</v>
      </c>
      <c r="E7" s="97">
        <v>1402.14</v>
      </c>
      <c r="F7" s="97">
        <v>1262.3</v>
      </c>
    </row>
    <row r="8" spans="1:16" x14ac:dyDescent="0.3">
      <c r="A8" s="2" t="s">
        <v>308</v>
      </c>
      <c r="B8" s="25">
        <v>83644.77</v>
      </c>
      <c r="C8" s="25">
        <v>99723.94</v>
      </c>
      <c r="D8" s="25">
        <v>124501.73</v>
      </c>
      <c r="E8" s="25">
        <v>142326.53</v>
      </c>
      <c r="F8">
        <v>0</v>
      </c>
    </row>
    <row r="9" spans="1:16" x14ac:dyDescent="0.3">
      <c r="A9" s="2" t="s">
        <v>309</v>
      </c>
      <c r="B9" s="97">
        <v>-2076.6</v>
      </c>
      <c r="C9" s="97">
        <v>-3156.64</v>
      </c>
      <c r="D9" s="97">
        <v>1021.07</v>
      </c>
      <c r="E9">
        <v>-410.79</v>
      </c>
      <c r="F9" s="97">
        <v>-1963.12</v>
      </c>
    </row>
    <row r="10" spans="1:16" x14ac:dyDescent="0.3">
      <c r="A10" t="s">
        <v>310</v>
      </c>
      <c r="B10" s="97">
        <v>29733.53</v>
      </c>
      <c r="C10" s="97">
        <v>37214.11</v>
      </c>
      <c r="D10" s="97">
        <v>41171.019999999997</v>
      </c>
      <c r="E10" s="97">
        <v>46768.68</v>
      </c>
      <c r="F10" s="97">
        <v>52187.22</v>
      </c>
    </row>
    <row r="11" spans="1:16" x14ac:dyDescent="0.3">
      <c r="A11" t="s">
        <v>311</v>
      </c>
      <c r="B11" s="260">
        <v>3125.7</v>
      </c>
      <c r="C11" s="260">
        <v>3207.16</v>
      </c>
      <c r="D11" s="260">
        <v>3545.85</v>
      </c>
      <c r="E11" s="260">
        <v>3334.37</v>
      </c>
      <c r="F11" s="260">
        <v>2848.82</v>
      </c>
      <c r="G11" s="21"/>
      <c r="H11" s="21"/>
      <c r="I11" s="21"/>
      <c r="J11" s="21"/>
      <c r="K11" s="21"/>
    </row>
    <row r="12" spans="1:16" x14ac:dyDescent="0.3">
      <c r="A12" t="s">
        <v>312</v>
      </c>
      <c r="B12" s="97">
        <v>2947.95</v>
      </c>
      <c r="C12" s="97">
        <v>3502.25</v>
      </c>
      <c r="D12" s="97">
        <v>3682.33</v>
      </c>
      <c r="E12" s="97">
        <v>4121.18</v>
      </c>
      <c r="F12" s="97">
        <v>4364.75</v>
      </c>
    </row>
    <row r="13" spans="1:16" x14ac:dyDescent="0.3">
      <c r="A13" t="s">
        <v>2</v>
      </c>
      <c r="B13" s="260">
        <v>8831.89</v>
      </c>
      <c r="C13" s="260">
        <v>8758.0400000000009</v>
      </c>
      <c r="D13" s="260">
        <v>10419.42</v>
      </c>
      <c r="E13" s="260">
        <v>11558.13</v>
      </c>
      <c r="F13" s="260">
        <v>172205.06</v>
      </c>
    </row>
    <row r="14" spans="1:16" x14ac:dyDescent="0.3">
      <c r="A14" s="39" t="s">
        <v>313</v>
      </c>
      <c r="B14" s="268">
        <v>144377.57999999999</v>
      </c>
      <c r="C14" s="268">
        <v>169296.83</v>
      </c>
      <c r="D14" s="268">
        <v>204847.44</v>
      </c>
      <c r="E14" s="268">
        <v>236755.26</v>
      </c>
      <c r="F14" s="268">
        <v>263936.78999999998</v>
      </c>
    </row>
    <row r="15" spans="1:16" x14ac:dyDescent="0.3">
      <c r="A15" t="s">
        <v>314</v>
      </c>
      <c r="B15" s="97">
        <v>14410.73</v>
      </c>
      <c r="C15" s="97">
        <v>16973.04</v>
      </c>
      <c r="D15" s="97">
        <v>20423.5</v>
      </c>
      <c r="E15" s="97">
        <v>23104.01</v>
      </c>
      <c r="F15" s="97">
        <v>27698.25</v>
      </c>
    </row>
    <row r="16" spans="1:16" x14ac:dyDescent="0.3">
      <c r="A16" t="s">
        <v>315</v>
      </c>
      <c r="B16">
        <v>96.93</v>
      </c>
      <c r="C16">
        <v>135.99</v>
      </c>
      <c r="D16">
        <v>93.61</v>
      </c>
      <c r="E16">
        <v>474.78</v>
      </c>
      <c r="F16" s="97">
        <v>-1722.44</v>
      </c>
    </row>
    <row r="17" spans="1:6" x14ac:dyDescent="0.3">
      <c r="A17" t="s">
        <v>316</v>
      </c>
      <c r="B17" s="97">
        <v>14507.66</v>
      </c>
      <c r="C17" s="97">
        <v>17109.03</v>
      </c>
      <c r="D17" s="97">
        <v>20517.11</v>
      </c>
      <c r="E17" s="97">
        <v>23578.79</v>
      </c>
      <c r="F17" s="97">
        <v>25975.81</v>
      </c>
    </row>
    <row r="18" spans="1:6" x14ac:dyDescent="0.3">
      <c r="A18" t="s">
        <v>317</v>
      </c>
    </row>
    <row r="19" spans="1:6" x14ac:dyDescent="0.3">
      <c r="A19" t="s">
        <v>318</v>
      </c>
      <c r="B19" s="97">
        <v>4512.09</v>
      </c>
      <c r="C19" s="97">
        <v>5055.17</v>
      </c>
      <c r="D19" s="97">
        <v>5127.7</v>
      </c>
      <c r="E19" s="97">
        <v>6100.82</v>
      </c>
      <c r="F19" s="97">
        <v>6816.41</v>
      </c>
    </row>
    <row r="20" spans="1:6" x14ac:dyDescent="0.3">
      <c r="A20" t="s">
        <v>319</v>
      </c>
      <c r="B20">
        <v>-295.48</v>
      </c>
      <c r="C20">
        <v>-571.01</v>
      </c>
      <c r="D20">
        <v>-180.31</v>
      </c>
      <c r="E20">
        <v>-209.42</v>
      </c>
      <c r="F20">
        <v>0</v>
      </c>
    </row>
    <row r="21" spans="1:6" x14ac:dyDescent="0.3">
      <c r="A21" t="s">
        <v>320</v>
      </c>
      <c r="B21" s="97">
        <v>4216.6099999999997</v>
      </c>
      <c r="C21" s="97">
        <v>4484.16</v>
      </c>
      <c r="D21" s="97">
        <v>4947.3900000000003</v>
      </c>
      <c r="E21" s="97">
        <v>5891.4</v>
      </c>
      <c r="F21" s="97">
        <v>6816.41</v>
      </c>
    </row>
    <row r="22" spans="1:6" x14ac:dyDescent="0.3">
      <c r="A22" s="39" t="s">
        <v>321</v>
      </c>
      <c r="B22" s="268">
        <v>10291.049999999999</v>
      </c>
      <c r="C22" s="268">
        <v>12624.87</v>
      </c>
      <c r="D22" s="268">
        <v>15569.72</v>
      </c>
      <c r="E22" s="268">
        <v>17687.39</v>
      </c>
      <c r="F22" s="268">
        <v>19159.400000000001</v>
      </c>
    </row>
    <row r="23" spans="1:6" x14ac:dyDescent="0.3">
      <c r="A23" t="s">
        <v>322</v>
      </c>
      <c r="B23" s="97">
        <v>10291.049999999999</v>
      </c>
      <c r="C23" s="97">
        <v>12624.87</v>
      </c>
      <c r="D23" s="97">
        <v>15569.72</v>
      </c>
      <c r="E23" s="97">
        <v>17687.39</v>
      </c>
      <c r="F23" s="97">
        <v>19159.400000000001</v>
      </c>
    </row>
    <row r="24" spans="1:6" x14ac:dyDescent="0.3">
      <c r="A24" t="s">
        <v>323</v>
      </c>
      <c r="B24" s="97">
        <v>10291.049999999999</v>
      </c>
      <c r="C24" s="97">
        <v>12624.87</v>
      </c>
      <c r="D24" s="97">
        <v>15569.72</v>
      </c>
      <c r="E24" s="97">
        <v>17687.39</v>
      </c>
      <c r="F24" s="97">
        <v>19159.400000000001</v>
      </c>
    </row>
    <row r="25" spans="1:6" x14ac:dyDescent="0.3">
      <c r="A25" t="s">
        <v>127</v>
      </c>
      <c r="B25" s="97">
        <v>-1749.91</v>
      </c>
      <c r="C25" s="97">
        <v>-2059.9</v>
      </c>
      <c r="D25" s="97">
        <v>-2487.9899999999998</v>
      </c>
      <c r="E25" s="97">
        <v>-2636.22</v>
      </c>
      <c r="F25" s="97">
        <v>-2869.89</v>
      </c>
    </row>
    <row r="26" spans="1:6" x14ac:dyDescent="0.3">
      <c r="A26" t="s">
        <v>324</v>
      </c>
      <c r="B26">
        <v>128.19</v>
      </c>
      <c r="C26">
        <v>-94.25</v>
      </c>
      <c r="D26">
        <v>-22.62</v>
      </c>
      <c r="E26">
        <v>-14.06</v>
      </c>
      <c r="F26">
        <v>-205.52</v>
      </c>
    </row>
    <row r="27" spans="1:6" x14ac:dyDescent="0.3">
      <c r="A27" t="s">
        <v>325</v>
      </c>
      <c r="B27" s="97">
        <v>8669.33</v>
      </c>
      <c r="C27" s="97">
        <v>10470.719999999999</v>
      </c>
      <c r="D27" s="97">
        <v>13059.11</v>
      </c>
      <c r="E27" s="97">
        <v>15037.11</v>
      </c>
      <c r="F27" s="97">
        <v>16083.99</v>
      </c>
    </row>
    <row r="28" spans="1:6" x14ac:dyDescent="0.3">
      <c r="A28" t="s">
        <v>326</v>
      </c>
    </row>
    <row r="29" spans="1:6" x14ac:dyDescent="0.3">
      <c r="A29" t="s">
        <v>327</v>
      </c>
    </row>
    <row r="30" spans="1:6" x14ac:dyDescent="0.3">
      <c r="A30" t="s">
        <v>328</v>
      </c>
      <c r="B30">
        <v>62</v>
      </c>
      <c r="C30">
        <v>75</v>
      </c>
      <c r="D30">
        <v>94</v>
      </c>
      <c r="E30">
        <v>109</v>
      </c>
      <c r="F30">
        <v>117</v>
      </c>
    </row>
    <row r="31" spans="1:6" x14ac:dyDescent="0.3">
      <c r="A31" t="s">
        <v>329</v>
      </c>
      <c r="B31">
        <v>62</v>
      </c>
      <c r="C31">
        <v>74</v>
      </c>
      <c r="D31">
        <v>94</v>
      </c>
      <c r="E31">
        <v>109</v>
      </c>
      <c r="F31">
        <v>117</v>
      </c>
    </row>
    <row r="32" spans="1:6" x14ac:dyDescent="0.3">
      <c r="A32" t="s">
        <v>330</v>
      </c>
    </row>
    <row r="33" spans="1:6" x14ac:dyDescent="0.3">
      <c r="A33" t="s">
        <v>331</v>
      </c>
      <c r="B33" s="97">
        <v>2528.46</v>
      </c>
      <c r="C33" s="97">
        <v>3091.42</v>
      </c>
      <c r="D33" s="97">
        <v>4216.95</v>
      </c>
      <c r="E33" s="97">
        <v>3849.57</v>
      </c>
      <c r="F33" s="97">
        <f>E33</f>
        <v>3849.57</v>
      </c>
    </row>
    <row r="35" spans="1:6" x14ac:dyDescent="0.3">
      <c r="B35" s="97">
        <f>SUM(B14,B16,B21)</f>
        <v>148691.11999999997</v>
      </c>
      <c r="C35" s="97">
        <f>B4-B35</f>
        <v>10097.190000000031</v>
      </c>
    </row>
    <row r="36" spans="1:6" x14ac:dyDescent="0.3">
      <c r="C36" s="97">
        <f>B22-C35</f>
        <v>193.85999999996784</v>
      </c>
    </row>
    <row r="40" spans="1:6" x14ac:dyDescent="0.3">
      <c r="B40" s="40" t="s">
        <v>364</v>
      </c>
      <c r="C40" s="270" t="s">
        <v>365</v>
      </c>
      <c r="D40" s="270" t="s">
        <v>0</v>
      </c>
      <c r="E40" s="270" t="s">
        <v>366</v>
      </c>
    </row>
    <row r="41" spans="1:6" x14ac:dyDescent="0.3">
      <c r="B41" s="58">
        <v>1</v>
      </c>
      <c r="C41">
        <v>2017</v>
      </c>
      <c r="D41" s="268">
        <v>110655.92</v>
      </c>
      <c r="E41" t="s">
        <v>88</v>
      </c>
    </row>
    <row r="42" spans="1:6" x14ac:dyDescent="0.3">
      <c r="B42" s="58">
        <v>2</v>
      </c>
      <c r="C42">
        <v>2018</v>
      </c>
      <c r="D42" s="97">
        <v>121095.19</v>
      </c>
      <c r="E42" s="24">
        <f>D42/D41-1</f>
        <v>9.433991421335608E-2</v>
      </c>
    </row>
    <row r="43" spans="1:6" x14ac:dyDescent="0.3">
      <c r="B43" s="58">
        <v>3</v>
      </c>
      <c r="C43">
        <v>2019</v>
      </c>
      <c r="D43" s="97">
        <v>137056.82</v>
      </c>
      <c r="E43" s="24">
        <f t="shared" ref="E43:E50" si="0">D43/D42-1</f>
        <v>0.1318106028819146</v>
      </c>
    </row>
    <row r="44" spans="1:6" x14ac:dyDescent="0.3">
      <c r="B44" s="58">
        <v>4</v>
      </c>
      <c r="C44">
        <v>2020</v>
      </c>
      <c r="D44" s="97">
        <v>147813.26</v>
      </c>
      <c r="E44" s="24">
        <f t="shared" si="0"/>
        <v>7.8481610765520404E-2</v>
      </c>
    </row>
    <row r="45" spans="1:6" x14ac:dyDescent="0.3">
      <c r="B45" s="58">
        <v>5</v>
      </c>
      <c r="C45">
        <v>2021</v>
      </c>
      <c r="D45" s="97">
        <v>139408.38</v>
      </c>
      <c r="E45" s="24">
        <f t="shared" si="0"/>
        <v>-5.686147508011119E-2</v>
      </c>
    </row>
    <row r="46" spans="1:6" x14ac:dyDescent="0.3">
      <c r="B46" s="58">
        <v>6</v>
      </c>
      <c r="C46">
        <v>2022</v>
      </c>
      <c r="D46" s="268">
        <v>158788.31</v>
      </c>
      <c r="E46" s="24">
        <f t="shared" si="0"/>
        <v>0.13901553120407817</v>
      </c>
    </row>
    <row r="47" spans="1:6" x14ac:dyDescent="0.3">
      <c r="B47" s="58">
        <v>7</v>
      </c>
      <c r="C47">
        <v>2023</v>
      </c>
      <c r="D47" s="268">
        <v>186269.87</v>
      </c>
      <c r="E47" s="24">
        <f t="shared" si="0"/>
        <v>0.17307042313127452</v>
      </c>
    </row>
    <row r="48" spans="1:6" x14ac:dyDescent="0.3">
      <c r="B48" s="58">
        <v>8</v>
      </c>
      <c r="C48">
        <v>2024</v>
      </c>
      <c r="D48" s="268">
        <v>225270.94</v>
      </c>
      <c r="E48" s="24">
        <f t="shared" si="0"/>
        <v>0.20937938057292893</v>
      </c>
    </row>
    <row r="49" spans="2:5" x14ac:dyDescent="0.3">
      <c r="B49" s="58">
        <v>9</v>
      </c>
      <c r="C49">
        <v>2025</v>
      </c>
      <c r="D49" s="268">
        <v>259859.27</v>
      </c>
      <c r="E49" s="24">
        <f t="shared" si="0"/>
        <v>0.15354102042633633</v>
      </c>
    </row>
    <row r="50" spans="2:5" x14ac:dyDescent="0.3">
      <c r="B50" s="58">
        <v>10</v>
      </c>
      <c r="C50">
        <v>2026</v>
      </c>
      <c r="D50" s="268">
        <v>291635.03999999998</v>
      </c>
      <c r="E50" s="24">
        <f t="shared" si="0"/>
        <v>0.12228068677326775</v>
      </c>
    </row>
    <row r="51" spans="2:5" x14ac:dyDescent="0.3">
      <c r="B51" s="271">
        <v>11</v>
      </c>
    </row>
    <row r="52" spans="2:5" x14ac:dyDescent="0.3">
      <c r="B52" s="271">
        <v>12</v>
      </c>
    </row>
    <row r="54" spans="2:5" x14ac:dyDescent="0.3">
      <c r="B54" t="s">
        <v>367</v>
      </c>
      <c r="C54" s="24">
        <f>FORECAST(B51,E41:E50,B41:B50)</f>
        <v>0.17184100337921129</v>
      </c>
    </row>
  </sheetData>
  <hyperlinks>
    <hyperlink ref="F1" location="'(IS)'!A1" display="'(IS)'!A1" xr:uid="{B4C1D291-7B78-40DC-A014-80D9EF23C4E5}"/>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241AD-851F-4DAE-B6C7-7124BF216469}">
  <sheetPr codeName="Sheet26"/>
  <dimension ref="A1:U45"/>
  <sheetViews>
    <sheetView showGridLines="0" topLeftCell="A20" workbookViewId="0">
      <selection activeCell="B45" sqref="B45"/>
    </sheetView>
  </sheetViews>
  <sheetFormatPr defaultColWidth="0" defaultRowHeight="14.4" x14ac:dyDescent="0.3"/>
  <cols>
    <col min="1" max="1" width="41.44140625" style="4" customWidth="1"/>
    <col min="2" max="6" width="19.33203125" style="4" customWidth="1"/>
    <col min="7" max="11" width="13.88671875" style="4" hidden="1" customWidth="1"/>
    <col min="12" max="16384" width="8.77734375" style="4" hidden="1"/>
  </cols>
  <sheetData>
    <row r="1" spans="1:21" ht="22.8" x14ac:dyDescent="0.3">
      <c r="A1" s="14" t="s">
        <v>5</v>
      </c>
      <c r="F1" s="210" t="s">
        <v>190</v>
      </c>
    </row>
    <row r="2" spans="1:21" ht="15" thickBot="1" x14ac:dyDescent="0.35">
      <c r="A2"/>
      <c r="B2" s="242">
        <v>44621</v>
      </c>
      <c r="C2" s="243">
        <v>44986</v>
      </c>
      <c r="D2" s="242">
        <v>45352</v>
      </c>
      <c r="E2" s="243">
        <v>45717</v>
      </c>
      <c r="F2" s="243">
        <v>46082</v>
      </c>
      <c r="G2" s="228"/>
      <c r="H2" s="227"/>
      <c r="I2" s="228"/>
      <c r="J2" s="227"/>
      <c r="K2" s="228"/>
      <c r="L2" s="225"/>
      <c r="M2" s="226" t="s">
        <v>298</v>
      </c>
      <c r="N2" s="225"/>
      <c r="O2" s="226" t="s">
        <v>299</v>
      </c>
      <c r="P2" s="225"/>
      <c r="Q2" s="226" t="s">
        <v>300</v>
      </c>
      <c r="R2" s="225"/>
      <c r="S2" s="226" t="s">
        <v>301</v>
      </c>
      <c r="T2" s="225"/>
      <c r="U2" s="226" t="s">
        <v>302</v>
      </c>
    </row>
    <row r="3" spans="1:21" x14ac:dyDescent="0.3">
      <c r="A3" s="244" t="s">
        <v>332</v>
      </c>
      <c r="B3" s="245"/>
      <c r="C3" s="245"/>
      <c r="D3" s="245"/>
      <c r="E3" s="245"/>
      <c r="F3" s="245"/>
      <c r="G3" s="229"/>
      <c r="H3" s="229"/>
      <c r="I3" s="229"/>
      <c r="J3" s="229"/>
      <c r="K3" s="229"/>
      <c r="L3" s="224"/>
      <c r="M3" s="224"/>
      <c r="N3" s="224"/>
      <c r="O3" s="224"/>
      <c r="P3" s="224"/>
      <c r="Q3" s="224"/>
      <c r="R3" s="224"/>
      <c r="S3" s="224"/>
      <c r="T3" s="224"/>
      <c r="U3" s="224"/>
    </row>
    <row r="4" spans="1:21" x14ac:dyDescent="0.3">
      <c r="A4" s="246" t="s">
        <v>333</v>
      </c>
      <c r="B4" s="247"/>
      <c r="C4" s="247"/>
      <c r="D4" s="247"/>
      <c r="E4" s="247"/>
      <c r="F4" s="247"/>
      <c r="G4" s="230"/>
      <c r="H4" s="230"/>
      <c r="I4" s="230"/>
      <c r="J4" s="230"/>
      <c r="K4" s="230"/>
      <c r="L4" s="224"/>
      <c r="M4" s="224"/>
      <c r="N4" s="224"/>
      <c r="O4" s="224"/>
      <c r="P4" s="224"/>
      <c r="Q4" s="224"/>
      <c r="R4" s="224"/>
      <c r="S4" s="224"/>
      <c r="T4" s="224"/>
      <c r="U4" s="224"/>
    </row>
    <row r="5" spans="1:21" x14ac:dyDescent="0.3">
      <c r="A5" s="244" t="s">
        <v>334</v>
      </c>
      <c r="B5" s="248">
        <v>281.01</v>
      </c>
      <c r="C5" s="248">
        <v>281.10000000000002</v>
      </c>
      <c r="D5" s="248">
        <v>274.93</v>
      </c>
      <c r="E5" s="248">
        <v>275.04000000000002</v>
      </c>
      <c r="F5" s="248">
        <v>275.13</v>
      </c>
      <c r="G5" s="231"/>
      <c r="H5" s="231"/>
      <c r="I5" s="231"/>
      <c r="J5" s="231"/>
      <c r="K5" s="231"/>
      <c r="L5" s="224"/>
      <c r="M5" s="224"/>
      <c r="N5" s="224"/>
      <c r="O5" s="224"/>
      <c r="P5" s="224"/>
      <c r="Q5" s="224"/>
      <c r="R5" s="224"/>
      <c r="S5" s="224"/>
      <c r="T5" s="224"/>
      <c r="U5" s="224"/>
    </row>
    <row r="6" spans="1:21" x14ac:dyDescent="0.3">
      <c r="A6" s="249" t="s">
        <v>335</v>
      </c>
      <c r="B6" s="245">
        <v>66743.66</v>
      </c>
      <c r="C6" s="245">
        <v>71172.23</v>
      </c>
      <c r="D6" s="245">
        <v>64015.42</v>
      </c>
      <c r="E6" s="245">
        <v>71620.800000000003</v>
      </c>
      <c r="F6" s="245">
        <v>74257.77</v>
      </c>
      <c r="G6" s="229"/>
      <c r="H6" s="229"/>
      <c r="I6" s="229"/>
      <c r="J6" s="229"/>
      <c r="K6" s="229"/>
      <c r="L6" s="224"/>
      <c r="M6" s="224"/>
      <c r="N6" s="224"/>
      <c r="O6" s="224"/>
      <c r="P6" s="224"/>
      <c r="Q6" s="224"/>
      <c r="R6" s="224"/>
      <c r="S6" s="224"/>
      <c r="T6" s="224"/>
      <c r="U6" s="224"/>
    </row>
    <row r="7" spans="1:21" x14ac:dyDescent="0.3">
      <c r="A7" s="249" t="s">
        <v>336</v>
      </c>
      <c r="B7" s="245">
        <v>89.38</v>
      </c>
      <c r="C7" s="245">
        <v>74.62</v>
      </c>
      <c r="D7" s="245">
        <v>125.69</v>
      </c>
      <c r="E7" s="245">
        <v>0</v>
      </c>
      <c r="F7" s="245">
        <v>0</v>
      </c>
      <c r="G7" s="229"/>
      <c r="H7" s="229"/>
      <c r="I7" s="229"/>
      <c r="J7" s="229"/>
      <c r="K7" s="229"/>
      <c r="L7" s="224"/>
      <c r="M7" s="224"/>
      <c r="N7" s="224"/>
      <c r="O7" s="224"/>
      <c r="P7" s="224"/>
      <c r="Q7" s="224"/>
      <c r="R7" s="224"/>
      <c r="S7" s="224"/>
      <c r="T7" s="224"/>
      <c r="U7" s="224"/>
    </row>
    <row r="8" spans="1:21" x14ac:dyDescent="0.3">
      <c r="A8" s="261" t="s">
        <v>337</v>
      </c>
      <c r="B8" s="262">
        <v>67114.05</v>
      </c>
      <c r="C8" s="262">
        <v>71527.95</v>
      </c>
      <c r="D8" s="262">
        <v>64416.04</v>
      </c>
      <c r="E8" s="262">
        <v>71895.839999999997</v>
      </c>
      <c r="F8" s="262">
        <v>74532.899999999994</v>
      </c>
      <c r="G8" s="229"/>
      <c r="H8" s="229"/>
      <c r="I8" s="229"/>
      <c r="J8" s="229"/>
      <c r="K8" s="229"/>
      <c r="L8" s="224"/>
      <c r="M8" s="224"/>
      <c r="N8" s="224"/>
      <c r="O8" s="224"/>
      <c r="P8" s="224"/>
      <c r="Q8" s="224"/>
      <c r="R8" s="224"/>
      <c r="S8" s="224"/>
      <c r="T8" s="224"/>
      <c r="U8" s="224"/>
    </row>
    <row r="9" spans="1:21" x14ac:dyDescent="0.3">
      <c r="A9" s="263" t="s">
        <v>338</v>
      </c>
      <c r="B9" s="247"/>
      <c r="C9" s="247"/>
      <c r="D9" s="247"/>
      <c r="E9" s="247"/>
      <c r="F9" s="247"/>
      <c r="G9" s="230"/>
      <c r="H9" s="230"/>
      <c r="I9" s="230"/>
      <c r="J9" s="230"/>
      <c r="K9" s="230"/>
      <c r="L9" s="224"/>
      <c r="M9" s="224"/>
      <c r="N9" s="224"/>
      <c r="O9" s="224"/>
      <c r="P9" s="224"/>
      <c r="Q9" s="224"/>
      <c r="R9" s="224"/>
      <c r="S9" s="224"/>
      <c r="T9" s="224"/>
      <c r="U9" s="224"/>
    </row>
    <row r="10" spans="1:21" x14ac:dyDescent="0.3">
      <c r="A10" s="244" t="s">
        <v>339</v>
      </c>
      <c r="B10" s="251">
        <v>12968.41</v>
      </c>
      <c r="C10" s="251">
        <v>9390.85</v>
      </c>
      <c r="D10" s="251">
        <v>11931.14</v>
      </c>
      <c r="E10" s="251">
        <v>9286</v>
      </c>
      <c r="F10" s="251">
        <v>9787.67</v>
      </c>
      <c r="G10" s="232"/>
      <c r="H10" s="232"/>
      <c r="I10" s="232"/>
      <c r="J10" s="232"/>
      <c r="K10" s="232"/>
      <c r="L10" s="224"/>
      <c r="M10" s="224"/>
      <c r="N10" s="224"/>
      <c r="O10" s="224"/>
      <c r="P10" s="224"/>
      <c r="Q10" s="224"/>
      <c r="R10" s="224"/>
      <c r="S10" s="224"/>
      <c r="T10" s="224"/>
      <c r="U10" s="224"/>
    </row>
    <row r="11" spans="1:21" x14ac:dyDescent="0.3">
      <c r="A11" s="244" t="s">
        <v>340</v>
      </c>
      <c r="B11" s="245">
        <v>207.07</v>
      </c>
      <c r="C11" s="245">
        <v>165.58</v>
      </c>
      <c r="D11" s="245">
        <v>210.73</v>
      </c>
      <c r="E11" s="245">
        <v>359.73</v>
      </c>
      <c r="F11" s="245">
        <v>662.94</v>
      </c>
      <c r="G11" s="229"/>
      <c r="H11" s="229"/>
      <c r="I11" s="229"/>
      <c r="J11" s="229"/>
      <c r="K11" s="229"/>
      <c r="L11" s="224"/>
      <c r="M11" s="224"/>
      <c r="N11" s="224"/>
      <c r="O11" s="224"/>
      <c r="P11" s="224"/>
      <c r="Q11" s="224"/>
      <c r="R11" s="224"/>
      <c r="S11" s="224"/>
      <c r="T11" s="224"/>
      <c r="U11" s="224"/>
    </row>
    <row r="12" spans="1:21" x14ac:dyDescent="0.3">
      <c r="A12" s="244" t="s">
        <v>341</v>
      </c>
      <c r="B12" s="248">
        <v>645.27</v>
      </c>
      <c r="C12" s="248">
        <v>636.97</v>
      </c>
      <c r="D12" s="248">
        <v>697.73</v>
      </c>
      <c r="E12" s="248">
        <v>765.72</v>
      </c>
      <c r="F12" s="248">
        <v>769.32</v>
      </c>
      <c r="G12" s="231"/>
      <c r="H12" s="231"/>
      <c r="I12" s="231"/>
      <c r="J12" s="231"/>
      <c r="K12" s="231"/>
      <c r="L12" s="224"/>
      <c r="M12" s="224"/>
      <c r="N12" s="224"/>
      <c r="O12" s="224"/>
      <c r="P12" s="224"/>
      <c r="Q12" s="224"/>
      <c r="R12" s="224"/>
      <c r="S12" s="224"/>
      <c r="T12" s="224"/>
      <c r="U12" s="224"/>
    </row>
    <row r="13" spans="1:21" x14ac:dyDescent="0.3">
      <c r="A13" s="264" t="s">
        <v>73</v>
      </c>
      <c r="B13" s="262">
        <v>13820.75</v>
      </c>
      <c r="C13" s="262">
        <v>10193.4</v>
      </c>
      <c r="D13" s="262">
        <v>12839.6</v>
      </c>
      <c r="E13" s="262">
        <v>10411.450000000001</v>
      </c>
      <c r="F13" s="262">
        <v>11219.93</v>
      </c>
      <c r="G13" s="229"/>
      <c r="H13" s="229"/>
      <c r="I13" s="229"/>
      <c r="J13" s="229"/>
      <c r="K13" s="229"/>
      <c r="L13" s="224"/>
      <c r="M13" s="224"/>
      <c r="N13" s="224"/>
      <c r="O13" s="224"/>
      <c r="P13" s="224"/>
      <c r="Q13" s="224"/>
      <c r="R13" s="224"/>
      <c r="S13" s="224"/>
      <c r="T13" s="224"/>
      <c r="U13" s="224"/>
    </row>
    <row r="14" spans="1:21" x14ac:dyDescent="0.3">
      <c r="A14" s="263" t="s">
        <v>342</v>
      </c>
      <c r="B14" s="247"/>
      <c r="C14" s="247"/>
      <c r="D14" s="247"/>
      <c r="E14" s="247"/>
      <c r="F14" s="247"/>
      <c r="G14" s="230"/>
      <c r="H14" s="230"/>
      <c r="I14" s="230"/>
      <c r="J14" s="230"/>
      <c r="K14" s="230"/>
      <c r="L14" s="224"/>
      <c r="M14" s="224"/>
      <c r="N14" s="224"/>
      <c r="O14" s="224"/>
      <c r="P14" s="224"/>
      <c r="Q14" s="224"/>
      <c r="R14" s="224"/>
      <c r="S14" s="224"/>
      <c r="T14" s="224"/>
      <c r="U14" s="224"/>
    </row>
    <row r="15" spans="1:21" x14ac:dyDescent="0.3">
      <c r="A15" s="244" t="s">
        <v>343</v>
      </c>
      <c r="B15" s="245">
        <v>7329.88</v>
      </c>
      <c r="C15" s="245">
        <v>8760.24</v>
      </c>
      <c r="D15" s="245">
        <v>10609.33</v>
      </c>
      <c r="E15" s="245">
        <v>12648.88</v>
      </c>
      <c r="F15" s="245">
        <v>1593.46</v>
      </c>
      <c r="G15" s="229"/>
      <c r="H15" s="229"/>
      <c r="I15" s="229"/>
      <c r="J15" s="229"/>
      <c r="K15" s="229"/>
      <c r="L15" s="224"/>
      <c r="M15" s="224"/>
      <c r="N15" s="224"/>
      <c r="O15" s="224"/>
      <c r="P15" s="224"/>
      <c r="Q15" s="224"/>
      <c r="R15" s="224"/>
      <c r="S15" s="224"/>
      <c r="T15" s="224"/>
      <c r="U15" s="224"/>
    </row>
    <row r="16" spans="1:21" x14ac:dyDescent="0.3">
      <c r="A16" s="244" t="s">
        <v>11</v>
      </c>
      <c r="B16" s="245">
        <v>45385.34</v>
      </c>
      <c r="C16" s="245">
        <v>41780.370000000003</v>
      </c>
      <c r="D16" s="245">
        <v>40846.33</v>
      </c>
      <c r="E16" s="245">
        <v>38795.99</v>
      </c>
      <c r="F16" s="245">
        <v>49140.51</v>
      </c>
      <c r="G16" s="231"/>
      <c r="H16" s="231"/>
      <c r="I16" s="231"/>
      <c r="J16" s="231"/>
      <c r="K16" s="231"/>
      <c r="L16" s="224"/>
      <c r="M16" s="224"/>
      <c r="N16" s="224"/>
      <c r="O16" s="224"/>
      <c r="P16" s="224"/>
      <c r="Q16" s="224"/>
      <c r="R16" s="224"/>
      <c r="S16" s="224"/>
      <c r="T16" s="224"/>
      <c r="U16" s="224"/>
    </row>
    <row r="17" spans="1:21" x14ac:dyDescent="0.3">
      <c r="A17" s="244" t="s">
        <v>344</v>
      </c>
      <c r="B17" s="245">
        <v>32990.78</v>
      </c>
      <c r="C17" s="245">
        <v>38330.160000000003</v>
      </c>
      <c r="D17" s="245">
        <v>44919.82</v>
      </c>
      <c r="E17" s="245">
        <v>50265.96</v>
      </c>
      <c r="F17" s="245">
        <v>68948.95</v>
      </c>
      <c r="G17" s="231"/>
      <c r="H17" s="229"/>
      <c r="I17" s="229"/>
      <c r="J17" s="229"/>
      <c r="K17" s="229"/>
      <c r="L17" s="224"/>
      <c r="M17" s="224"/>
      <c r="N17" s="224"/>
      <c r="O17" s="224"/>
      <c r="P17" s="224"/>
      <c r="Q17" s="224"/>
      <c r="R17" s="224"/>
      <c r="S17" s="224"/>
      <c r="T17" s="224"/>
      <c r="U17" s="224"/>
    </row>
    <row r="18" spans="1:21" x14ac:dyDescent="0.3">
      <c r="A18" s="250" t="s">
        <v>345</v>
      </c>
      <c r="B18" s="247">
        <v>1861.48</v>
      </c>
      <c r="C18" s="247">
        <v>1832.37</v>
      </c>
      <c r="D18" s="247">
        <v>1651.57</v>
      </c>
      <c r="E18" s="247">
        <v>2398.23</v>
      </c>
      <c r="F18" s="247">
        <v>2702.49</v>
      </c>
      <c r="G18" s="230"/>
      <c r="H18" s="230"/>
      <c r="I18" s="230"/>
      <c r="J18" s="230"/>
      <c r="K18" s="230"/>
      <c r="L18" s="224"/>
      <c r="M18" s="224"/>
      <c r="N18" s="224"/>
      <c r="O18" s="224"/>
      <c r="P18" s="224"/>
      <c r="Q18" s="224"/>
      <c r="R18" s="224"/>
      <c r="S18" s="224"/>
      <c r="T18" s="224"/>
      <c r="U18" s="224"/>
    </row>
    <row r="19" spans="1:21" x14ac:dyDescent="0.3">
      <c r="A19" s="261" t="s">
        <v>72</v>
      </c>
      <c r="B19" s="265">
        <v>87567.48</v>
      </c>
      <c r="C19" s="265">
        <v>90703.14</v>
      </c>
      <c r="D19" s="265">
        <v>98027.05</v>
      </c>
      <c r="E19" s="265">
        <v>104109.06</v>
      </c>
      <c r="F19" s="265">
        <v>122385.41</v>
      </c>
      <c r="G19" s="232"/>
      <c r="H19" s="232"/>
      <c r="I19" s="232"/>
      <c r="J19" s="232"/>
      <c r="K19" s="232"/>
      <c r="L19" s="224"/>
      <c r="M19" s="224"/>
      <c r="N19" s="224"/>
      <c r="O19" s="224"/>
      <c r="P19" s="224"/>
      <c r="Q19" s="224"/>
      <c r="R19" s="224"/>
      <c r="S19" s="224"/>
      <c r="T19" s="224"/>
      <c r="U19" s="224"/>
    </row>
    <row r="20" spans="1:21" x14ac:dyDescent="0.3">
      <c r="A20" s="261" t="s">
        <v>346</v>
      </c>
      <c r="B20" s="262">
        <v>168502.28</v>
      </c>
      <c r="C20" s="262">
        <v>172424.49</v>
      </c>
      <c r="D20" s="262">
        <v>175282.69</v>
      </c>
      <c r="E20" s="262">
        <v>186416.35</v>
      </c>
      <c r="F20" s="262">
        <v>208138.23999999999</v>
      </c>
      <c r="G20" s="231"/>
      <c r="H20" s="231"/>
      <c r="I20" s="231"/>
      <c r="J20" s="231"/>
      <c r="K20" s="231"/>
      <c r="L20" s="224"/>
      <c r="M20" s="224"/>
      <c r="N20" s="224"/>
      <c r="O20" s="224"/>
      <c r="P20" s="224"/>
      <c r="Q20" s="224"/>
      <c r="R20" s="224"/>
      <c r="S20" s="224"/>
      <c r="T20" s="224"/>
      <c r="U20" s="224"/>
    </row>
    <row r="21" spans="1:21" x14ac:dyDescent="0.3">
      <c r="A21" s="264" t="s">
        <v>347</v>
      </c>
      <c r="B21" s="245"/>
      <c r="C21" s="245"/>
      <c r="D21" s="245"/>
      <c r="E21" s="245"/>
      <c r="F21" s="245"/>
      <c r="G21" s="229"/>
      <c r="H21" s="229"/>
      <c r="I21" s="231"/>
      <c r="J21" s="231"/>
      <c r="K21" s="231"/>
      <c r="L21" s="224"/>
      <c r="M21" s="224"/>
      <c r="N21" s="224"/>
      <c r="O21" s="224"/>
      <c r="P21" s="224"/>
      <c r="Q21" s="224"/>
      <c r="R21" s="224"/>
      <c r="S21" s="224"/>
      <c r="T21" s="224"/>
      <c r="U21" s="224"/>
    </row>
    <row r="22" spans="1:21" x14ac:dyDescent="0.3">
      <c r="A22" s="261" t="s">
        <v>348</v>
      </c>
      <c r="B22" s="245"/>
      <c r="C22" s="245"/>
      <c r="D22" s="245"/>
      <c r="E22" s="245"/>
      <c r="F22" s="245"/>
      <c r="G22" s="229"/>
      <c r="H22" s="229"/>
      <c r="I22" s="229"/>
      <c r="J22" s="229"/>
      <c r="K22" s="229"/>
      <c r="L22" s="224"/>
      <c r="M22" s="224"/>
      <c r="N22" s="224"/>
      <c r="O22" s="224"/>
      <c r="P22" s="224"/>
      <c r="Q22" s="224"/>
      <c r="R22" s="224"/>
      <c r="S22" s="224"/>
      <c r="T22" s="224"/>
      <c r="U22" s="224"/>
    </row>
    <row r="23" spans="1:21" x14ac:dyDescent="0.3">
      <c r="A23" s="244" t="s">
        <v>349</v>
      </c>
      <c r="B23" s="245">
        <v>8328.9599999999991</v>
      </c>
      <c r="C23" s="245">
        <v>8993.2900000000009</v>
      </c>
      <c r="D23" s="245">
        <v>9678.7800000000007</v>
      </c>
      <c r="E23" s="245">
        <v>9717.01</v>
      </c>
      <c r="F23" s="245">
        <v>12154.2</v>
      </c>
      <c r="G23" s="229"/>
      <c r="H23" s="229"/>
      <c r="I23" s="229"/>
      <c r="J23" s="229"/>
      <c r="K23" s="229"/>
      <c r="L23" s="224"/>
      <c r="M23" s="224"/>
      <c r="N23" s="224"/>
      <c r="O23" s="224"/>
      <c r="P23" s="224"/>
      <c r="Q23" s="224"/>
      <c r="R23" s="224"/>
      <c r="S23" s="224"/>
      <c r="T23" s="224"/>
      <c r="U23" s="224"/>
    </row>
    <row r="24" spans="1:21" x14ac:dyDescent="0.3">
      <c r="A24" s="244" t="s">
        <v>14</v>
      </c>
      <c r="B24" s="248">
        <v>194.58</v>
      </c>
      <c r="C24" s="248">
        <v>194.1</v>
      </c>
      <c r="D24" s="248">
        <v>199.62</v>
      </c>
      <c r="E24" s="248">
        <v>229.81</v>
      </c>
      <c r="F24" s="248">
        <v>118.46</v>
      </c>
      <c r="G24" s="231"/>
      <c r="H24" s="231"/>
      <c r="I24" s="231"/>
      <c r="J24" s="231"/>
      <c r="K24" s="231"/>
      <c r="L24" s="224"/>
      <c r="M24" s="224"/>
      <c r="N24" s="224"/>
      <c r="O24" s="224"/>
      <c r="P24" s="224"/>
      <c r="Q24" s="224"/>
      <c r="R24" s="224"/>
      <c r="S24" s="224"/>
      <c r="T24" s="224"/>
      <c r="U24" s="224"/>
    </row>
    <row r="25" spans="1:21" x14ac:dyDescent="0.3">
      <c r="A25" s="246" t="s">
        <v>350</v>
      </c>
      <c r="B25" s="247">
        <v>571.5</v>
      </c>
      <c r="C25" s="247">
        <v>1938.38</v>
      </c>
      <c r="D25" s="247">
        <v>1397.04</v>
      </c>
      <c r="E25" s="247">
        <v>1117.33</v>
      </c>
      <c r="F25" s="247">
        <v>1439.81</v>
      </c>
      <c r="G25" s="230"/>
      <c r="H25" s="230"/>
      <c r="I25" s="230"/>
      <c r="J25" s="230"/>
      <c r="K25" s="230"/>
      <c r="L25" s="224"/>
      <c r="M25" s="224"/>
      <c r="N25" s="224"/>
      <c r="O25" s="224"/>
      <c r="P25" s="224"/>
      <c r="Q25" s="224"/>
      <c r="R25" s="224"/>
      <c r="S25" s="224"/>
      <c r="T25" s="224"/>
      <c r="U25" s="224"/>
    </row>
    <row r="26" spans="1:21" x14ac:dyDescent="0.3">
      <c r="A26" s="249" t="s">
        <v>351</v>
      </c>
      <c r="B26" s="245">
        <v>11.26</v>
      </c>
      <c r="C26" s="245">
        <v>16.39</v>
      </c>
      <c r="D26" s="245">
        <v>26.63</v>
      </c>
      <c r="E26" s="245">
        <v>21.76</v>
      </c>
      <c r="F26" s="245">
        <v>0</v>
      </c>
      <c r="G26" s="229"/>
      <c r="H26" s="229"/>
      <c r="I26" s="229"/>
      <c r="J26" s="229"/>
      <c r="K26" s="229"/>
      <c r="L26" s="224"/>
      <c r="M26" s="224"/>
      <c r="N26" s="224"/>
      <c r="O26" s="224"/>
      <c r="P26" s="224"/>
      <c r="Q26" s="224"/>
      <c r="R26" s="224"/>
      <c r="S26" s="224"/>
      <c r="T26" s="224"/>
      <c r="U26" s="224"/>
    </row>
    <row r="27" spans="1:21" x14ac:dyDescent="0.3">
      <c r="A27" s="252" t="s">
        <v>352</v>
      </c>
      <c r="B27" s="253">
        <v>589.64</v>
      </c>
      <c r="C27" s="253">
        <v>568.57000000000005</v>
      </c>
      <c r="D27" s="254">
        <v>1161.26</v>
      </c>
      <c r="E27" s="254">
        <v>1307.1600000000001</v>
      </c>
      <c r="F27" s="253">
        <v>0</v>
      </c>
      <c r="G27" s="233"/>
      <c r="H27" s="233"/>
      <c r="I27" s="233"/>
      <c r="J27" s="233"/>
      <c r="K27" s="233"/>
      <c r="L27" s="224"/>
      <c r="M27" s="224"/>
      <c r="N27" s="224"/>
      <c r="O27" s="224"/>
      <c r="P27" s="224"/>
      <c r="Q27" s="224"/>
      <c r="R27" s="224"/>
      <c r="S27" s="224"/>
      <c r="T27" s="224"/>
      <c r="U27" s="224"/>
    </row>
    <row r="28" spans="1:21" x14ac:dyDescent="0.3">
      <c r="A28" s="255" t="s">
        <v>353</v>
      </c>
      <c r="B28" s="256">
        <v>9695.94</v>
      </c>
      <c r="C28" s="256">
        <v>11710.73</v>
      </c>
      <c r="D28" s="256">
        <v>12463.33</v>
      </c>
      <c r="E28" s="256">
        <v>12393.07</v>
      </c>
      <c r="F28" s="256">
        <v>13712.47</v>
      </c>
      <c r="G28" s="10"/>
      <c r="H28" s="10"/>
      <c r="I28" s="10"/>
      <c r="J28" s="10"/>
      <c r="K28" s="10"/>
    </row>
    <row r="29" spans="1:21" x14ac:dyDescent="0.3">
      <c r="A29" s="255" t="s">
        <v>354</v>
      </c>
      <c r="B29" s="256">
        <v>27049.5</v>
      </c>
      <c r="C29" s="256">
        <v>27036.97</v>
      </c>
      <c r="D29" s="256">
        <v>30728.77</v>
      </c>
      <c r="E29" s="256">
        <v>32853.879999999997</v>
      </c>
      <c r="F29" s="256">
        <v>26993.91</v>
      </c>
      <c r="G29" s="10"/>
      <c r="H29" s="10"/>
      <c r="I29" s="10"/>
      <c r="J29" s="10"/>
      <c r="K29" s="10"/>
    </row>
    <row r="30" spans="1:21" x14ac:dyDescent="0.3">
      <c r="A30" s="249" t="s">
        <v>355</v>
      </c>
      <c r="B30" s="257">
        <v>1140.3</v>
      </c>
      <c r="C30" s="257">
        <v>1539.14</v>
      </c>
      <c r="D30" s="257">
        <v>1587.12</v>
      </c>
      <c r="E30" s="257">
        <v>1544.69</v>
      </c>
      <c r="F30" s="257">
        <v>3240.44</v>
      </c>
      <c r="G30" s="17"/>
      <c r="H30" s="17"/>
      <c r="I30" s="17"/>
      <c r="J30" s="17"/>
      <c r="K30" s="17"/>
    </row>
    <row r="31" spans="1:21" x14ac:dyDescent="0.3">
      <c r="A31" s="249" t="s">
        <v>356</v>
      </c>
      <c r="B31" s="257">
        <v>4084.58</v>
      </c>
      <c r="C31" s="257">
        <v>3306.81</v>
      </c>
      <c r="D31" s="257">
        <v>579.05999999999995</v>
      </c>
      <c r="E31" s="257">
        <v>726.67</v>
      </c>
      <c r="F31" s="257">
        <v>808.69</v>
      </c>
      <c r="G31" s="17"/>
      <c r="H31" s="17"/>
      <c r="I31" s="17"/>
      <c r="J31" s="17"/>
      <c r="K31" s="17"/>
    </row>
    <row r="32" spans="1:21" x14ac:dyDescent="0.3">
      <c r="A32" s="249" t="s">
        <v>357</v>
      </c>
      <c r="B32" s="257">
        <v>4514.1000000000004</v>
      </c>
      <c r="C32" s="257">
        <v>4290.25</v>
      </c>
      <c r="D32" s="257">
        <v>5255.16</v>
      </c>
      <c r="E32" s="257">
        <v>6325.48</v>
      </c>
      <c r="F32" s="257">
        <v>3471.47</v>
      </c>
      <c r="G32" s="17"/>
      <c r="H32" s="17"/>
      <c r="I32" s="17"/>
      <c r="J32" s="17"/>
      <c r="K32" s="17"/>
    </row>
    <row r="33" spans="1:11" x14ac:dyDescent="0.3">
      <c r="A33" s="264" t="s">
        <v>71</v>
      </c>
      <c r="B33" s="266">
        <v>46484.42</v>
      </c>
      <c r="C33" s="266">
        <v>47883.9</v>
      </c>
      <c r="D33" s="267">
        <v>50613.440000000002</v>
      </c>
      <c r="E33" s="267">
        <v>53843.79</v>
      </c>
      <c r="F33" s="266">
        <v>48226.98</v>
      </c>
      <c r="G33" s="18"/>
      <c r="H33" s="17"/>
      <c r="I33" s="18"/>
      <c r="J33" s="17"/>
      <c r="K33" s="18"/>
    </row>
    <row r="34" spans="1:11" x14ac:dyDescent="0.3">
      <c r="A34" s="264" t="s">
        <v>358</v>
      </c>
      <c r="B34" s="258"/>
      <c r="C34" s="258"/>
      <c r="D34" s="258"/>
      <c r="E34" s="258"/>
      <c r="F34" s="258"/>
      <c r="G34" s="18"/>
      <c r="H34" s="18"/>
      <c r="I34" s="18"/>
      <c r="J34" s="18"/>
      <c r="K34" s="18"/>
    </row>
    <row r="35" spans="1:11" x14ac:dyDescent="0.3">
      <c r="A35" s="249" t="s">
        <v>359</v>
      </c>
      <c r="B35" s="257">
        <v>18478.22</v>
      </c>
      <c r="C35" s="257">
        <v>20224.29</v>
      </c>
      <c r="D35" s="257">
        <v>16813.34</v>
      </c>
      <c r="E35" s="257">
        <v>24788.29</v>
      </c>
      <c r="F35" s="257">
        <v>29612.560000000001</v>
      </c>
      <c r="G35" s="17"/>
      <c r="H35" s="17"/>
      <c r="I35" s="17"/>
      <c r="J35" s="17"/>
      <c r="K35" s="17"/>
    </row>
    <row r="36" spans="1:11" x14ac:dyDescent="0.3">
      <c r="A36" s="255" t="s">
        <v>16</v>
      </c>
      <c r="B36" s="256">
        <v>3132.51</v>
      </c>
      <c r="C36" s="256">
        <v>3428.56</v>
      </c>
      <c r="D36" s="256">
        <v>3520.97</v>
      </c>
      <c r="E36" s="256">
        <v>3398.77</v>
      </c>
      <c r="F36" s="256">
        <v>3690.92</v>
      </c>
      <c r="G36" s="10"/>
      <c r="H36" s="10"/>
      <c r="I36" s="10"/>
      <c r="J36" s="10"/>
      <c r="K36" s="10"/>
    </row>
    <row r="37" spans="1:11" x14ac:dyDescent="0.3">
      <c r="A37" t="s">
        <v>360</v>
      </c>
      <c r="B37" s="97">
        <v>36347.35</v>
      </c>
      <c r="C37" s="97">
        <v>33152.58</v>
      </c>
      <c r="D37" s="97">
        <v>36961.550000000003</v>
      </c>
      <c r="E37" s="97">
        <v>38330.18</v>
      </c>
      <c r="F37" s="97">
        <v>45330.3</v>
      </c>
    </row>
    <row r="38" spans="1:11" x14ac:dyDescent="0.3">
      <c r="A38" t="s">
        <v>361</v>
      </c>
      <c r="B38" s="97">
        <v>6498.51</v>
      </c>
      <c r="C38" s="97">
        <v>4569.6400000000003</v>
      </c>
      <c r="D38" s="97">
        <v>4769.1899999999996</v>
      </c>
      <c r="E38" s="97">
        <v>4346.6099999999997</v>
      </c>
      <c r="F38" s="97">
        <v>7544.32</v>
      </c>
      <c r="G38" s="16"/>
    </row>
    <row r="39" spans="1:11" x14ac:dyDescent="0.3">
      <c r="A39" t="s">
        <v>362</v>
      </c>
      <c r="B39">
        <v>249.6</v>
      </c>
      <c r="C39">
        <v>168.29</v>
      </c>
      <c r="D39">
        <v>63.04</v>
      </c>
      <c r="E39">
        <v>635.02</v>
      </c>
      <c r="F39">
        <v>352.71</v>
      </c>
    </row>
    <row r="40" spans="1:11" x14ac:dyDescent="0.3">
      <c r="A40" t="s">
        <v>363</v>
      </c>
      <c r="B40" s="97">
        <v>57311.67</v>
      </c>
      <c r="C40" s="97">
        <v>62997.23</v>
      </c>
      <c r="D40" s="97">
        <v>62541.16</v>
      </c>
      <c r="E40" s="97">
        <v>61073.69</v>
      </c>
      <c r="F40" s="97">
        <v>73380.45</v>
      </c>
    </row>
    <row r="41" spans="1:11" x14ac:dyDescent="0.3">
      <c r="A41" s="39" t="s">
        <v>66</v>
      </c>
      <c r="B41" s="268">
        <v>122017.86</v>
      </c>
      <c r="C41" s="268">
        <v>124540.59</v>
      </c>
      <c r="D41" s="268">
        <v>124669.25</v>
      </c>
      <c r="E41" s="268">
        <v>132572.56</v>
      </c>
      <c r="F41" s="268">
        <v>159911.26</v>
      </c>
    </row>
    <row r="42" spans="1:11" x14ac:dyDescent="0.3">
      <c r="A42" s="39" t="s">
        <v>20</v>
      </c>
      <c r="B42" s="268">
        <v>168502.28</v>
      </c>
      <c r="C42" s="268">
        <v>172424.49</v>
      </c>
      <c r="D42" s="268">
        <v>175282.69</v>
      </c>
      <c r="E42" s="268">
        <v>186416.35</v>
      </c>
      <c r="F42" s="268">
        <v>208138.23999999999</v>
      </c>
    </row>
    <row r="45" spans="1:11" x14ac:dyDescent="0.3">
      <c r="B45" s="13">
        <f>SUM(B23:B32)-B28</f>
        <v>46484.42</v>
      </c>
    </row>
  </sheetData>
  <hyperlinks>
    <hyperlink ref="F1" location="'(BS)'!A1" display="'(BS)'!A1" xr:uid="{7B66C979-4A62-4AB9-B3D5-960774305BE3}"/>
  </hyperlinks>
  <pageMargins left="0.7" right="0.7" top="0.75" bottom="0.75" header="0.3" footer="0.3"/>
  <pageSetup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82D1B-A36E-44AE-8D1C-058CCDC305D4}">
  <sheetPr codeName="Sheet27"/>
  <dimension ref="A1:XFC36"/>
  <sheetViews>
    <sheetView showGridLines="0" topLeftCell="A13" workbookViewId="0">
      <selection activeCell="E33" sqref="E33"/>
    </sheetView>
  </sheetViews>
  <sheetFormatPr defaultColWidth="0" defaultRowHeight="14.4" x14ac:dyDescent="0.3"/>
  <cols>
    <col min="1" max="1" width="40.5546875" style="4" customWidth="1"/>
    <col min="2" max="2" width="13.44140625" style="4" customWidth="1"/>
    <col min="3" max="3" width="14.6640625" style="4" customWidth="1"/>
    <col min="4" max="4" width="11.6640625" style="4" customWidth="1"/>
    <col min="5" max="5" width="16.33203125" style="4" customWidth="1"/>
    <col min="6" max="6" width="13.5546875" style="4" customWidth="1"/>
    <col min="7" max="11" width="20.33203125" style="4" hidden="1" customWidth="1"/>
    <col min="12" max="12" width="7.77734375" style="4" hidden="1" customWidth="1"/>
    <col min="13" max="13" width="8.77734375" style="4" hidden="1"/>
    <col min="14" max="14" width="7.77734375" style="4" hidden="1"/>
    <col min="15" max="15" width="8.77734375" style="4" hidden="1"/>
    <col min="16" max="18" width="0" style="4" hidden="1"/>
    <col min="19" max="16383" width="8.77734375" style="4" hidden="1"/>
    <col min="16384" max="16384" width="0.33203125" style="4" hidden="1" customWidth="1"/>
  </cols>
  <sheetData>
    <row r="1" spans="1:18" ht="22.8" x14ac:dyDescent="0.3">
      <c r="A1" s="3" t="s">
        <v>21</v>
      </c>
      <c r="B1" s="16">
        <f>SUM(B12:B21)</f>
        <v>-5752</v>
      </c>
      <c r="C1" s="16"/>
      <c r="F1" s="210" t="s">
        <v>190</v>
      </c>
    </row>
    <row r="2" spans="1:18" x14ac:dyDescent="0.3">
      <c r="A2" s="238"/>
      <c r="B2" s="239">
        <v>44621</v>
      </c>
      <c r="C2" s="239">
        <v>44986</v>
      </c>
      <c r="D2" s="239">
        <v>45352</v>
      </c>
      <c r="E2" s="239">
        <v>45717</v>
      </c>
      <c r="F2" s="239">
        <v>46082</v>
      </c>
      <c r="G2" s="15"/>
      <c r="M2" s="237">
        <v>46082</v>
      </c>
    </row>
    <row r="3" spans="1:18" x14ac:dyDescent="0.3">
      <c r="A3" s="51" t="s">
        <v>22</v>
      </c>
      <c r="B3" s="240">
        <v>23074</v>
      </c>
      <c r="C3" s="240">
        <v>19164</v>
      </c>
      <c r="D3" s="240">
        <v>22777</v>
      </c>
      <c r="E3" s="240">
        <v>18266</v>
      </c>
      <c r="F3" s="240">
        <v>9151</v>
      </c>
      <c r="G3" s="8"/>
      <c r="M3" s="16">
        <v>9151</v>
      </c>
      <c r="N3" s="16">
        <v>16741</v>
      </c>
    </row>
    <row r="4" spans="1:18" x14ac:dyDescent="0.3">
      <c r="A4" s="51" t="s">
        <v>23</v>
      </c>
      <c r="B4" s="240">
        <f>(16347+10198)</f>
        <v>26545</v>
      </c>
      <c r="C4" s="240">
        <f>18946+4757</f>
        <v>23703</v>
      </c>
      <c r="D4" s="240">
        <f>22525+5379</f>
        <v>27904</v>
      </c>
      <c r="E4" s="240">
        <f>24931+1385</f>
        <v>26316</v>
      </c>
      <c r="F4" s="240">
        <f>29981+15229</f>
        <v>45210</v>
      </c>
      <c r="G4" s="8"/>
      <c r="M4" s="16">
        <v>29981</v>
      </c>
      <c r="N4" s="13">
        <v>33230</v>
      </c>
      <c r="O4" s="13"/>
      <c r="P4" s="13"/>
      <c r="Q4" s="13"/>
      <c r="R4" s="13"/>
    </row>
    <row r="5" spans="1:18" x14ac:dyDescent="0.3">
      <c r="A5" s="48" t="s">
        <v>24</v>
      </c>
      <c r="B5" s="236">
        <v>3012</v>
      </c>
      <c r="C5" s="236">
        <v>-9852</v>
      </c>
      <c r="D5" s="236">
        <v>-4495</v>
      </c>
      <c r="E5" s="236">
        <v>-10643</v>
      </c>
      <c r="F5" s="236">
        <v>-10316</v>
      </c>
      <c r="G5" s="10"/>
      <c r="M5" s="16">
        <v>-10316</v>
      </c>
      <c r="N5" s="13">
        <v>-28151</v>
      </c>
      <c r="O5" s="13"/>
      <c r="P5" s="13"/>
      <c r="Q5" s="13"/>
      <c r="R5" s="13"/>
    </row>
    <row r="6" spans="1:18" x14ac:dyDescent="0.3">
      <c r="A6" s="48" t="s">
        <v>25</v>
      </c>
      <c r="B6" s="241">
        <v>349</v>
      </c>
      <c r="C6" s="236">
        <v>-74</v>
      </c>
      <c r="D6" s="241">
        <v>-476</v>
      </c>
      <c r="E6" s="241">
        <v>245</v>
      </c>
      <c r="F6" s="236">
        <v>-540</v>
      </c>
      <c r="G6" s="9"/>
      <c r="M6" s="4">
        <v>-540</v>
      </c>
      <c r="N6" s="16">
        <v>-2201</v>
      </c>
    </row>
    <row r="7" spans="1:18" x14ac:dyDescent="0.3">
      <c r="A7" s="48" t="s">
        <v>26</v>
      </c>
      <c r="B7" s="236">
        <v>2220</v>
      </c>
      <c r="C7" s="236">
        <v>9678</v>
      </c>
      <c r="D7" s="236">
        <v>5413</v>
      </c>
      <c r="E7" s="236">
        <v>14601</v>
      </c>
      <c r="F7" s="236">
        <v>9835</v>
      </c>
      <c r="G7" s="10"/>
      <c r="M7" s="16">
        <v>9835</v>
      </c>
      <c r="N7" s="16">
        <v>45128</v>
      </c>
    </row>
    <row r="8" spans="1:18" x14ac:dyDescent="0.3">
      <c r="A8" s="48" t="s">
        <v>27</v>
      </c>
      <c r="B8" s="236">
        <v>4618</v>
      </c>
      <c r="C8" s="236">
        <v>5005</v>
      </c>
      <c r="D8" s="236">
        <v>4937</v>
      </c>
      <c r="E8" s="236">
        <v>-5588</v>
      </c>
      <c r="F8" s="236">
        <v>-14208</v>
      </c>
      <c r="G8" s="9"/>
      <c r="M8" s="16">
        <v>-14208</v>
      </c>
      <c r="N8" s="16">
        <v>-25233</v>
      </c>
    </row>
    <row r="9" spans="1:18" x14ac:dyDescent="0.3">
      <c r="A9" s="48" t="s">
        <v>28</v>
      </c>
      <c r="B9" s="236">
        <v>-10198</v>
      </c>
      <c r="C9" s="236">
        <v>-4757</v>
      </c>
      <c r="D9" s="236">
        <v>-5379</v>
      </c>
      <c r="E9" s="236">
        <v>-1385</v>
      </c>
      <c r="F9" s="236">
        <v>-15229</v>
      </c>
      <c r="G9" s="11"/>
      <c r="M9" s="16">
        <v>-15229</v>
      </c>
      <c r="N9" s="16">
        <v>-10458</v>
      </c>
    </row>
    <row r="10" spans="1:18" x14ac:dyDescent="0.3">
      <c r="A10" s="48" t="s">
        <v>29</v>
      </c>
      <c r="B10" s="236">
        <v>-3471</v>
      </c>
      <c r="C10" s="236">
        <v>-4539</v>
      </c>
      <c r="D10" s="236">
        <v>-5127</v>
      </c>
      <c r="E10" s="236">
        <v>-5280</v>
      </c>
      <c r="F10" s="236">
        <v>-5601</v>
      </c>
      <c r="G10" s="8"/>
      <c r="M10" s="16">
        <v>-5601</v>
      </c>
      <c r="N10" s="16">
        <v>-6031</v>
      </c>
    </row>
    <row r="11" spans="1:18" x14ac:dyDescent="0.3">
      <c r="A11" s="51" t="s">
        <v>30</v>
      </c>
      <c r="B11" s="240">
        <v>-5750</v>
      </c>
      <c r="C11" s="240">
        <v>-3585</v>
      </c>
      <c r="D11" s="240">
        <v>-8048</v>
      </c>
      <c r="E11" s="240">
        <v>2179</v>
      </c>
      <c r="F11" s="240">
        <v>-15479</v>
      </c>
      <c r="G11" s="10"/>
      <c r="M11" s="16">
        <v>-15479</v>
      </c>
      <c r="N11" s="16">
        <v>-11380</v>
      </c>
    </row>
    <row r="12" spans="1:18" x14ac:dyDescent="0.3">
      <c r="A12" s="48" t="s">
        <v>31</v>
      </c>
      <c r="B12" s="236">
        <v>-1808</v>
      </c>
      <c r="C12" s="236">
        <v>-3111</v>
      </c>
      <c r="D12" s="236">
        <v>-4144</v>
      </c>
      <c r="E12" s="236">
        <v>-4517</v>
      </c>
      <c r="F12" s="236">
        <v>-4419</v>
      </c>
      <c r="G12" s="10"/>
      <c r="M12" s="16">
        <v>-4419</v>
      </c>
      <c r="N12" s="16">
        <v>-4809</v>
      </c>
    </row>
    <row r="13" spans="1:18" x14ac:dyDescent="0.3">
      <c r="A13" s="48" t="s">
        <v>32</v>
      </c>
      <c r="B13" s="241">
        <v>885</v>
      </c>
      <c r="C13" s="241">
        <v>71</v>
      </c>
      <c r="D13" s="241">
        <v>350</v>
      </c>
      <c r="E13" s="241">
        <v>306</v>
      </c>
      <c r="F13" s="241">
        <v>878</v>
      </c>
      <c r="G13" s="9"/>
      <c r="M13" s="4">
        <v>878</v>
      </c>
      <c r="N13" s="4">
        <v>341</v>
      </c>
    </row>
    <row r="14" spans="1:18" x14ac:dyDescent="0.3">
      <c r="A14" s="48" t="s">
        <v>33</v>
      </c>
      <c r="B14" s="236">
        <v>-18715</v>
      </c>
      <c r="C14" s="236">
        <v>-2156</v>
      </c>
      <c r="D14" s="236">
        <v>-9120</v>
      </c>
      <c r="E14" s="236">
        <v>-4889</v>
      </c>
      <c r="F14" s="236">
        <v>-8235</v>
      </c>
      <c r="G14" s="8"/>
      <c r="M14" s="16">
        <v>-8235</v>
      </c>
      <c r="N14" s="16">
        <v>-12946</v>
      </c>
    </row>
    <row r="15" spans="1:18" x14ac:dyDescent="0.3">
      <c r="A15" s="48" t="s">
        <v>34</v>
      </c>
      <c r="B15" s="236">
        <v>240</v>
      </c>
      <c r="C15" s="236">
        <v>2463</v>
      </c>
      <c r="D15" s="236">
        <v>827</v>
      </c>
      <c r="E15" s="236">
        <v>4931</v>
      </c>
      <c r="F15" s="236">
        <v>1726</v>
      </c>
      <c r="G15" s="10"/>
      <c r="M15" s="16">
        <v>1726</v>
      </c>
      <c r="N15" s="16">
        <v>1190</v>
      </c>
    </row>
    <row r="16" spans="1:18" x14ac:dyDescent="0.3">
      <c r="A16" s="48" t="s">
        <v>35</v>
      </c>
      <c r="B16" s="236">
        <v>1273</v>
      </c>
      <c r="C16" s="241">
        <v>969</v>
      </c>
      <c r="D16" s="236">
        <v>1609</v>
      </c>
      <c r="E16" s="236">
        <v>2408</v>
      </c>
      <c r="F16" s="236">
        <v>2084</v>
      </c>
      <c r="G16" s="9"/>
      <c r="M16" s="16">
        <v>2084</v>
      </c>
      <c r="N16" s="16">
        <v>2701</v>
      </c>
    </row>
    <row r="17" spans="1:14" x14ac:dyDescent="0.3">
      <c r="A17" s="48" t="s">
        <v>36</v>
      </c>
      <c r="B17" s="236">
        <v>203</v>
      </c>
      <c r="C17" s="236">
        <v>161</v>
      </c>
      <c r="D17" s="236">
        <v>157</v>
      </c>
      <c r="E17" s="236">
        <v>226</v>
      </c>
      <c r="F17" s="236">
        <v>144</v>
      </c>
      <c r="G17" s="10"/>
      <c r="M17" s="4">
        <v>144</v>
      </c>
      <c r="N17" s="4">
        <v>327</v>
      </c>
    </row>
    <row r="18" spans="1:14" x14ac:dyDescent="0.3">
      <c r="A18" s="48" t="s">
        <v>37</v>
      </c>
      <c r="B18" s="236">
        <v>0</v>
      </c>
      <c r="C18" s="236">
        <v>0</v>
      </c>
      <c r="D18" s="236">
        <v>0</v>
      </c>
      <c r="E18" s="236">
        <v>0</v>
      </c>
      <c r="F18" s="236">
        <v>0</v>
      </c>
      <c r="G18" s="10"/>
      <c r="M18" s="4">
        <v>0</v>
      </c>
      <c r="N18" s="4">
        <v>0</v>
      </c>
    </row>
    <row r="19" spans="1:14" x14ac:dyDescent="0.3">
      <c r="A19" s="48" t="s">
        <v>38</v>
      </c>
      <c r="B19" s="241">
        <v>303</v>
      </c>
      <c r="C19" s="236">
        <v>1016</v>
      </c>
      <c r="D19" s="236">
        <v>2894</v>
      </c>
      <c r="E19" s="236">
        <v>215</v>
      </c>
      <c r="F19" s="236">
        <v>1095</v>
      </c>
      <c r="G19" s="9"/>
      <c r="M19" s="16">
        <v>1095</v>
      </c>
      <c r="N19" s="4">
        <v>124</v>
      </c>
    </row>
    <row r="20" spans="1:14" x14ac:dyDescent="0.3">
      <c r="A20" s="48" t="s">
        <v>39</v>
      </c>
      <c r="B20" s="241">
        <v>-122</v>
      </c>
      <c r="C20" s="241">
        <v>-88</v>
      </c>
      <c r="D20" s="241">
        <v>-146</v>
      </c>
      <c r="E20" s="241">
        <v>-18</v>
      </c>
      <c r="F20" s="236">
        <v>-2146</v>
      </c>
      <c r="G20" s="10"/>
      <c r="M20" s="16">
        <v>-2146</v>
      </c>
      <c r="N20" s="4">
        <v>-525</v>
      </c>
    </row>
    <row r="21" spans="1:14" x14ac:dyDescent="0.3">
      <c r="A21" s="48" t="s">
        <v>40</v>
      </c>
      <c r="B21" s="236">
        <v>11989</v>
      </c>
      <c r="C21" s="236">
        <v>-2910</v>
      </c>
      <c r="D21" s="241">
        <v>-476</v>
      </c>
      <c r="E21" s="236">
        <v>3517</v>
      </c>
      <c r="F21" s="236">
        <v>-6607</v>
      </c>
      <c r="G21" s="10"/>
      <c r="M21" s="16">
        <v>-6607</v>
      </c>
      <c r="N21" s="16">
        <v>2217</v>
      </c>
    </row>
    <row r="22" spans="1:14" x14ac:dyDescent="0.3">
      <c r="A22" s="51" t="s">
        <v>41</v>
      </c>
      <c r="B22" s="240">
        <v>-15274</v>
      </c>
      <c r="C22" s="240">
        <v>-15181</v>
      </c>
      <c r="D22" s="240">
        <v>-11572</v>
      </c>
      <c r="E22" s="240">
        <v>-25413</v>
      </c>
      <c r="F22" s="240">
        <v>6557</v>
      </c>
      <c r="G22" s="10"/>
      <c r="M22" s="16">
        <v>6557</v>
      </c>
      <c r="N22" s="16">
        <v>-2156</v>
      </c>
    </row>
    <row r="23" spans="1:14" x14ac:dyDescent="0.3">
      <c r="A23" s="48" t="s">
        <v>42</v>
      </c>
      <c r="B23" s="241">
        <v>16</v>
      </c>
      <c r="C23" s="241">
        <v>11</v>
      </c>
      <c r="D23" s="241">
        <v>10</v>
      </c>
      <c r="E23" s="241">
        <v>10</v>
      </c>
      <c r="F23" s="241">
        <v>9</v>
      </c>
      <c r="G23" s="9"/>
      <c r="M23" s="4">
        <v>9</v>
      </c>
      <c r="N23" s="4">
        <v>8</v>
      </c>
    </row>
    <row r="24" spans="1:14" x14ac:dyDescent="0.3">
      <c r="A24" s="48" t="s">
        <v>43</v>
      </c>
      <c r="B24" s="236">
        <v>36325</v>
      </c>
      <c r="C24" s="236">
        <v>27537</v>
      </c>
      <c r="D24" s="236">
        <v>28386</v>
      </c>
      <c r="E24" s="236">
        <v>23175</v>
      </c>
      <c r="F24" s="236">
        <v>46547</v>
      </c>
      <c r="G24" s="10"/>
      <c r="M24" s="16">
        <v>46547</v>
      </c>
      <c r="N24" s="16">
        <v>43731</v>
      </c>
    </row>
    <row r="25" spans="1:14" x14ac:dyDescent="0.3">
      <c r="A25" s="48" t="s">
        <v>44</v>
      </c>
      <c r="B25" s="236">
        <v>-44991</v>
      </c>
      <c r="C25" s="236">
        <v>-35806</v>
      </c>
      <c r="D25" s="236">
        <v>-32795</v>
      </c>
      <c r="E25" s="236">
        <v>-27228</v>
      </c>
      <c r="F25" s="236">
        <v>-30782</v>
      </c>
      <c r="G25" s="10"/>
      <c r="M25" s="16">
        <v>-30782</v>
      </c>
      <c r="N25" s="16">
        <v>-36403</v>
      </c>
    </row>
    <row r="26" spans="1:14" x14ac:dyDescent="0.3">
      <c r="A26" s="48" t="s">
        <v>45</v>
      </c>
      <c r="B26" s="236">
        <v>-3388</v>
      </c>
      <c r="C26" s="236">
        <v>-2968</v>
      </c>
      <c r="D26" s="236">
        <v>-3047</v>
      </c>
      <c r="E26" s="236">
        <v>-3605</v>
      </c>
      <c r="F26" s="236">
        <v>-3609</v>
      </c>
      <c r="G26" s="10"/>
      <c r="M26" s="16">
        <v>-3609</v>
      </c>
      <c r="N26" s="16">
        <v>-3182</v>
      </c>
    </row>
    <row r="27" spans="1:14" x14ac:dyDescent="0.3">
      <c r="A27" s="48" t="s">
        <v>46</v>
      </c>
      <c r="B27" s="236">
        <v>-3651</v>
      </c>
      <c r="C27" s="236">
        <v>-2528</v>
      </c>
      <c r="D27" s="236">
        <v>-3091</v>
      </c>
      <c r="E27" s="236">
        <v>-4217</v>
      </c>
      <c r="F27" s="236">
        <v>-3850</v>
      </c>
      <c r="G27" s="8"/>
      <c r="M27" s="16">
        <v>-3850</v>
      </c>
      <c r="N27" s="16">
        <v>-4676</v>
      </c>
    </row>
    <row r="28" spans="1:14" x14ac:dyDescent="0.3">
      <c r="A28" s="48" t="s">
        <v>47</v>
      </c>
      <c r="B28" s="241">
        <v>-382</v>
      </c>
      <c r="C28" s="241">
        <v>-407</v>
      </c>
      <c r="D28" s="241">
        <v>-423</v>
      </c>
      <c r="E28" s="241">
        <v>-460</v>
      </c>
      <c r="F28" s="241">
        <v>-562</v>
      </c>
      <c r="G28" s="9"/>
      <c r="M28" s="4">
        <v>-562</v>
      </c>
      <c r="N28" s="4">
        <v>-718</v>
      </c>
    </row>
    <row r="29" spans="1:14" x14ac:dyDescent="0.3">
      <c r="A29" s="48" t="s">
        <v>48</v>
      </c>
      <c r="B29" s="236">
        <v>796</v>
      </c>
      <c r="C29" s="236">
        <v>-1020</v>
      </c>
      <c r="D29" s="236">
        <v>-613</v>
      </c>
      <c r="E29" s="236">
        <v>-13088</v>
      </c>
      <c r="F29" s="236">
        <v>-1196</v>
      </c>
      <c r="G29" s="10"/>
      <c r="M29" s="16">
        <v>-1196</v>
      </c>
      <c r="N29" s="4">
        <v>-915</v>
      </c>
    </row>
    <row r="30" spans="1:14" x14ac:dyDescent="0.3">
      <c r="A30" s="48" t="s">
        <v>49</v>
      </c>
      <c r="B30" s="236">
        <v>2049</v>
      </c>
      <c r="C30" s="236">
        <v>397</v>
      </c>
      <c r="D30" s="236">
        <v>3156</v>
      </c>
      <c r="E30" s="236">
        <v>-4968</v>
      </c>
      <c r="F30" s="236">
        <v>228</v>
      </c>
      <c r="G30" s="10"/>
      <c r="M30" s="4">
        <v>228</v>
      </c>
      <c r="N30" s="16">
        <v>3204</v>
      </c>
    </row>
    <row r="31" spans="1:14" x14ac:dyDescent="0.3">
      <c r="A31" s="6"/>
      <c r="B31" s="9"/>
      <c r="C31" s="9"/>
      <c r="D31" s="9"/>
      <c r="E31" s="10"/>
      <c r="F31" s="10"/>
      <c r="G31" s="10"/>
      <c r="H31" s="10"/>
      <c r="I31" s="10"/>
      <c r="J31" s="9"/>
      <c r="K31" s="9"/>
      <c r="L31" s="9"/>
    </row>
    <row r="32" spans="1:14" x14ac:dyDescent="0.3">
      <c r="A32" s="6"/>
      <c r="B32" s="9">
        <f>SUM(B23:B29)</f>
        <v>-15275</v>
      </c>
      <c r="C32" s="9"/>
      <c r="D32" s="9"/>
      <c r="E32" s="9"/>
      <c r="F32" s="9"/>
      <c r="G32" s="9"/>
      <c r="H32" s="9"/>
      <c r="I32" s="10"/>
      <c r="J32" s="10"/>
      <c r="K32" s="10"/>
      <c r="L32" s="10"/>
    </row>
    <row r="33" spans="1:12" x14ac:dyDescent="0.3">
      <c r="A33" s="6"/>
      <c r="B33" s="9"/>
      <c r="C33" s="9"/>
      <c r="D33" s="9"/>
      <c r="E33" s="9"/>
      <c r="F33" s="9"/>
      <c r="G33" s="9"/>
      <c r="H33" s="9"/>
      <c r="I33" s="9"/>
      <c r="J33" s="9"/>
      <c r="K33" s="9"/>
      <c r="L33" s="9"/>
    </row>
    <row r="34" spans="1:12" x14ac:dyDescent="0.3">
      <c r="A34" s="6"/>
      <c r="B34" s="10"/>
      <c r="C34" s="9"/>
      <c r="D34" s="9"/>
      <c r="E34" s="9"/>
      <c r="F34" s="9"/>
      <c r="G34" s="9"/>
      <c r="H34" s="9"/>
      <c r="I34" s="9"/>
      <c r="J34" s="9"/>
      <c r="K34" s="9"/>
      <c r="L34" s="9"/>
    </row>
    <row r="35" spans="1:12" x14ac:dyDescent="0.3">
      <c r="A35" s="6"/>
      <c r="B35" s="10"/>
      <c r="C35" s="9"/>
      <c r="D35" s="9"/>
      <c r="E35" s="9"/>
      <c r="F35" s="9"/>
      <c r="G35" s="9"/>
      <c r="H35" s="9"/>
      <c r="I35" s="9"/>
      <c r="J35" s="9"/>
      <c r="K35" s="9"/>
      <c r="L35" s="9"/>
    </row>
    <row r="36" spans="1:12" x14ac:dyDescent="0.3">
      <c r="A36" s="7"/>
      <c r="B36" s="12"/>
      <c r="C36" s="12"/>
      <c r="D36" s="12"/>
      <c r="E36" s="12"/>
      <c r="F36" s="12"/>
      <c r="G36" s="12"/>
      <c r="H36" s="12"/>
      <c r="I36" s="12"/>
      <c r="J36" s="12"/>
      <c r="K36" s="12"/>
      <c r="L36" s="12"/>
    </row>
  </sheetData>
  <hyperlinks>
    <hyperlink ref="F1" location="'(CFS)'!A1" display="'(CFS)'!A1" xr:uid="{A5CBFC58-46BC-40EF-9C9D-CF796B9B02F6}"/>
  </hyperlink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E3D65A5-6873-4E5A-8229-13A0799CCC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Index</vt:lpstr>
      <vt:lpstr>Dashboard</vt:lpstr>
      <vt:lpstr>P&amp;L_Pivot</vt:lpstr>
      <vt:lpstr>Ratio_Pivot</vt:lpstr>
      <vt:lpstr>CF_Pivot</vt:lpstr>
      <vt:lpstr>Overview</vt:lpstr>
      <vt:lpstr>Sheet3</vt:lpstr>
      <vt:lpstr>Comparative</vt:lpstr>
      <vt:lpstr>Sheet2</vt:lpstr>
      <vt:lpstr>Sheet1</vt:lpstr>
      <vt:lpstr>Ratios</vt:lpstr>
      <vt:lpstr>Drivers</vt:lpstr>
      <vt:lpstr>3 Statements &gt;</vt:lpstr>
      <vt:lpstr>P&amp;L</vt:lpstr>
      <vt:lpstr>Balance Sheet</vt:lpstr>
      <vt:lpstr>Cash Flow</vt:lpstr>
      <vt:lpstr>Cash Flow (A)</vt:lpstr>
      <vt:lpstr>Valuation &gt;</vt:lpstr>
      <vt:lpstr>WACC</vt:lpstr>
      <vt:lpstr>DCF</vt:lpstr>
      <vt:lpstr>Schedules &gt;</vt:lpstr>
      <vt:lpstr>PPE</vt:lpstr>
      <vt:lpstr>WC</vt:lpstr>
      <vt:lpstr>Source &gt;</vt:lpstr>
      <vt:lpstr>(IS)</vt:lpstr>
      <vt:lpstr>(BS)</vt:lpstr>
      <vt:lpstr>(CFS)</vt:lpstr>
      <vt:lpstr>LiveCase</vt:lpstr>
      <vt:lpstr>vba_average</vt:lpstr>
      <vt:lpstr>vba_best</vt:lpstr>
      <vt:lpstr>vba_worst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Abhijeet</dc:creator>
  <cp:lastModifiedBy>SANJEEV PARMAR</cp:lastModifiedBy>
  <cp:lastPrinted>2026-07-30T12:07:01Z</cp:lastPrinted>
  <dcterms:created xsi:type="dcterms:W3CDTF">2015-06-05T18:17:20Z</dcterms:created>
  <dcterms:modified xsi:type="dcterms:W3CDTF">2026-07-30T12:11:42Z</dcterms:modified>
</cp:coreProperties>
</file>