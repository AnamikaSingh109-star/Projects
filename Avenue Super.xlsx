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701F62-394A-46A9-A9EC-A87755EC3997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Data Sheet" sheetId="6" r:id="rId6"/>
    <sheet name="Sheet1" sheetId="7" r:id="rId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0" i="7" l="1"/>
  <c r="O41" i="7"/>
  <c r="P41" i="7" s="1"/>
  <c r="O42" i="7"/>
  <c r="O43" i="7"/>
  <c r="O44" i="7"/>
  <c r="O45" i="7"/>
  <c r="O46" i="7"/>
  <c r="O47" i="7"/>
  <c r="O39" i="7"/>
  <c r="P31" i="7"/>
  <c r="P32" i="7"/>
  <c r="P33" i="7"/>
  <c r="P34" i="7"/>
  <c r="P35" i="7"/>
  <c r="P36" i="7"/>
  <c r="P37" i="7"/>
  <c r="P38" i="7"/>
  <c r="P39" i="7"/>
  <c r="P30" i="7"/>
  <c r="J40" i="7"/>
  <c r="J41" i="7"/>
  <c r="J42" i="7"/>
  <c r="J43" i="7" s="1"/>
  <c r="J44" i="7" s="1"/>
  <c r="J45" i="7" s="1"/>
  <c r="J46" i="7" s="1"/>
  <c r="J47" i="7" s="1"/>
  <c r="J39" i="7"/>
  <c r="J27" i="7"/>
  <c r="E41" i="7"/>
  <c r="E42" i="7"/>
  <c r="E43" i="7" s="1"/>
  <c r="E44" i="7" s="1"/>
  <c r="E45" i="7" s="1"/>
  <c r="E46" i="7" s="1"/>
  <c r="E47" i="7" s="1"/>
  <c r="E40" i="7"/>
  <c r="E39" i="7"/>
  <c r="D40" i="7"/>
  <c r="D41" i="7" s="1"/>
  <c r="D42" i="7" s="1"/>
  <c r="D43" i="7" s="1"/>
  <c r="D44" i="7" s="1"/>
  <c r="D45" i="7" s="1"/>
  <c r="D46" i="7" s="1"/>
  <c r="D47" i="7" s="1"/>
  <c r="D39" i="7"/>
  <c r="D27" i="7"/>
  <c r="E31" i="7"/>
  <c r="E32" i="7"/>
  <c r="E33" i="7"/>
  <c r="E34" i="7"/>
  <c r="E35" i="7"/>
  <c r="E36" i="7"/>
  <c r="E37" i="7"/>
  <c r="E38" i="7"/>
  <c r="E30" i="7"/>
  <c r="E19" i="7"/>
  <c r="E20" i="7" s="1"/>
  <c r="E21" i="7" s="1"/>
  <c r="E22" i="7" s="1"/>
  <c r="E23" i="7" s="1"/>
  <c r="E24" i="7" s="1"/>
  <c r="E25" i="7" s="1"/>
  <c r="E18" i="7"/>
  <c r="E17" i="7"/>
  <c r="D18" i="7"/>
  <c r="D19" i="7" s="1"/>
  <c r="D20" i="7" s="1"/>
  <c r="D21" i="7" s="1"/>
  <c r="D22" i="7" s="1"/>
  <c r="D23" i="7" s="1"/>
  <c r="D24" i="7" s="1"/>
  <c r="D25" i="7" s="1"/>
  <c r="D17" i="7"/>
  <c r="D4" i="7"/>
  <c r="E9" i="7"/>
  <c r="E10" i="7"/>
  <c r="E11" i="7"/>
  <c r="E12" i="7"/>
  <c r="E13" i="7"/>
  <c r="E14" i="7"/>
  <c r="E15" i="7"/>
  <c r="E16" i="7"/>
  <c r="E8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F24" i="2" s="1"/>
  <c r="E5" i="2"/>
  <c r="F4" i="2"/>
  <c r="G4" i="2"/>
  <c r="H24" i="2" s="1"/>
  <c r="H4" i="2"/>
  <c r="I4" i="2"/>
  <c r="I5" i="2"/>
  <c r="J4" i="2"/>
  <c r="J5" i="2"/>
  <c r="K4" i="2"/>
  <c r="C5" i="2"/>
  <c r="C23" i="2" s="1"/>
  <c r="D5" i="2"/>
  <c r="F5" i="2"/>
  <c r="G5" i="2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H7" i="2"/>
  <c r="H16" i="2" s="1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B23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F14" i="3" s="1"/>
  <c r="G4" i="3"/>
  <c r="H4" i="3"/>
  <c r="I4" i="3"/>
  <c r="J4" i="3"/>
  <c r="J14" i="3" s="1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L10" i="1" s="1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C19" i="1" s="1"/>
  <c r="D4" i="1"/>
  <c r="E4" i="1"/>
  <c r="F4" i="1"/>
  <c r="F20" i="2" s="1"/>
  <c r="G4" i="1"/>
  <c r="G6" i="1" s="1"/>
  <c r="G19" i="1" s="1"/>
  <c r="H4" i="1"/>
  <c r="I4" i="1"/>
  <c r="J4" i="1"/>
  <c r="K4" i="1"/>
  <c r="H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F13" i="1" s="1"/>
  <c r="F14" i="1" s="1"/>
  <c r="G12" i="1"/>
  <c r="G13" i="1" s="1"/>
  <c r="G14" i="1" s="1"/>
  <c r="H12" i="1"/>
  <c r="I12" i="1"/>
  <c r="I13" i="1" s="1"/>
  <c r="J12" i="1"/>
  <c r="J13" i="1" s="1"/>
  <c r="K12" i="1"/>
  <c r="K13" i="1" s="1"/>
  <c r="K14" i="1" s="1"/>
  <c r="C15" i="1"/>
  <c r="D15" i="1"/>
  <c r="E15" i="1"/>
  <c r="F15" i="1"/>
  <c r="G15" i="1"/>
  <c r="H15" i="1"/>
  <c r="I15" i="1"/>
  <c r="J15" i="1"/>
  <c r="J14" i="1" s="1"/>
  <c r="K15" i="1"/>
  <c r="B15" i="1"/>
  <c r="H13" i="1"/>
  <c r="B7" i="1"/>
  <c r="B4" i="1"/>
  <c r="B20" i="2" s="1"/>
  <c r="A1" i="1"/>
  <c r="E1" i="6"/>
  <c r="H1" i="1" s="1"/>
  <c r="K23" i="2"/>
  <c r="F23" i="2"/>
  <c r="C16" i="2"/>
  <c r="G23" i="2"/>
  <c r="F16" i="2"/>
  <c r="E6" i="1"/>
  <c r="E19" i="1" s="1"/>
  <c r="D23" i="2"/>
  <c r="I6" i="1"/>
  <c r="I19" i="1" s="1"/>
  <c r="J6" i="1"/>
  <c r="J19" i="1" s="1"/>
  <c r="D6" i="1"/>
  <c r="D19" i="1" s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H14" i="3"/>
  <c r="B12" i="3"/>
  <c r="B11" i="3"/>
  <c r="B10" i="3"/>
  <c r="B9" i="3"/>
  <c r="B8" i="3"/>
  <c r="B7" i="3"/>
  <c r="B4" i="3"/>
  <c r="B14" i="3" s="1"/>
  <c r="B3" i="3"/>
  <c r="L15" i="1"/>
  <c r="B12" i="1"/>
  <c r="B13" i="1" s="1"/>
  <c r="B11" i="1"/>
  <c r="B10" i="1"/>
  <c r="B9" i="1"/>
  <c r="B8" i="1"/>
  <c r="B3" i="1"/>
  <c r="E14" i="3"/>
  <c r="I14" i="3"/>
  <c r="G14" i="3"/>
  <c r="K20" i="2"/>
  <c r="D20" i="2"/>
  <c r="J20" i="2"/>
  <c r="E20" i="2"/>
  <c r="L12" i="1"/>
  <c r="L13" i="1" s="1"/>
  <c r="L14" i="1" s="1"/>
  <c r="L25" i="1" s="1"/>
  <c r="L6" i="1"/>
  <c r="L4" i="1"/>
  <c r="L23" i="1" s="1"/>
  <c r="A1" i="3"/>
  <c r="A1" i="2"/>
  <c r="A1" i="4"/>
  <c r="L5" i="1"/>
  <c r="P40" i="7" l="1"/>
  <c r="P42" i="7"/>
  <c r="N11" i="1"/>
  <c r="M11" i="1"/>
  <c r="G16" i="2"/>
  <c r="E24" i="2"/>
  <c r="I23" i="2"/>
  <c r="C20" i="2"/>
  <c r="E14" i="1"/>
  <c r="J24" i="2"/>
  <c r="D24" i="2"/>
  <c r="E1" i="2"/>
  <c r="G20" i="2"/>
  <c r="B16" i="2"/>
  <c r="I24" i="2"/>
  <c r="I14" i="1"/>
  <c r="K25" i="1" s="1"/>
  <c r="M25" i="1" s="1"/>
  <c r="M14" i="1" s="1"/>
  <c r="J23" i="1"/>
  <c r="L19" i="1"/>
  <c r="L24" i="1" s="1"/>
  <c r="K6" i="1"/>
  <c r="K19" i="1" s="1"/>
  <c r="K24" i="1" s="1"/>
  <c r="M24" i="1" s="1"/>
  <c r="H14" i="1"/>
  <c r="G24" i="2"/>
  <c r="D13" i="1"/>
  <c r="E13" i="1" s="1"/>
  <c r="L9" i="1"/>
  <c r="M9" i="1" s="1"/>
  <c r="L8" i="1"/>
  <c r="L7" i="1"/>
  <c r="E16" i="2"/>
  <c r="J23" i="2"/>
  <c r="E23" i="2"/>
  <c r="C24" i="2"/>
  <c r="I23" i="1"/>
  <c r="N23" i="1" s="1"/>
  <c r="N4" i="1" s="1"/>
  <c r="E1" i="3"/>
  <c r="B14" i="1"/>
  <c r="I16" i="2"/>
  <c r="K24" i="2"/>
  <c r="J25" i="1"/>
  <c r="N9" i="1"/>
  <c r="N8" i="1"/>
  <c r="M8" i="1"/>
  <c r="I25" i="1"/>
  <c r="I20" i="2"/>
  <c r="J24" i="1"/>
  <c r="H20" i="2"/>
  <c r="K23" i="1"/>
  <c r="M23" i="1" s="1"/>
  <c r="M4" i="1" s="1"/>
  <c r="H6" i="1"/>
  <c r="H19" i="1" s="1"/>
  <c r="F6" i="1"/>
  <c r="F19" i="1" s="1"/>
  <c r="I24" i="1" s="1"/>
  <c r="E1" i="4"/>
  <c r="P43" i="7" l="1"/>
  <c r="D14" i="1"/>
  <c r="H25" i="1" s="1"/>
  <c r="N25" i="1" s="1"/>
  <c r="N14" i="1" s="1"/>
  <c r="H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15" i="1" s="1"/>
  <c r="N5" i="1"/>
  <c r="M5" i="1"/>
  <c r="P45" i="7" l="1"/>
  <c r="P44" i="7"/>
  <c r="P47" i="7" l="1"/>
  <c r="P46" i="7"/>
</calcChain>
</file>

<file path=xl/sharedStrings.xml><?xml version="1.0" encoding="utf-8"?>
<sst xmlns="http://schemas.openxmlformats.org/spreadsheetml/2006/main" count="216" uniqueCount="142">
  <si>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</si>
  <si>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</si>
  <si>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</si>
  <si>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</si>
  <si>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</si>
  <si>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</si>
  <si>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</si>
  <si>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</si>
  <si>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</si>
  <si>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</si>
  <si>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</si>
  <si>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</si>
  <si>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</si>
  <si>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</si>
  <si>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</si>
  <si>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</si>
  <si>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</si>
  <si>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</si>
  <si>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</si>
  <si>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</si>
  <si>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</si>
  <si>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</si>
  <si>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</si>
  <si>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</si>
  <si>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</si>
  <si>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</si>
  <si>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</si>
  <si>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</si>
  <si>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</si>
  <si>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</si>
  <si>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</si>
  <si>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</si>
  <si>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</si>
  <si>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</si>
  <si>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</si>
  <si>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</si>
  <si>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</si>
  <si>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</si>
  <si>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</si>
  <si>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</si>
  <si>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</si>
  <si>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</si>
  <si>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</si>
  <si>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</si>
  <si>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</si>
  <si>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</si>
  <si>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</si>
  <si>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</si>
  <si>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</si>
  <si>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</si>
  <si>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</si>
  <si>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</si>
  <si>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</si>
  <si>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</si>
  <si>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</si>
  <si>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</si>
  <si>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</si>
  <si>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</si>
  <si>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</si>
  <si>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</si>
  <si>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</si>
  <si>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</si>
  <si>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</si>
  <si>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AVENUE SUPERMARTS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</si>
  <si>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</si>
  <si>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</si>
  <si>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</si>
  <si>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</si>
  <si>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</si>
  <si>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</si>
  <si>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</si>
  <si>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</si>
  <si>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</si>
  <si>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</si>
  <si>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</si>
  <si>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</si>
  <si>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</si>
  <si>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</si>
  <si>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</si>
  <si>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</si>
  <si>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</si>
  <si>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</si>
  <si>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</si>
  <si>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</si>
  <si>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</si>
  <si>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</si>
  <si>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</si>
  <si>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</si>
  <si>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</si>
  <si>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</si>
  <si>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</si>
  <si>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</si>
  <si>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</si>
  <si>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Years</t>
  </si>
  <si>
    <t>Revenue</t>
  </si>
  <si>
    <t>Forecasting  Methods</t>
  </si>
  <si>
    <t>Formula</t>
  </si>
  <si>
    <t>When to use</t>
  </si>
  <si>
    <t>AVERAGE</t>
  </si>
  <si>
    <t>When no outliers</t>
  </si>
  <si>
    <t>When outliers exist</t>
  </si>
  <si>
    <t>MEDIAN</t>
  </si>
  <si>
    <t xml:space="preserve">Arithmatic Mean </t>
  </si>
  <si>
    <t>Median</t>
  </si>
  <si>
    <t>Geometric Mean</t>
  </si>
  <si>
    <t>RRI</t>
  </si>
  <si>
    <t>When we have starting &amp; ending point</t>
  </si>
  <si>
    <t>Regression</t>
  </si>
  <si>
    <t>Data Analysis Pack</t>
  </si>
  <si>
    <t>FORECAST</t>
  </si>
  <si>
    <t>Graph Based</t>
  </si>
  <si>
    <t>Linear</t>
  </si>
  <si>
    <t>Exponential</t>
  </si>
  <si>
    <t>Polynomial</t>
  </si>
  <si>
    <t>Log</t>
  </si>
  <si>
    <t>AI/ML</t>
  </si>
  <si>
    <t>Code based</t>
  </si>
  <si>
    <t>Growth rate</t>
  </si>
  <si>
    <t>Mean</t>
  </si>
  <si>
    <t>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</si>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</sst>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5E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6E3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" fontId="0" fillId="0" borderId="0" xfId="0" applyNumberFormat="1"/>
    <xf numFmtId="165" fontId="2" fillId="6" borderId="0" xfId="0" applyNumberFormat="1" applyFont="1" applyFill="1" applyAlignment="1">
      <alignment horizontal="center"/>
    </xf>
    <xf numFmtId="0" fontId="1" fillId="0" borderId="0" xfId="0" applyFont="1" applyAlignment="1">
      <alignment horizontal="right"/>
    </xf>
    <xf numFmtId="9" fontId="0" fillId="0" borderId="0" xfId="6" applyFont="1"/>
    <xf numFmtId="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0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Continuous"/>
    </xf>
    <xf numFmtId="0" fontId="0" fillId="7" borderId="0" xfId="0" applyFill="1" applyBorder="1" applyAlignment="1"/>
    <xf numFmtId="0" fontId="0" fillId="8" borderId="1" xfId="0" applyFill="1" applyBorder="1" applyAlignmen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7.0764255098846596E-2"/>
                  <c:y val="-0.127039588801399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Sheet1!$M$28:$N$47</c:f>
              <c:multiLvlStrCache>
                <c:ptCount val="20"/>
                <c:lvl>
                  <c:pt idx="0">
                    <c:v>Years</c:v>
                  </c:pt>
                  <c:pt idx="1">
                    <c:v>Mar-17</c:v>
                  </c:pt>
                  <c:pt idx="2">
                    <c:v>Mar-18</c:v>
                  </c:pt>
                  <c:pt idx="3">
                    <c:v>Mar-19</c:v>
                  </c:pt>
                  <c:pt idx="4">
                    <c:v>Mar-20</c:v>
                  </c:pt>
                  <c:pt idx="5">
                    <c:v>Mar-21</c:v>
                  </c:pt>
                  <c:pt idx="6">
                    <c:v>Mar-22</c:v>
                  </c:pt>
                  <c:pt idx="7">
                    <c:v>Mar-23</c:v>
                  </c:pt>
                  <c:pt idx="8">
                    <c:v>Mar-24</c:v>
                  </c:pt>
                  <c:pt idx="9">
                    <c:v>Mar-25</c:v>
                  </c:pt>
                  <c:pt idx="10">
                    <c:v>Mar-26</c:v>
                  </c:pt>
                  <c:pt idx="11">
                    <c:v>Mar-27</c:v>
                  </c:pt>
                  <c:pt idx="12">
                    <c:v>Mar-28</c:v>
                  </c:pt>
                  <c:pt idx="13">
                    <c:v>Mar-29</c:v>
                  </c:pt>
                  <c:pt idx="14">
                    <c:v>Mar-30</c:v>
                  </c:pt>
                  <c:pt idx="15">
                    <c:v>Mar-31</c:v>
                  </c:pt>
                  <c:pt idx="16">
                    <c:v>Mar-32</c:v>
                  </c:pt>
                  <c:pt idx="17">
                    <c:v>Mar-33</c:v>
                  </c:pt>
                  <c:pt idx="18">
                    <c:v>Mar-34</c:v>
                  </c:pt>
                  <c:pt idx="19">
                    <c:v>Mar-35</c:v>
                  </c:pt>
                </c:lvl>
                <c:lvl>
                  <c:pt idx="0">
                    <c:v>Weight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</c:multiLvlStrCache>
            </c:multiLvlStrRef>
          </c:xVal>
          <c:yVal>
            <c:numRef>
              <c:f>Sheet1!$O$28:$O$47</c:f>
              <c:numCache>
                <c:formatCode>0</c:formatCode>
                <c:ptCount val="20"/>
                <c:pt idx="0" formatCode="General">
                  <c:v>0</c:v>
                </c:pt>
                <c:pt idx="1">
                  <c:v>11897.7</c:v>
                </c:pt>
                <c:pt idx="2">
                  <c:v>15033.2</c:v>
                </c:pt>
                <c:pt idx="3">
                  <c:v>20004.52</c:v>
                </c:pt>
                <c:pt idx="4">
                  <c:v>24870.2</c:v>
                </c:pt>
                <c:pt idx="5">
                  <c:v>24143.06</c:v>
                </c:pt>
                <c:pt idx="6">
                  <c:v>30976.27</c:v>
                </c:pt>
                <c:pt idx="7">
                  <c:v>42839.56</c:v>
                </c:pt>
                <c:pt idx="8">
                  <c:v>50788.83</c:v>
                </c:pt>
                <c:pt idx="9">
                  <c:v>59358.05</c:v>
                </c:pt>
                <c:pt idx="10">
                  <c:v>68820.740000000005</c:v>
                </c:pt>
                <c:pt idx="11">
                  <c:v>69448.018000000011</c:v>
                </c:pt>
                <c:pt idx="12">
                  <c:v>75734.346181818168</c:v>
                </c:pt>
                <c:pt idx="13">
                  <c:v>82020.674363636354</c:v>
                </c:pt>
                <c:pt idx="14">
                  <c:v>88307.002545454539</c:v>
                </c:pt>
                <c:pt idx="15">
                  <c:v>94593.330727272725</c:v>
                </c:pt>
                <c:pt idx="16">
                  <c:v>100879.65890909091</c:v>
                </c:pt>
                <c:pt idx="17">
                  <c:v>107165.9870909091</c:v>
                </c:pt>
                <c:pt idx="18">
                  <c:v>113452.31527272725</c:v>
                </c:pt>
                <c:pt idx="19">
                  <c:v>119738.64345454544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23-41C3-A36E-855CB756136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Sheet1!$M$28:$N$47</c:f>
              <c:multiLvlStrCache>
                <c:ptCount val="20"/>
                <c:lvl>
                  <c:pt idx="0">
                    <c:v>Years</c:v>
                  </c:pt>
                  <c:pt idx="1">
                    <c:v>Mar-17</c:v>
                  </c:pt>
                  <c:pt idx="2">
                    <c:v>Mar-18</c:v>
                  </c:pt>
                  <c:pt idx="3">
                    <c:v>Mar-19</c:v>
                  </c:pt>
                  <c:pt idx="4">
                    <c:v>Mar-20</c:v>
                  </c:pt>
                  <c:pt idx="5">
                    <c:v>Mar-21</c:v>
                  </c:pt>
                  <c:pt idx="6">
                    <c:v>Mar-22</c:v>
                  </c:pt>
                  <c:pt idx="7">
                    <c:v>Mar-23</c:v>
                  </c:pt>
                  <c:pt idx="8">
                    <c:v>Mar-24</c:v>
                  </c:pt>
                  <c:pt idx="9">
                    <c:v>Mar-25</c:v>
                  </c:pt>
                  <c:pt idx="10">
                    <c:v>Mar-26</c:v>
                  </c:pt>
                  <c:pt idx="11">
                    <c:v>Mar-27</c:v>
                  </c:pt>
                  <c:pt idx="12">
                    <c:v>Mar-28</c:v>
                  </c:pt>
                  <c:pt idx="13">
                    <c:v>Mar-29</c:v>
                  </c:pt>
                  <c:pt idx="14">
                    <c:v>Mar-30</c:v>
                  </c:pt>
                  <c:pt idx="15">
                    <c:v>Mar-31</c:v>
                  </c:pt>
                  <c:pt idx="16">
                    <c:v>Mar-32</c:v>
                  </c:pt>
                  <c:pt idx="17">
                    <c:v>Mar-33</c:v>
                  </c:pt>
                  <c:pt idx="18">
                    <c:v>Mar-34</c:v>
                  </c:pt>
                  <c:pt idx="19">
                    <c:v>Mar-35</c:v>
                  </c:pt>
                </c:lvl>
                <c:lvl>
                  <c:pt idx="0">
                    <c:v>Weight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</c:lvl>
              </c:multiLvlStrCache>
            </c:multiLvlStrRef>
          </c:xVal>
          <c:yVal>
            <c:numRef>
              <c:f>Sheet1!$P$28:$P$47</c:f>
              <c:numCache>
                <c:formatCode>General</c:formatCode>
                <c:ptCount val="20"/>
                <c:pt idx="2" formatCode="0%">
                  <c:v>0.26353833093791246</c:v>
                </c:pt>
                <c:pt idx="3" formatCode="0%">
                  <c:v>0.33068940744485542</c:v>
                </c:pt>
                <c:pt idx="4" formatCode="0%">
                  <c:v>0.24322903023916598</c:v>
                </c:pt>
                <c:pt idx="5" formatCode="0%">
                  <c:v>-2.9237400583831175E-2</c:v>
                </c:pt>
                <c:pt idx="6" formatCode="0%">
                  <c:v>0.28302998874210639</c:v>
                </c:pt>
                <c:pt idx="7" formatCode="0%">
                  <c:v>0.38297993915987938</c:v>
                </c:pt>
                <c:pt idx="8" formatCode="0%">
                  <c:v>0.18555909537819737</c:v>
                </c:pt>
                <c:pt idx="9" formatCode="0%">
                  <c:v>0.16872253210007004</c:v>
                </c:pt>
                <c:pt idx="10" formatCode="0%">
                  <c:v>0.15941713044818684</c:v>
                </c:pt>
                <c:pt idx="11" formatCode="0%">
                  <c:v>9.1146651430951131E-3</c:v>
                </c:pt>
                <c:pt idx="12" formatCode="0%">
                  <c:v>9.0518467810242642E-2</c:v>
                </c:pt>
                <c:pt idx="13" formatCode="0%">
                  <c:v>8.3004983851400427E-2</c:v>
                </c:pt>
                <c:pt idx="14" formatCode="0%">
                  <c:v>7.6643215025859579E-2</c:v>
                </c:pt>
                <c:pt idx="15" formatCode="0%">
                  <c:v>7.1187199209738816E-2</c:v>
                </c:pt>
                <c:pt idx="16" formatCode="0%">
                  <c:v>6.6456357266271304E-2</c:v>
                </c:pt>
                <c:pt idx="17" formatCode="0%">
                  <c:v>6.2315121301938614E-2</c:v>
                </c:pt>
                <c:pt idx="18" formatCode="0%">
                  <c:v>5.8659732928932451E-2</c:v>
                </c:pt>
                <c:pt idx="19" formatCode="0%">
                  <c:v>5.5409430532171289E-2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23-41C3-A36E-855CB7561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98384"/>
        <c:axId val="125809424"/>
      </c:scatterChart>
      <c:valAx>
        <c:axId val="12579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09424"/>
        <c:crosses val="autoZero"/>
        <c:crossBetween val="midCat"/>
      </c:valAx>
      <c:valAx>
        <c:axId val="12580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9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</xdr:colOff>
      <xdr:row>27</xdr:row>
      <xdr:rowOff>45720</xdr:rowOff>
    </xdr:from>
    <xdr:to>
      <xdr:col>24</xdr:col>
      <xdr:colOff>335280</xdr:colOff>
      <xdr:row>42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9837B-9919-B556-1192-DD3E516A6C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AVENUE SUPERMARTS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11897.7</v>
      </c>
      <c r="C4" s="1">
        <f>'Data Sheet'!C17</f>
        <v>15033.2</v>
      </c>
      <c r="D4" s="1">
        <f>'Data Sheet'!D17</f>
        <v>20004.52</v>
      </c>
      <c r="E4" s="1">
        <f>'Data Sheet'!E17</f>
        <v>24870.2</v>
      </c>
      <c r="F4" s="1">
        <f>'Data Sheet'!F17</f>
        <v>24143.06</v>
      </c>
      <c r="G4" s="1">
        <f>'Data Sheet'!G17</f>
        <v>30976.27</v>
      </c>
      <c r="H4" s="1">
        <f>'Data Sheet'!H17</f>
        <v>42839.56</v>
      </c>
      <c r="I4" s="1">
        <f>'Data Sheet'!I17</f>
        <v>50788.83</v>
      </c>
      <c r="J4" s="1">
        <f>'Data Sheet'!J17</f>
        <v>59358.05</v>
      </c>
      <c r="K4" s="1">
        <f>'Data Sheet'!K17</f>
        <v>68820.740000000005</v>
      </c>
      <c r="L4" s="1">
        <f>SUM(Quarters!H4:K4)</f>
        <v>68820.740000000005</v>
      </c>
      <c r="M4" s="1">
        <f>$K4+M23*K4</f>
        <v>80601.684254251406</v>
      </c>
      <c r="N4" s="1">
        <f>$K4+N23*L4</f>
        <v>79791.944886120764</v>
      </c>
    </row>
    <row r="5" spans="1:14" x14ac:dyDescent="0.3">
      <c r="A5" t="s">
        <v>7</v>
      </c>
      <c r="B5" s="6">
        <f>SUM('Data Sheet'!B18,'Data Sheet'!B20:B24, -1*'Data Sheet'!B19)</f>
        <v>10928.52</v>
      </c>
      <c r="C5" s="6">
        <f>SUM('Data Sheet'!C18,'Data Sheet'!C20:C24, -1*'Data Sheet'!C19)</f>
        <v>13680.34</v>
      </c>
      <c r="D5" s="6">
        <f>SUM('Data Sheet'!D18,'Data Sheet'!D20:D24, -1*'Data Sheet'!D19)</f>
        <v>18371.21</v>
      </c>
      <c r="E5" s="6">
        <f>SUM('Data Sheet'!E18,'Data Sheet'!E20:E24, -1*'Data Sheet'!E19)</f>
        <v>22741.890000000003</v>
      </c>
      <c r="F5" s="6">
        <f>SUM('Data Sheet'!F18,'Data Sheet'!F20:F24, -1*'Data Sheet'!F19)</f>
        <v>22398.230000000003</v>
      </c>
      <c r="G5" s="6">
        <f>SUM('Data Sheet'!G18,'Data Sheet'!G20:G24, -1*'Data Sheet'!G19)</f>
        <v>28473.919999999998</v>
      </c>
      <c r="H5" s="6">
        <f>SUM('Data Sheet'!H18,'Data Sheet'!H20:H24, -1*'Data Sheet'!H19)</f>
        <v>39200.79</v>
      </c>
      <c r="I5" s="6">
        <f>SUM('Data Sheet'!I18,'Data Sheet'!I20:I24, -1*'Data Sheet'!I19)</f>
        <v>46683.189999999995</v>
      </c>
      <c r="J5" s="6">
        <f>SUM('Data Sheet'!J18,'Data Sheet'!J20:J24, -1*'Data Sheet'!J19)</f>
        <v>54863.540000000008</v>
      </c>
      <c r="K5" s="6">
        <f>SUM('Data Sheet'!K18,'Data Sheet'!K20:K24, -1*'Data Sheet'!K19)</f>
        <v>63634.15</v>
      </c>
      <c r="L5" s="6">
        <f>SUM(Quarters!H5:K5)</f>
        <v>63634.149999999994</v>
      </c>
      <c r="M5" s="6">
        <f t="shared" ref="M5:N5" si="0">M4-M6</f>
        <v>74392.547292070987</v>
      </c>
      <c r="N5" s="6">
        <f t="shared" si="0"/>
        <v>73778.523591509496</v>
      </c>
    </row>
    <row r="6" spans="1:14" s="2" customFormat="1" x14ac:dyDescent="0.3">
      <c r="A6" s="2" t="s">
        <v>8</v>
      </c>
      <c r="B6" s="1">
        <f>B4-B5</f>
        <v>969.18000000000029</v>
      </c>
      <c r="C6" s="1">
        <f t="shared" ref="C6:K6" si="1">C4-C5</f>
        <v>1352.8600000000006</v>
      </c>
      <c r="D6" s="1">
        <f t="shared" si="1"/>
        <v>1633.3100000000013</v>
      </c>
      <c r="E6" s="1">
        <f t="shared" si="1"/>
        <v>2128.3099999999977</v>
      </c>
      <c r="F6" s="1">
        <f t="shared" si="1"/>
        <v>1744.8299999999981</v>
      </c>
      <c r="G6" s="1">
        <f t="shared" si="1"/>
        <v>2502.3500000000022</v>
      </c>
      <c r="H6" s="1">
        <f t="shared" si="1"/>
        <v>3638.7699999999968</v>
      </c>
      <c r="I6" s="1">
        <f t="shared" si="1"/>
        <v>4105.6400000000067</v>
      </c>
      <c r="J6" s="1">
        <f t="shared" si="1"/>
        <v>4494.5099999999948</v>
      </c>
      <c r="K6" s="1">
        <f t="shared" si="1"/>
        <v>5186.5900000000038</v>
      </c>
      <c r="L6" s="1">
        <f>SUM(Quarters!H6:K6)</f>
        <v>5186.59</v>
      </c>
      <c r="M6" s="1">
        <f>M4*M24</f>
        <v>6209.1369621804133</v>
      </c>
      <c r="N6" s="1">
        <f>N4*N24</f>
        <v>6013.4212946112621</v>
      </c>
    </row>
    <row r="7" spans="1:14" x14ac:dyDescent="0.3">
      <c r="A7" t="s">
        <v>9</v>
      </c>
      <c r="B7" s="6">
        <f>'Data Sheet'!B25</f>
        <v>27.7</v>
      </c>
      <c r="C7" s="6">
        <f>'Data Sheet'!C25</f>
        <v>87.75</v>
      </c>
      <c r="D7" s="6">
        <f>'Data Sheet'!D25</f>
        <v>48.33</v>
      </c>
      <c r="E7" s="6">
        <f>'Data Sheet'!E25</f>
        <v>59.99</v>
      </c>
      <c r="F7" s="6">
        <f>'Data Sheet'!F25</f>
        <v>194.43</v>
      </c>
      <c r="G7" s="6">
        <f>'Data Sheet'!G25</f>
        <v>113.64</v>
      </c>
      <c r="H7" s="6">
        <f>'Data Sheet'!H25</f>
        <v>127.6</v>
      </c>
      <c r="I7" s="6">
        <f>'Data Sheet'!I25</f>
        <v>144.58000000000001</v>
      </c>
      <c r="J7" s="6">
        <f>'Data Sheet'!J25</f>
        <v>117.13</v>
      </c>
      <c r="K7" s="6">
        <f>'Data Sheet'!K25</f>
        <v>74.099999999999994</v>
      </c>
      <c r="L7" s="6">
        <f>SUM(Quarters!H7:K7)</f>
        <v>74.099999999999994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127.82</v>
      </c>
      <c r="C8" s="6">
        <f>'Data Sheet'!C26</f>
        <v>159</v>
      </c>
      <c r="D8" s="6">
        <f>'Data Sheet'!D26</f>
        <v>212.49</v>
      </c>
      <c r="E8" s="6">
        <f>'Data Sheet'!E26</f>
        <v>374.41</v>
      </c>
      <c r="F8" s="6">
        <f>'Data Sheet'!F26</f>
        <v>414.16</v>
      </c>
      <c r="G8" s="6">
        <f>'Data Sheet'!G26</f>
        <v>498.08</v>
      </c>
      <c r="H8" s="6">
        <f>'Data Sheet'!H26</f>
        <v>638.87</v>
      </c>
      <c r="I8" s="6">
        <f>'Data Sheet'!I26</f>
        <v>730.76</v>
      </c>
      <c r="J8" s="6">
        <f>'Data Sheet'!J26</f>
        <v>869.52</v>
      </c>
      <c r="K8" s="6">
        <f>'Data Sheet'!K26</f>
        <v>1037.02</v>
      </c>
      <c r="L8" s="6">
        <f>SUM(Quarters!H8:K8)</f>
        <v>1037.02</v>
      </c>
      <c r="M8" s="6">
        <f>+$L8</f>
        <v>1037.02</v>
      </c>
      <c r="N8" s="6">
        <f>+$L8</f>
        <v>1037.02</v>
      </c>
    </row>
    <row r="9" spans="1:14" x14ac:dyDescent="0.3">
      <c r="A9" t="s">
        <v>11</v>
      </c>
      <c r="B9" s="6">
        <f>'Data Sheet'!B27</f>
        <v>121.98</v>
      </c>
      <c r="C9" s="6">
        <f>'Data Sheet'!C27</f>
        <v>59.54</v>
      </c>
      <c r="D9" s="6">
        <f>'Data Sheet'!D27</f>
        <v>47.21</v>
      </c>
      <c r="E9" s="6">
        <f>'Data Sheet'!E27</f>
        <v>69.12</v>
      </c>
      <c r="F9" s="6">
        <f>'Data Sheet'!F27</f>
        <v>41.65</v>
      </c>
      <c r="G9" s="6">
        <f>'Data Sheet'!G27</f>
        <v>53.79</v>
      </c>
      <c r="H9" s="6">
        <f>'Data Sheet'!H27</f>
        <v>67.41</v>
      </c>
      <c r="I9" s="6">
        <f>'Data Sheet'!I27</f>
        <v>58.13</v>
      </c>
      <c r="J9" s="6">
        <f>'Data Sheet'!J27</f>
        <v>69.45</v>
      </c>
      <c r="K9" s="6">
        <f>'Data Sheet'!K27</f>
        <v>142.05000000000001</v>
      </c>
      <c r="L9" s="6">
        <f>SUM(Quarters!H9:K9)</f>
        <v>142.05000000000001</v>
      </c>
      <c r="M9" s="6">
        <f>+$L9</f>
        <v>142.05000000000001</v>
      </c>
      <c r="N9" s="6">
        <f>+$L9</f>
        <v>142.05000000000001</v>
      </c>
    </row>
    <row r="10" spans="1:14" x14ac:dyDescent="0.3">
      <c r="A10" t="s">
        <v>12</v>
      </c>
      <c r="B10" s="6">
        <f>'Data Sheet'!B28</f>
        <v>747.08</v>
      </c>
      <c r="C10" s="6">
        <f>'Data Sheet'!C28</f>
        <v>1222.07</v>
      </c>
      <c r="D10" s="6">
        <f>'Data Sheet'!D28</f>
        <v>1421.94</v>
      </c>
      <c r="E10" s="6">
        <f>'Data Sheet'!E28</f>
        <v>1744.77</v>
      </c>
      <c r="F10" s="6">
        <f>'Data Sheet'!F28</f>
        <v>1483.45</v>
      </c>
      <c r="G10" s="6">
        <f>'Data Sheet'!G28</f>
        <v>2064.12</v>
      </c>
      <c r="H10" s="6">
        <f>'Data Sheet'!H28</f>
        <v>3060.09</v>
      </c>
      <c r="I10" s="6">
        <f>'Data Sheet'!I28</f>
        <v>3461.33</v>
      </c>
      <c r="J10" s="6">
        <f>'Data Sheet'!J28</f>
        <v>3672.67</v>
      </c>
      <c r="K10" s="6">
        <f>'Data Sheet'!K28</f>
        <v>4081.62</v>
      </c>
      <c r="L10" s="6">
        <f>SUM(Quarters!H10:K10)</f>
        <v>4081.62</v>
      </c>
      <c r="M10" s="6">
        <f>M6+M7-SUM(M8:M9)</f>
        <v>5030.0669621804136</v>
      </c>
      <c r="N10" s="6">
        <f>N6+N7-SUM(N8:N9)</f>
        <v>4834.3512946112623</v>
      </c>
    </row>
    <row r="11" spans="1:14" x14ac:dyDescent="0.3">
      <c r="A11" t="s">
        <v>13</v>
      </c>
      <c r="B11" s="6">
        <f>'Data Sheet'!B29</f>
        <v>268.27999999999997</v>
      </c>
      <c r="C11" s="6">
        <f>'Data Sheet'!C29</f>
        <v>415.79</v>
      </c>
      <c r="D11" s="6">
        <f>'Data Sheet'!D29</f>
        <v>519.48</v>
      </c>
      <c r="E11" s="6">
        <f>'Data Sheet'!E29</f>
        <v>443.79</v>
      </c>
      <c r="F11" s="6">
        <f>'Data Sheet'!F29</f>
        <v>384.02</v>
      </c>
      <c r="G11" s="6">
        <f>'Data Sheet'!G29</f>
        <v>571.72</v>
      </c>
      <c r="H11" s="6">
        <f>'Data Sheet'!H29</f>
        <v>681.75</v>
      </c>
      <c r="I11" s="6">
        <f>'Data Sheet'!I29</f>
        <v>925.72</v>
      </c>
      <c r="J11" s="6">
        <f>'Data Sheet'!J29</f>
        <v>965.22</v>
      </c>
      <c r="K11" s="6">
        <f>'Data Sheet'!K29</f>
        <v>1111.76</v>
      </c>
      <c r="L11" s="6">
        <f>SUM(Quarters!H11:K11)</f>
        <v>1111.76</v>
      </c>
      <c r="M11" s="7">
        <f>IF($L10&gt;0,$L11/$L10,0)</f>
        <v>0.27238204438433761</v>
      </c>
      <c r="N11" s="7">
        <f>IF($L10&gt;0,$L11/$L10,0)</f>
        <v>0.27238204438433761</v>
      </c>
    </row>
    <row r="12" spans="1:14" s="2" customFormat="1" x14ac:dyDescent="0.3">
      <c r="A12" s="2" t="s">
        <v>14</v>
      </c>
      <c r="B12" s="1">
        <f>'Data Sheet'!B30</f>
        <v>478.75</v>
      </c>
      <c r="C12" s="1">
        <f>'Data Sheet'!C30</f>
        <v>806.26</v>
      </c>
      <c r="D12" s="1">
        <f>'Data Sheet'!D30</f>
        <v>902.54</v>
      </c>
      <c r="E12" s="1">
        <f>'Data Sheet'!E30</f>
        <v>1301.08</v>
      </c>
      <c r="F12" s="1">
        <f>'Data Sheet'!F30</f>
        <v>1099.49</v>
      </c>
      <c r="G12" s="1">
        <f>'Data Sheet'!G30</f>
        <v>1492.55</v>
      </c>
      <c r="H12" s="1">
        <f>'Data Sheet'!H30</f>
        <v>2378.5100000000002</v>
      </c>
      <c r="I12" s="1">
        <f>'Data Sheet'!I30</f>
        <v>2536.17</v>
      </c>
      <c r="J12" s="1">
        <f>'Data Sheet'!J30</f>
        <v>2708.02</v>
      </c>
      <c r="K12" s="1">
        <f>'Data Sheet'!K30</f>
        <v>2970.49</v>
      </c>
      <c r="L12" s="1">
        <f>SUM(Quarters!H12:K12)</f>
        <v>2970.4900000000002</v>
      </c>
      <c r="M12" s="1">
        <f>M10-M11*M10</f>
        <v>3659.9670396315978</v>
      </c>
      <c r="N12" s="1">
        <f>N10-N11*N10</f>
        <v>3517.5608057129775</v>
      </c>
    </row>
    <row r="13" spans="1:14" x14ac:dyDescent="0.3">
      <c r="A13" t="s">
        <v>57</v>
      </c>
      <c r="B13" s="6">
        <f>IF('Data Sheet'!B93&gt;0,B12/'Data Sheet'!B93,0)</f>
        <v>7.6710463066816219</v>
      </c>
      <c r="C13" s="6">
        <f>IF('Data Sheet'!C93&gt;0,C12/'Data Sheet'!C93,0)</f>
        <v>12.918763018746997</v>
      </c>
      <c r="D13" s="6">
        <f>IF('Data Sheet'!D93&gt;0,D12/'Data Sheet'!D93,0)</f>
        <v>14.461464508892806</v>
      </c>
      <c r="E13" s="6">
        <f>IF('Data Sheet'!E93&gt;0,E12/'Data Sheet'!E93,0)</f>
        <v>20.084594010497067</v>
      </c>
      <c r="F13" s="6">
        <f>IF('Data Sheet'!F93&gt;0,F12/'Data Sheet'!F93,0)</f>
        <v>16.972676752083977</v>
      </c>
      <c r="G13" s="6">
        <f>IF('Data Sheet'!G93&gt;0,G12/'Data Sheet'!G93,0)</f>
        <v>23.040290213028712</v>
      </c>
      <c r="H13" s="6">
        <f>IF('Data Sheet'!H93&gt;0,H12/'Data Sheet'!H93,0)</f>
        <v>36.688415856856395</v>
      </c>
      <c r="I13" s="6">
        <f>IF('Data Sheet'!I93&gt;0,I12/'Data Sheet'!I93,0)</f>
        <v>38.976025818349477</v>
      </c>
      <c r="J13" s="6">
        <f>IF('Data Sheet'!J93&gt;0,J12/'Data Sheet'!J93,0)</f>
        <v>41.617027816197947</v>
      </c>
      <c r="K13" s="6">
        <f>IF('Data Sheet'!K93&gt;0,K12/'Data Sheet'!K93,0)</f>
        <v>45.55966257668711</v>
      </c>
      <c r="L13" s="6">
        <f>IF('Data Sheet'!$B6&gt;0,'Profit &amp; Loss'!L12/'Data Sheet'!$B6,0)</f>
        <v>45.545445655793671</v>
      </c>
      <c r="M13" s="6">
        <f>IF('Data Sheet'!$B6&gt;0,'Profit &amp; Loss'!M12/'Data Sheet'!$B6,0)</f>
        <v>56.116947003873754</v>
      </c>
      <c r="N13" s="6">
        <f>IF('Data Sheet'!$B6&gt;0,'Profit &amp; Loss'!N12/'Data Sheet'!$B6,0)</f>
        <v>53.933483875572783</v>
      </c>
    </row>
    <row r="14" spans="1:14" x14ac:dyDescent="0.3">
      <c r="A14" t="s">
        <v>16</v>
      </c>
      <c r="B14" s="6">
        <f>IF(B15&gt;0,B15/B13,"")</f>
        <v>83.150325848563966</v>
      </c>
      <c r="C14" s="6">
        <f t="shared" ref="C14:K14" si="2">IF(C15&gt;0,C15/C13,"")</f>
        <v>102.54851784784063</v>
      </c>
      <c r="D14" s="6">
        <f t="shared" si="2"/>
        <v>101.72552019855074</v>
      </c>
      <c r="E14" s="6">
        <f t="shared" si="2"/>
        <v>108.91432502228918</v>
      </c>
      <c r="F14" s="6">
        <f t="shared" si="2"/>
        <v>168.45015325287179</v>
      </c>
      <c r="G14" s="6">
        <f t="shared" si="2"/>
        <v>173.75432179826473</v>
      </c>
      <c r="H14" s="6">
        <f t="shared" si="2"/>
        <v>92.700922636440467</v>
      </c>
      <c r="I14" s="6">
        <f t="shared" si="2"/>
        <v>116.1124025597653</v>
      </c>
      <c r="J14" s="6">
        <f t="shared" si="2"/>
        <v>98.113686014135766</v>
      </c>
      <c r="K14" s="6">
        <f t="shared" si="2"/>
        <v>86.848755592511694</v>
      </c>
      <c r="L14" s="6">
        <f t="shared" ref="L14" si="3">IF(L13&gt;0,L15/L13,0)</f>
        <v>90.555706297614194</v>
      </c>
      <c r="M14" s="6">
        <f>M25</f>
        <v>97.907637616006724</v>
      </c>
      <c r="N14" s="6">
        <f>N25</f>
        <v>90.555706297614194</v>
      </c>
    </row>
    <row r="15" spans="1:14" s="2" customFormat="1" x14ac:dyDescent="0.3">
      <c r="A15" s="2" t="s">
        <v>58</v>
      </c>
      <c r="B15" s="1">
        <f>'Data Sheet'!B90</f>
        <v>637.85</v>
      </c>
      <c r="C15" s="1">
        <f>'Data Sheet'!C90</f>
        <v>1324.8</v>
      </c>
      <c r="D15" s="1">
        <f>'Data Sheet'!D90</f>
        <v>1471.1</v>
      </c>
      <c r="E15" s="1">
        <f>'Data Sheet'!E90</f>
        <v>2187.5</v>
      </c>
      <c r="F15" s="1">
        <f>'Data Sheet'!F90</f>
        <v>2859.05</v>
      </c>
      <c r="G15" s="1">
        <f>'Data Sheet'!G90</f>
        <v>4003.35</v>
      </c>
      <c r="H15" s="1">
        <f>'Data Sheet'!H90</f>
        <v>3401.05</v>
      </c>
      <c r="I15" s="1">
        <f>'Data Sheet'!I90</f>
        <v>4525.6000000000004</v>
      </c>
      <c r="J15" s="1">
        <f>'Data Sheet'!J90</f>
        <v>4083.2</v>
      </c>
      <c r="K15" s="1">
        <f>'Data Sheet'!K90</f>
        <v>3956.8</v>
      </c>
      <c r="L15" s="1">
        <f>'Data Sheet'!B8</f>
        <v>4124.3999999999996</v>
      </c>
      <c r="M15" s="8">
        <f>M13*M14</f>
        <v>5494.2777113719258</v>
      </c>
      <c r="N15" s="9">
        <f>N13*N14</f>
        <v>4883.9847254434799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4">IF(B6&gt;0,B6/B4,0)</f>
        <v>8.1459441740840688E-2</v>
      </c>
      <c r="C19" s="5">
        <f t="shared" ref="C19:K19" si="5">IF(C6&gt;0,C6/C4,0)</f>
        <v>8.9991485512066663E-2</v>
      </c>
      <c r="D19" s="5">
        <f t="shared" si="5"/>
        <v>8.1647047767204675E-2</v>
      </c>
      <c r="E19" s="5">
        <f t="shared" si="5"/>
        <v>8.5576714300648879E-2</v>
      </c>
      <c r="F19" s="5">
        <f t="shared" si="5"/>
        <v>7.2270457845857075E-2</v>
      </c>
      <c r="G19" s="5">
        <f t="shared" si="5"/>
        <v>8.0782805676732614E-2</v>
      </c>
      <c r="H19" s="5">
        <f t="shared" si="5"/>
        <v>8.4939481171141737E-2</v>
      </c>
      <c r="I19" s="5">
        <f t="shared" si="5"/>
        <v>8.0837459732779948E-2</v>
      </c>
      <c r="J19" s="5">
        <f t="shared" si="5"/>
        <v>7.5718626201500799E-2</v>
      </c>
      <c r="K19" s="5">
        <f t="shared" si="5"/>
        <v>7.5363763888618512E-2</v>
      </c>
      <c r="L19" s="5">
        <f t="shared" si="4"/>
        <v>7.5363763888618457E-2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0.21533259881017242</v>
      </c>
      <c r="I23" s="5">
        <f>IF(D4=0,"",POWER($K4/D4,1/7)-1)</f>
        <v>0.19304242096577506</v>
      </c>
      <c r="J23" s="5">
        <f>IF(F4=0,"",POWER($K4/F4,1/5)-1)</f>
        <v>0.23306339358471639</v>
      </c>
      <c r="K23" s="5">
        <f>IF(H4=0,"",POWER($K4/H4, 1/3)-1)</f>
        <v>0.17118305113039178</v>
      </c>
      <c r="L23" s="5">
        <f>IF(ISERROR(MAX(IF(J4=0,"",(K4-J4)/J4),IF(K4=0,"",(L4-K4)/K4))),"",MAX(IF(J4=0,"",(K4-J4)/J4),IF(K4=0,"",(L4-K4)/K4)))</f>
        <v>0.15941713044818692</v>
      </c>
      <c r="M23" s="16">
        <f>MAX(K23:L23)</f>
        <v>0.17118305113039178</v>
      </c>
      <c r="N23" s="16">
        <f>MIN(H23:L23)</f>
        <v>0.15941713044818692</v>
      </c>
    </row>
    <row r="24" spans="1:14" x14ac:dyDescent="0.3">
      <c r="G24" t="s">
        <v>18</v>
      </c>
      <c r="H24" s="5">
        <f>IF(SUM(B4:$K$4)=0,"",SUMPRODUCT(B19:$K$19,B4:$K$4)/SUM(B4:$K$4))</f>
        <v>7.9592178673069211E-2</v>
      </c>
      <c r="I24" s="5">
        <f>IF(SUM(E4:$K$4)=0,"",SUMPRODUCT(E19:$K$19,E4:$K$4)/SUM(E4:$K$4))</f>
        <v>7.8864345472818453E-2</v>
      </c>
      <c r="J24" s="5">
        <f>IF(SUM(G4:$K$4)=0,"",SUMPRODUCT(G19:$K$19,G4:$K$4)/SUM(G4:$K$4))</f>
        <v>7.8833721115840472E-2</v>
      </c>
      <c r="K24" s="5">
        <f>IF(SUM(I4:$K$4)=0, "", SUMPRODUCT(I19:$K$19,I4:$K$4)/SUM(I4:$K$4))</f>
        <v>7.7034828981913078E-2</v>
      </c>
      <c r="L24" s="5">
        <f>L19</f>
        <v>7.5363763888618457E-2</v>
      </c>
      <c r="M24" s="16">
        <f>MAX(K24:L24)</f>
        <v>7.7034828981913078E-2</v>
      </c>
      <c r="N24" s="16">
        <f>MIN(H24:L24)</f>
        <v>7.5363763888618457E-2</v>
      </c>
    </row>
    <row r="25" spans="1:14" x14ac:dyDescent="0.3">
      <c r="G25" t="s">
        <v>23</v>
      </c>
      <c r="H25" s="6">
        <f>IF(ISERROR(AVERAGEIF(B14:$L14,"&gt;0")),"",AVERAGEIF(B14:$L14,"&gt;0"))</f>
        <v>111.17042155171352</v>
      </c>
      <c r="I25" s="6">
        <f>IF(ISERROR(AVERAGEIF(E14:$L14,"&gt;0")),"",AVERAGEIF(E14:$L14,"&gt;0"))</f>
        <v>116.93128414673664</v>
      </c>
      <c r="J25" s="6">
        <f>IF(ISERROR(AVERAGEIF(G14:$L14,"&gt;0")),"",AVERAGEIF(G14:$L14,"&gt;0"))</f>
        <v>109.68096581645536</v>
      </c>
      <c r="K25" s="6">
        <f>IF(ISERROR(AVERAGEIF(I14:$L14,"&gt;0")),"",AVERAGEIF(I14:$L14,"&gt;0"))</f>
        <v>97.907637616006724</v>
      </c>
      <c r="L25" s="6">
        <f>L14</f>
        <v>90.555706297614194</v>
      </c>
      <c r="M25" s="1">
        <f>MAX(K25:L25)</f>
        <v>97.907637616006724</v>
      </c>
      <c r="N25" s="1">
        <f>MIN(H25:L25)</f>
        <v>90.555706297614194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AVENUE SUPERMARTS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">
      <c r="A4" s="2" t="s">
        <v>6</v>
      </c>
      <c r="B4" s="1">
        <f>'Data Sheet'!B42</f>
        <v>13572.47</v>
      </c>
      <c r="C4" s="1">
        <f>'Data Sheet'!C42</f>
        <v>12726.55</v>
      </c>
      <c r="D4" s="1">
        <f>'Data Sheet'!D42</f>
        <v>14069.14</v>
      </c>
      <c r="E4" s="1">
        <f>'Data Sheet'!E42</f>
        <v>14444.5</v>
      </c>
      <c r="F4" s="1">
        <f>'Data Sheet'!F42</f>
        <v>15972.55</v>
      </c>
      <c r="G4" s="1">
        <f>'Data Sheet'!G42</f>
        <v>14871.86</v>
      </c>
      <c r="H4" s="1">
        <f>'Data Sheet'!H42</f>
        <v>16359.7</v>
      </c>
      <c r="I4" s="1">
        <f>'Data Sheet'!I42</f>
        <v>16676.3</v>
      </c>
      <c r="J4" s="1">
        <f>'Data Sheet'!J42</f>
        <v>18100.88</v>
      </c>
      <c r="K4" s="1">
        <f>'Data Sheet'!K42</f>
        <v>17683.86</v>
      </c>
    </row>
    <row r="5" spans="1:11" x14ac:dyDescent="0.3">
      <c r="A5" t="s">
        <v>7</v>
      </c>
      <c r="B5" s="6">
        <f>'Data Sheet'!B43</f>
        <v>12452.58</v>
      </c>
      <c r="C5" s="6">
        <f>'Data Sheet'!C43</f>
        <v>11782.91</v>
      </c>
      <c r="D5" s="6">
        <f>'Data Sheet'!D43</f>
        <v>12847.89</v>
      </c>
      <c r="E5" s="6">
        <f>'Data Sheet'!E43</f>
        <v>13350.73</v>
      </c>
      <c r="F5" s="6">
        <f>'Data Sheet'!F43</f>
        <v>14755.31</v>
      </c>
      <c r="G5" s="6">
        <f>'Data Sheet'!G43</f>
        <v>13916.79</v>
      </c>
      <c r="H5" s="6">
        <f>'Data Sheet'!H43</f>
        <v>15060.66</v>
      </c>
      <c r="I5" s="6">
        <f>'Data Sheet'!I43</f>
        <v>15462.65</v>
      </c>
      <c r="J5" s="6">
        <f>'Data Sheet'!J43</f>
        <v>16637.509999999998</v>
      </c>
      <c r="K5" s="6">
        <f>'Data Sheet'!K43</f>
        <v>16473.330000000002</v>
      </c>
    </row>
    <row r="6" spans="1:11" s="2" customFormat="1" x14ac:dyDescent="0.3">
      <c r="A6" s="2" t="s">
        <v>8</v>
      </c>
      <c r="B6" s="1">
        <f>'Data Sheet'!B50</f>
        <v>1119.8900000000001</v>
      </c>
      <c r="C6" s="1">
        <f>'Data Sheet'!C50</f>
        <v>943.64</v>
      </c>
      <c r="D6" s="1">
        <f>'Data Sheet'!D50</f>
        <v>1221.25</v>
      </c>
      <c r="E6" s="1">
        <f>'Data Sheet'!E50</f>
        <v>1093.77</v>
      </c>
      <c r="F6" s="1">
        <f>'Data Sheet'!F50</f>
        <v>1217.24</v>
      </c>
      <c r="G6" s="1">
        <f>'Data Sheet'!G50</f>
        <v>955.07</v>
      </c>
      <c r="H6" s="1">
        <f>'Data Sheet'!H50</f>
        <v>1299.04</v>
      </c>
      <c r="I6" s="1">
        <f>'Data Sheet'!I50</f>
        <v>1213.6500000000001</v>
      </c>
      <c r="J6" s="1">
        <f>'Data Sheet'!J50</f>
        <v>1463.37</v>
      </c>
      <c r="K6" s="1">
        <f>'Data Sheet'!K50</f>
        <v>1210.53</v>
      </c>
    </row>
    <row r="7" spans="1:11" x14ac:dyDescent="0.3">
      <c r="A7" t="s">
        <v>9</v>
      </c>
      <c r="B7" s="6">
        <f>'Data Sheet'!B44</f>
        <v>32.92</v>
      </c>
      <c r="C7" s="6">
        <f>'Data Sheet'!C44</f>
        <v>37.869999999999997</v>
      </c>
      <c r="D7" s="6">
        <f>'Data Sheet'!D44</f>
        <v>41.6</v>
      </c>
      <c r="E7" s="6">
        <f>'Data Sheet'!E44</f>
        <v>33.520000000000003</v>
      </c>
      <c r="F7" s="6">
        <f>'Data Sheet'!F44</f>
        <v>24.14</v>
      </c>
      <c r="G7" s="6">
        <f>'Data Sheet'!G44</f>
        <v>25.05</v>
      </c>
      <c r="H7" s="6">
        <f>'Data Sheet'!H44</f>
        <v>19.43</v>
      </c>
      <c r="I7" s="6">
        <f>'Data Sheet'!I44</f>
        <v>19.57</v>
      </c>
      <c r="J7" s="6">
        <f>'Data Sheet'!J44</f>
        <v>16.93</v>
      </c>
      <c r="K7" s="6">
        <f>'Data Sheet'!K44</f>
        <v>18.170000000000002</v>
      </c>
    </row>
    <row r="8" spans="1:11" x14ac:dyDescent="0.3">
      <c r="A8" t="s">
        <v>10</v>
      </c>
      <c r="B8" s="6">
        <f>'Data Sheet'!B45</f>
        <v>189.33</v>
      </c>
      <c r="C8" s="6">
        <f>'Data Sheet'!C45</f>
        <v>204.89</v>
      </c>
      <c r="D8" s="6">
        <f>'Data Sheet'!D45</f>
        <v>192.76</v>
      </c>
      <c r="E8" s="6">
        <f>'Data Sheet'!E45</f>
        <v>207.78</v>
      </c>
      <c r="F8" s="6">
        <f>'Data Sheet'!F45</f>
        <v>228.12</v>
      </c>
      <c r="G8" s="6">
        <f>'Data Sheet'!G45</f>
        <v>240.86</v>
      </c>
      <c r="H8" s="6">
        <f>'Data Sheet'!H45</f>
        <v>231.7</v>
      </c>
      <c r="I8" s="6">
        <f>'Data Sheet'!I45</f>
        <v>253.47</v>
      </c>
      <c r="J8" s="6">
        <f>'Data Sheet'!J45</f>
        <v>268.29000000000002</v>
      </c>
      <c r="K8" s="6">
        <f>'Data Sheet'!K45</f>
        <v>283.56</v>
      </c>
    </row>
    <row r="9" spans="1:11" x14ac:dyDescent="0.3">
      <c r="A9" t="s">
        <v>11</v>
      </c>
      <c r="B9" s="6">
        <f>'Data Sheet'!B46</f>
        <v>14.55</v>
      </c>
      <c r="C9" s="6">
        <f>'Data Sheet'!C46</f>
        <v>13.42</v>
      </c>
      <c r="D9" s="6">
        <f>'Data Sheet'!D46</f>
        <v>15.96</v>
      </c>
      <c r="E9" s="6">
        <f>'Data Sheet'!E46</f>
        <v>16.32</v>
      </c>
      <c r="F9" s="6">
        <f>'Data Sheet'!F46</f>
        <v>18.21</v>
      </c>
      <c r="G9" s="6">
        <f>'Data Sheet'!G46</f>
        <v>18.96</v>
      </c>
      <c r="H9" s="6">
        <f>'Data Sheet'!H46</f>
        <v>29.3</v>
      </c>
      <c r="I9" s="6">
        <f>'Data Sheet'!I46</f>
        <v>34.96</v>
      </c>
      <c r="J9" s="6">
        <f>'Data Sheet'!J46</f>
        <v>36.82</v>
      </c>
      <c r="K9" s="6">
        <f>'Data Sheet'!K46</f>
        <v>40.97</v>
      </c>
    </row>
    <row r="10" spans="1:11" x14ac:dyDescent="0.3">
      <c r="A10" t="s">
        <v>12</v>
      </c>
      <c r="B10" s="6">
        <f>'Data Sheet'!B47</f>
        <v>948.93</v>
      </c>
      <c r="C10" s="6">
        <f>'Data Sheet'!C47</f>
        <v>763.2</v>
      </c>
      <c r="D10" s="6">
        <f>'Data Sheet'!D47</f>
        <v>1054.1300000000001</v>
      </c>
      <c r="E10" s="6">
        <f>'Data Sheet'!E47</f>
        <v>903.19</v>
      </c>
      <c r="F10" s="6">
        <f>'Data Sheet'!F47</f>
        <v>995.05</v>
      </c>
      <c r="G10" s="6">
        <f>'Data Sheet'!G47</f>
        <v>720.3</v>
      </c>
      <c r="H10" s="6">
        <f>'Data Sheet'!H47</f>
        <v>1057.47</v>
      </c>
      <c r="I10" s="6">
        <f>'Data Sheet'!I47</f>
        <v>944.79</v>
      </c>
      <c r="J10" s="6">
        <f>'Data Sheet'!J47</f>
        <v>1175.19</v>
      </c>
      <c r="K10" s="6">
        <f>'Data Sheet'!K47</f>
        <v>904.17</v>
      </c>
    </row>
    <row r="11" spans="1:11" x14ac:dyDescent="0.3">
      <c r="A11" t="s">
        <v>13</v>
      </c>
      <c r="B11" s="6">
        <f>'Data Sheet'!B48</f>
        <v>258.52</v>
      </c>
      <c r="C11" s="6">
        <f>'Data Sheet'!C48</f>
        <v>200.06</v>
      </c>
      <c r="D11" s="6">
        <f>'Data Sheet'!D48</f>
        <v>280.45</v>
      </c>
      <c r="E11" s="6">
        <f>'Data Sheet'!E48</f>
        <v>243.75</v>
      </c>
      <c r="F11" s="6">
        <f>'Data Sheet'!F48</f>
        <v>271.51</v>
      </c>
      <c r="G11" s="6">
        <f>'Data Sheet'!G48</f>
        <v>169.51</v>
      </c>
      <c r="H11" s="6">
        <f>'Data Sheet'!H48</f>
        <v>284.66000000000003</v>
      </c>
      <c r="I11" s="6">
        <f>'Data Sheet'!I48</f>
        <v>259.94</v>
      </c>
      <c r="J11" s="6">
        <f>'Data Sheet'!J48</f>
        <v>319.41000000000003</v>
      </c>
      <c r="K11" s="6">
        <f>'Data Sheet'!K48</f>
        <v>247.75</v>
      </c>
    </row>
    <row r="12" spans="1:11" s="2" customFormat="1" x14ac:dyDescent="0.3">
      <c r="A12" s="2" t="s">
        <v>14</v>
      </c>
      <c r="B12" s="1">
        <f>'Data Sheet'!B49</f>
        <v>690.61</v>
      </c>
      <c r="C12" s="1">
        <f>'Data Sheet'!C49</f>
        <v>563.25</v>
      </c>
      <c r="D12" s="1">
        <f>'Data Sheet'!D49</f>
        <v>773.82</v>
      </c>
      <c r="E12" s="1">
        <f>'Data Sheet'!E49</f>
        <v>659.58</v>
      </c>
      <c r="F12" s="1">
        <f>'Data Sheet'!F49</f>
        <v>723.72</v>
      </c>
      <c r="G12" s="1">
        <f>'Data Sheet'!G49</f>
        <v>550.9</v>
      </c>
      <c r="H12" s="1">
        <f>'Data Sheet'!H49</f>
        <v>772.97</v>
      </c>
      <c r="I12" s="1">
        <f>'Data Sheet'!I49</f>
        <v>685.01</v>
      </c>
      <c r="J12" s="1">
        <f>'Data Sheet'!J49</f>
        <v>855.92</v>
      </c>
      <c r="K12" s="1">
        <f>'Data Sheet'!K49</f>
        <v>656.59</v>
      </c>
    </row>
    <row r="14" spans="1:11" s="2" customFormat="1" x14ac:dyDescent="0.3">
      <c r="A14" s="2" t="s">
        <v>18</v>
      </c>
      <c r="B14" s="10">
        <f>IF(B4&gt;0,B6/B4,"")</f>
        <v>8.2511878825298576E-2</v>
      </c>
      <c r="C14" s="10">
        <f t="shared" ref="C14:K14" si="0">IF(C4&gt;0,C6/C4,"")</f>
        <v>7.4147353367566227E-2</v>
      </c>
      <c r="D14" s="10">
        <f t="shared" si="0"/>
        <v>8.6803457780646159E-2</v>
      </c>
      <c r="E14" s="10">
        <f t="shared" si="0"/>
        <v>7.5722247222126074E-2</v>
      </c>
      <c r="F14" s="10">
        <f t="shared" si="0"/>
        <v>7.6208244769933417E-2</v>
      </c>
      <c r="G14" s="10">
        <f t="shared" si="0"/>
        <v>6.4219942898870758E-2</v>
      </c>
      <c r="H14" s="10">
        <f t="shared" si="0"/>
        <v>7.9404879062574485E-2</v>
      </c>
      <c r="I14" s="10">
        <f t="shared" si="0"/>
        <v>7.2776934931609541E-2</v>
      </c>
      <c r="J14" s="10">
        <f t="shared" si="0"/>
        <v>8.0845240673381613E-2</v>
      </c>
      <c r="K14" s="10">
        <f t="shared" si="0"/>
        <v>6.8453946140718147E-2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AVENUE SUPERMARTS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624.08000000000004</v>
      </c>
      <c r="C4" s="14">
        <f>'Data Sheet'!C57</f>
        <v>624.08000000000004</v>
      </c>
      <c r="D4" s="14">
        <f>'Data Sheet'!D57</f>
        <v>624.08000000000004</v>
      </c>
      <c r="E4" s="14">
        <f>'Data Sheet'!E57</f>
        <v>647.77</v>
      </c>
      <c r="F4" s="14">
        <f>'Data Sheet'!F57</f>
        <v>647.77</v>
      </c>
      <c r="G4" s="14">
        <f>'Data Sheet'!G57</f>
        <v>647.77</v>
      </c>
      <c r="H4" s="14">
        <f>'Data Sheet'!H57</f>
        <v>648.26</v>
      </c>
      <c r="I4" s="14">
        <f>'Data Sheet'!I57</f>
        <v>650.73</v>
      </c>
      <c r="J4" s="14">
        <f>'Data Sheet'!J57</f>
        <v>650.73</v>
      </c>
      <c r="K4" s="14">
        <f>'Data Sheet'!K57</f>
        <v>651.96</v>
      </c>
    </row>
    <row r="5" spans="1:11" x14ac:dyDescent="0.3">
      <c r="A5" t="s">
        <v>25</v>
      </c>
      <c r="B5" s="14">
        <f>'Data Sheet'!B58</f>
        <v>3217.7</v>
      </c>
      <c r="C5" s="14">
        <f>'Data Sheet'!C58</f>
        <v>4044.97</v>
      </c>
      <c r="D5" s="14">
        <f>'Data Sheet'!D58</f>
        <v>4963.37</v>
      </c>
      <c r="E5" s="14">
        <f>'Data Sheet'!E58</f>
        <v>10431.969999999999</v>
      </c>
      <c r="F5" s="14">
        <f>'Data Sheet'!F58</f>
        <v>11535.94</v>
      </c>
      <c r="G5" s="14">
        <f>'Data Sheet'!G58</f>
        <v>13029.87</v>
      </c>
      <c r="H5" s="14">
        <f>'Data Sheet'!H58</f>
        <v>15430.44</v>
      </c>
      <c r="I5" s="14">
        <f>'Data Sheet'!I58</f>
        <v>18047.09</v>
      </c>
      <c r="J5" s="14">
        <f>'Data Sheet'!J58</f>
        <v>20777.02</v>
      </c>
      <c r="K5" s="14">
        <f>'Data Sheet'!K58</f>
        <v>23812.080000000002</v>
      </c>
    </row>
    <row r="6" spans="1:11" x14ac:dyDescent="0.3">
      <c r="A6" t="s">
        <v>71</v>
      </c>
      <c r="B6" s="14">
        <f>'Data Sheet'!B59</f>
        <v>1497.32</v>
      </c>
      <c r="C6" s="14">
        <f>'Data Sheet'!C59</f>
        <v>439.25</v>
      </c>
      <c r="D6" s="14">
        <f>'Data Sheet'!D59</f>
        <v>700.15</v>
      </c>
      <c r="E6" s="14">
        <f>'Data Sheet'!E59</f>
        <v>333.19</v>
      </c>
      <c r="F6" s="14">
        <f>'Data Sheet'!F59</f>
        <v>392.71</v>
      </c>
      <c r="G6" s="14">
        <f>'Data Sheet'!G59</f>
        <v>646.94000000000005</v>
      </c>
      <c r="H6" s="14">
        <f>'Data Sheet'!H59</f>
        <v>642.98</v>
      </c>
      <c r="I6" s="14">
        <f>'Data Sheet'!I59</f>
        <v>592.16</v>
      </c>
      <c r="J6" s="14">
        <f>'Data Sheet'!J59</f>
        <v>819.62</v>
      </c>
      <c r="K6" s="14">
        <f>'Data Sheet'!K59</f>
        <v>2424.9899999999998</v>
      </c>
    </row>
    <row r="7" spans="1:11" x14ac:dyDescent="0.3">
      <c r="A7" t="s">
        <v>72</v>
      </c>
      <c r="B7" s="14">
        <f>'Data Sheet'!B60</f>
        <v>480.18</v>
      </c>
      <c r="C7" s="14">
        <f>'Data Sheet'!C60</f>
        <v>539.91999999999996</v>
      </c>
      <c r="D7" s="14">
        <f>'Data Sheet'!D60</f>
        <v>717.9</v>
      </c>
      <c r="E7" s="14">
        <f>'Data Sheet'!E60</f>
        <v>663.23</v>
      </c>
      <c r="F7" s="14">
        <f>'Data Sheet'!F60</f>
        <v>1078.6300000000001</v>
      </c>
      <c r="G7" s="14">
        <f>'Data Sheet'!G60</f>
        <v>1146.4000000000001</v>
      </c>
      <c r="H7" s="14">
        <f>'Data Sheet'!H60</f>
        <v>1382.84</v>
      </c>
      <c r="I7" s="14">
        <f>'Data Sheet'!I60</f>
        <v>1882.5</v>
      </c>
      <c r="J7" s="14">
        <f>'Data Sheet'!J60</f>
        <v>2065.41</v>
      </c>
      <c r="K7" s="14">
        <f>'Data Sheet'!K60</f>
        <v>2635.23</v>
      </c>
    </row>
    <row r="8" spans="1:11" s="2" customFormat="1" x14ac:dyDescent="0.3">
      <c r="A8" s="2" t="s">
        <v>26</v>
      </c>
      <c r="B8" s="15">
        <f>'Data Sheet'!B61</f>
        <v>5819.28</v>
      </c>
      <c r="C8" s="15">
        <f>'Data Sheet'!C61</f>
        <v>5648.22</v>
      </c>
      <c r="D8" s="15">
        <f>'Data Sheet'!D61</f>
        <v>7005.5</v>
      </c>
      <c r="E8" s="15">
        <f>'Data Sheet'!E61</f>
        <v>12076.16</v>
      </c>
      <c r="F8" s="15">
        <f>'Data Sheet'!F61</f>
        <v>13655.05</v>
      </c>
      <c r="G8" s="15">
        <f>'Data Sheet'!G61</f>
        <v>15470.98</v>
      </c>
      <c r="H8" s="15">
        <f>'Data Sheet'!H61</f>
        <v>18104.52</v>
      </c>
      <c r="I8" s="15">
        <f>'Data Sheet'!I61</f>
        <v>21172.48</v>
      </c>
      <c r="J8" s="15">
        <f>'Data Sheet'!J61</f>
        <v>24312.78</v>
      </c>
      <c r="K8" s="15">
        <f>'Data Sheet'!K61</f>
        <v>29524.26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2577.75</v>
      </c>
      <c r="C10" s="14">
        <f>'Data Sheet'!C62</f>
        <v>3399.97</v>
      </c>
      <c r="D10" s="14">
        <f>'Data Sheet'!D62</f>
        <v>4400.37</v>
      </c>
      <c r="E10" s="14">
        <f>'Data Sheet'!E62</f>
        <v>5948.03</v>
      </c>
      <c r="F10" s="14">
        <f>'Data Sheet'!F62</f>
        <v>7008.8</v>
      </c>
      <c r="G10" s="14">
        <f>'Data Sheet'!G62</f>
        <v>9260.02</v>
      </c>
      <c r="H10" s="14">
        <f>'Data Sheet'!H62</f>
        <v>11340.48</v>
      </c>
      <c r="I10" s="14">
        <f>'Data Sheet'!I62</f>
        <v>13415</v>
      </c>
      <c r="J10" s="14">
        <f>'Data Sheet'!J62</f>
        <v>16206.46</v>
      </c>
      <c r="K10" s="14">
        <f>'Data Sheet'!K62</f>
        <v>20090.310000000001</v>
      </c>
    </row>
    <row r="11" spans="1:11" x14ac:dyDescent="0.3">
      <c r="A11" t="s">
        <v>28</v>
      </c>
      <c r="B11" s="14">
        <f>'Data Sheet'!B63</f>
        <v>152.88999999999999</v>
      </c>
      <c r="C11" s="14">
        <f>'Data Sheet'!C63</f>
        <v>147.07</v>
      </c>
      <c r="D11" s="14">
        <f>'Data Sheet'!D63</f>
        <v>376.84</v>
      </c>
      <c r="E11" s="14">
        <f>'Data Sheet'!E63</f>
        <v>364.4</v>
      </c>
      <c r="F11" s="14">
        <f>'Data Sheet'!F63</f>
        <v>1019.59</v>
      </c>
      <c r="G11" s="14">
        <f>'Data Sheet'!G63</f>
        <v>1129.3399999999999</v>
      </c>
      <c r="H11" s="14">
        <f>'Data Sheet'!H63</f>
        <v>829.16</v>
      </c>
      <c r="I11" s="14">
        <f>'Data Sheet'!I63</f>
        <v>935.22</v>
      </c>
      <c r="J11" s="14">
        <f>'Data Sheet'!J63</f>
        <v>1099.3499999999999</v>
      </c>
      <c r="K11" s="14">
        <f>'Data Sheet'!K63</f>
        <v>1299.96</v>
      </c>
    </row>
    <row r="12" spans="1:11" x14ac:dyDescent="0.3">
      <c r="A12" t="s">
        <v>29</v>
      </c>
      <c r="B12" s="14">
        <f>'Data Sheet'!B64</f>
        <v>25.69</v>
      </c>
      <c r="C12" s="14">
        <f>'Data Sheet'!C64</f>
        <v>68.180000000000007</v>
      </c>
      <c r="D12" s="14">
        <f>'Data Sheet'!D64</f>
        <v>16.53</v>
      </c>
      <c r="E12" s="14">
        <f>'Data Sheet'!E64</f>
        <v>14.68</v>
      </c>
      <c r="F12" s="14">
        <f>'Data Sheet'!F64</f>
        <v>2.95</v>
      </c>
      <c r="G12" s="14">
        <f>'Data Sheet'!G64</f>
        <v>5.94</v>
      </c>
      <c r="H12" s="14">
        <f>'Data Sheet'!H64</f>
        <v>202.2</v>
      </c>
      <c r="I12" s="14">
        <f>'Data Sheet'!I64</f>
        <v>106.67</v>
      </c>
      <c r="J12" s="14">
        <f>'Data Sheet'!J64</f>
        <v>3.26</v>
      </c>
      <c r="K12" s="14">
        <f>'Data Sheet'!K64</f>
        <v>4.01</v>
      </c>
    </row>
    <row r="13" spans="1:11" x14ac:dyDescent="0.3">
      <c r="A13" t="s">
        <v>73</v>
      </c>
      <c r="B13" s="14">
        <f>'Data Sheet'!B65</f>
        <v>3062.95</v>
      </c>
      <c r="C13" s="14">
        <f>'Data Sheet'!C65</f>
        <v>2033</v>
      </c>
      <c r="D13" s="14">
        <f>'Data Sheet'!D65</f>
        <v>2211.7600000000002</v>
      </c>
      <c r="E13" s="14">
        <f>'Data Sheet'!E65</f>
        <v>5749.05</v>
      </c>
      <c r="F13" s="14">
        <f>'Data Sheet'!F65</f>
        <v>5623.71</v>
      </c>
      <c r="G13" s="14">
        <f>'Data Sheet'!G65</f>
        <v>5075.68</v>
      </c>
      <c r="H13" s="14">
        <f>'Data Sheet'!H65</f>
        <v>5732.68</v>
      </c>
      <c r="I13" s="14">
        <f>'Data Sheet'!I65</f>
        <v>6715.59</v>
      </c>
      <c r="J13" s="14">
        <f>'Data Sheet'!J65</f>
        <v>7003.71</v>
      </c>
      <c r="K13" s="14">
        <f>'Data Sheet'!K65</f>
        <v>8129.98</v>
      </c>
    </row>
    <row r="14" spans="1:11" s="2" customFormat="1" x14ac:dyDescent="0.3">
      <c r="A14" s="2" t="s">
        <v>26</v>
      </c>
      <c r="B14" s="14">
        <f>'Data Sheet'!B66</f>
        <v>5819.28</v>
      </c>
      <c r="C14" s="14">
        <f>'Data Sheet'!C66</f>
        <v>5648.22</v>
      </c>
      <c r="D14" s="14">
        <f>'Data Sheet'!D66</f>
        <v>7005.5</v>
      </c>
      <c r="E14" s="14">
        <f>'Data Sheet'!E66</f>
        <v>12076.16</v>
      </c>
      <c r="F14" s="14">
        <f>'Data Sheet'!F66</f>
        <v>13655.05</v>
      </c>
      <c r="G14" s="14">
        <f>'Data Sheet'!G66</f>
        <v>15470.98</v>
      </c>
      <c r="H14" s="14">
        <f>'Data Sheet'!H66</f>
        <v>18104.52</v>
      </c>
      <c r="I14" s="14">
        <f>'Data Sheet'!I66</f>
        <v>21172.48</v>
      </c>
      <c r="J14" s="14">
        <f>'Data Sheet'!J66</f>
        <v>24312.78</v>
      </c>
      <c r="K14" s="14">
        <f>'Data Sheet'!K66</f>
        <v>29524.26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2582.77</v>
      </c>
      <c r="C16" s="4">
        <f t="shared" ref="C16:K16" si="0">C13-C7</f>
        <v>1493.08</v>
      </c>
      <c r="D16" s="4">
        <f t="shared" si="0"/>
        <v>1493.8600000000001</v>
      </c>
      <c r="E16" s="4">
        <f t="shared" si="0"/>
        <v>5085.82</v>
      </c>
      <c r="F16" s="4">
        <f t="shared" si="0"/>
        <v>4545.08</v>
      </c>
      <c r="G16" s="4">
        <f t="shared" si="0"/>
        <v>3929.28</v>
      </c>
      <c r="H16" s="4">
        <f t="shared" si="0"/>
        <v>4349.84</v>
      </c>
      <c r="I16" s="4">
        <f t="shared" si="0"/>
        <v>4833.09</v>
      </c>
      <c r="J16" s="4">
        <f t="shared" si="0"/>
        <v>4938.3</v>
      </c>
      <c r="K16" s="4">
        <f t="shared" si="0"/>
        <v>5494.75</v>
      </c>
    </row>
    <row r="17" spans="1:11" x14ac:dyDescent="0.3">
      <c r="A17" t="s">
        <v>44</v>
      </c>
      <c r="B17" s="4">
        <f>'Data Sheet'!B67</f>
        <v>21</v>
      </c>
      <c r="C17" s="4">
        <f>'Data Sheet'!C67</f>
        <v>33.520000000000003</v>
      </c>
      <c r="D17" s="4">
        <f>'Data Sheet'!D67</f>
        <v>64.37</v>
      </c>
      <c r="E17" s="4">
        <f>'Data Sheet'!E67</f>
        <v>19.55</v>
      </c>
      <c r="F17" s="4">
        <f>'Data Sheet'!F67</f>
        <v>43.58</v>
      </c>
      <c r="G17" s="4">
        <f>'Data Sheet'!G67</f>
        <v>66.89</v>
      </c>
      <c r="H17" s="4">
        <f>'Data Sheet'!H67</f>
        <v>62.16</v>
      </c>
      <c r="I17" s="4">
        <f>'Data Sheet'!I67</f>
        <v>166.37</v>
      </c>
      <c r="J17" s="4">
        <f>'Data Sheet'!J67</f>
        <v>153.79</v>
      </c>
      <c r="K17" s="4">
        <f>'Data Sheet'!K67</f>
        <v>149.34</v>
      </c>
    </row>
    <row r="18" spans="1:11" x14ac:dyDescent="0.3">
      <c r="A18" t="s">
        <v>45</v>
      </c>
      <c r="B18" s="4">
        <f>'Data Sheet'!B68</f>
        <v>947.9</v>
      </c>
      <c r="C18" s="4">
        <f>'Data Sheet'!C68</f>
        <v>1163.45</v>
      </c>
      <c r="D18" s="4">
        <f>'Data Sheet'!D68</f>
        <v>1608.65</v>
      </c>
      <c r="E18" s="4">
        <f>'Data Sheet'!E68</f>
        <v>1947.4</v>
      </c>
      <c r="F18" s="4">
        <f>'Data Sheet'!F68</f>
        <v>2248.2800000000002</v>
      </c>
      <c r="G18" s="4">
        <f>'Data Sheet'!G68</f>
        <v>2742.66</v>
      </c>
      <c r="H18" s="4">
        <f>'Data Sheet'!H68</f>
        <v>3243.48</v>
      </c>
      <c r="I18" s="4">
        <f>'Data Sheet'!I68</f>
        <v>3927.31</v>
      </c>
      <c r="J18" s="4">
        <f>'Data Sheet'!J68</f>
        <v>5044.37</v>
      </c>
      <c r="K18" s="4">
        <f>'Data Sheet'!K68</f>
        <v>5900.64</v>
      </c>
    </row>
    <row r="20" spans="1:11" x14ac:dyDescent="0.3">
      <c r="A20" t="s">
        <v>46</v>
      </c>
      <c r="B20" s="4">
        <f>IF('Profit &amp; Loss'!B4&gt;0,'Balance Sheet'!B17/('Profit &amp; Loss'!B4/365),0)</f>
        <v>0.64424216445195293</v>
      </c>
      <c r="C20" s="4">
        <f>IF('Profit &amp; Loss'!C4&gt;0,'Balance Sheet'!C17/('Profit &amp; Loss'!C4/365),0)</f>
        <v>0.81385200755660814</v>
      </c>
      <c r="D20" s="4">
        <f>IF('Profit &amp; Loss'!D4&gt;0,'Balance Sheet'!D17/('Profit &amp; Loss'!D4/365),0)</f>
        <v>1.1744870659231015</v>
      </c>
      <c r="E20" s="4">
        <f>IF('Profit &amp; Loss'!E4&gt;0,'Balance Sheet'!E17/('Profit &amp; Loss'!E4/365),0)</f>
        <v>0.28691968701498177</v>
      </c>
      <c r="F20" s="4">
        <f>IF('Profit &amp; Loss'!F4&gt;0,'Balance Sheet'!F17/('Profit &amp; Loss'!F4/365),0)</f>
        <v>0.65885186053466294</v>
      </c>
      <c r="G20" s="4">
        <f>IF('Profit &amp; Loss'!G4&gt;0,'Balance Sheet'!G17/('Profit &amp; Loss'!G4/365),0)</f>
        <v>0.7881791448744474</v>
      </c>
      <c r="H20" s="4">
        <f>IF('Profit &amp; Loss'!H4&gt;0,'Balance Sheet'!H17/('Profit &amp; Loss'!H4/365),0)</f>
        <v>0.52961328267610597</v>
      </c>
      <c r="I20" s="4">
        <f>IF('Profit &amp; Loss'!I4&gt;0,'Balance Sheet'!I17/('Profit &amp; Loss'!I4/365),0)</f>
        <v>1.1956378991207319</v>
      </c>
      <c r="J20" s="4">
        <f>IF('Profit &amp; Loss'!J4&gt;0,'Balance Sheet'!J17/('Profit &amp; Loss'!J4/365),0)</f>
        <v>0.94567375444442647</v>
      </c>
      <c r="K20" s="4">
        <f>IF('Profit &amp; Loss'!K4&gt;0,'Balance Sheet'!K17/('Profit &amp; Loss'!K4/365),0)</f>
        <v>0.79204466560516495</v>
      </c>
    </row>
    <row r="21" spans="1:11" x14ac:dyDescent="0.3">
      <c r="A21" t="s">
        <v>47</v>
      </c>
      <c r="B21" s="4">
        <f>IF('Balance Sheet'!B18&gt;0,'Profit &amp; Loss'!B4/'Balance Sheet'!B18,0)</f>
        <v>12.551640468403841</v>
      </c>
      <c r="C21" s="4">
        <f>IF('Balance Sheet'!C18&gt;0,'Profit &amp; Loss'!C4/'Balance Sheet'!C18,0)</f>
        <v>12.921225665047919</v>
      </c>
      <c r="D21" s="4">
        <f>IF('Balance Sheet'!D18&gt;0,'Profit &amp; Loss'!D4/'Balance Sheet'!D18,0)</f>
        <v>12.435595064184254</v>
      </c>
      <c r="E21" s="4">
        <f>IF('Balance Sheet'!E18&gt;0,'Profit &amp; Loss'!E4/'Balance Sheet'!E18,0)</f>
        <v>12.770976686864538</v>
      </c>
      <c r="F21" s="4">
        <f>IF('Balance Sheet'!F18&gt;0,'Profit &amp; Loss'!F4/'Balance Sheet'!F18,0)</f>
        <v>10.738457843329122</v>
      </c>
      <c r="G21" s="4">
        <f>IF('Balance Sheet'!G18&gt;0,'Profit &amp; Loss'!G4/'Balance Sheet'!G18,0)</f>
        <v>11.294243544588101</v>
      </c>
      <c r="H21" s="4">
        <f>IF('Balance Sheet'!H18&gt;0,'Profit &amp; Loss'!H4/'Balance Sheet'!H18,0)</f>
        <v>13.2079001566219</v>
      </c>
      <c r="I21" s="4">
        <f>IF('Balance Sheet'!I18&gt;0,'Profit &amp; Loss'!I4/'Balance Sheet'!I18,0)</f>
        <v>12.932218235891744</v>
      </c>
      <c r="J21" s="4">
        <f>IF('Balance Sheet'!J18&gt;0,'Profit &amp; Loss'!J4/'Balance Sheet'!J18,0)</f>
        <v>11.767187973919439</v>
      </c>
      <c r="K21" s="4">
        <f>IF('Balance Sheet'!K18&gt;0,'Profit &amp; Loss'!K4/'Balance Sheet'!K18,0)</f>
        <v>11.663267035440224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0.12461671412730559</v>
      </c>
      <c r="C23" s="10">
        <f>IF(SUM('Balance Sheet'!C4:C5)&gt;0,'Profit &amp; Loss'!C12/SUM('Balance Sheet'!C4:C5),"")</f>
        <v>0.17268180893329477</v>
      </c>
      <c r="D23" s="10">
        <f>IF(SUM('Balance Sheet'!D4:D5)&gt;0,'Profit &amp; Loss'!D12/SUM('Balance Sheet'!D4:D5),"")</f>
        <v>0.16152985709044376</v>
      </c>
      <c r="E23" s="10">
        <f>IF(SUM('Balance Sheet'!E4:E5)&gt;0,'Profit &amp; Loss'!E12/SUM('Balance Sheet'!E4:E5),"")</f>
        <v>0.11742874832802935</v>
      </c>
      <c r="F23" s="10">
        <f>IF(SUM('Balance Sheet'!F4:F5)&gt;0,'Profit &amp; Loss'!F12/SUM('Balance Sheet'!F4:F5),"")</f>
        <v>9.0242627245724003E-2</v>
      </c>
      <c r="G23" s="10">
        <f>IF(SUM('Balance Sheet'!G4:G5)&gt;0,'Profit &amp; Loss'!G12/SUM('Balance Sheet'!G4:G5),"")</f>
        <v>0.10912335753828875</v>
      </c>
      <c r="H23" s="10">
        <f>IF(SUM('Balance Sheet'!H4:H5)&gt;0,'Profit &amp; Loss'!H12/SUM('Balance Sheet'!H4:H5),"")</f>
        <v>0.14792924801134422</v>
      </c>
      <c r="I23" s="10">
        <f>IF(SUM('Balance Sheet'!I4:I5)&gt;0,'Profit &amp; Loss'!I12/SUM('Balance Sheet'!I4:I5),"")</f>
        <v>0.13563987673429309</v>
      </c>
      <c r="J23" s="10">
        <f>IF(SUM('Balance Sheet'!J4:J5)&gt;0,'Profit &amp; Loss'!J12/SUM('Balance Sheet'!J4:J5),"")</f>
        <v>0.12637911119926265</v>
      </c>
      <c r="K23" s="10">
        <f>IF(SUM('Balance Sheet'!K4:K5)&gt;0,'Profit &amp; Loss'!K12/SUM('Balance Sheet'!K4:K5),"")</f>
        <v>0.1214227085959637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0.24534525336447344</v>
      </c>
      <c r="D24" s="10">
        <f>IF((C4+C5+C6+D4+D5+D6)&gt;0,('Profit &amp; Loss'!D10+'Profit &amp; Loss'!D9)*2/(C4+C5+C6+D4+D5+D6),"")</f>
        <v>0.25783834536982603</v>
      </c>
      <c r="E24" s="10">
        <f>IF((D4+D5+D6+E4+E5+E6)&gt;0,('Profit &amp; Loss'!E10+'Profit &amp; Loss'!E9)*2/(D4+D5+D6+E4+E5+E6),"")</f>
        <v>0.2049531850176238</v>
      </c>
      <c r="F24" s="10">
        <f>IF((E4+E5+E6+F4+F5+F6)&gt;0,('Profit &amp; Loss'!F10+'Profit &amp; Loss'!F9)*2/(E4+E5+E6+F4+F5+F6),"")</f>
        <v>0.12714808863099669</v>
      </c>
      <c r="G24" s="10">
        <f>IF((F4+F5+F6+G4+G5+G6)&gt;0,('Profit &amp; Loss'!G10+'Profit &amp; Loss'!G9)*2/(F4+F5+F6+G4+G5+G6),"")</f>
        <v>0.15745957399353183</v>
      </c>
      <c r="H24" s="10">
        <f>IF((G4+G5+G6+H4+H5+H6)&gt;0,('Profit &amp; Loss'!H10+'Profit &amp; Loss'!H9)*2/(G4+G5+G6+H4+H5+H6),"")</f>
        <v>0.20147354302901541</v>
      </c>
      <c r="I24" s="10">
        <f>IF((H4+H5+H6+I4+I5+I6)&gt;0,('Profit &amp; Loss'!I10+'Profit &amp; Loss'!I9)*2/(H4+H5+H6+I4+I5+I6),"")</f>
        <v>0.19546224750539129</v>
      </c>
      <c r="J24" s="10">
        <f>IF((I4+I5+I6+J4+J5+J6)&gt;0,('Profit &amp; Loss'!J10+'Profit &amp; Loss'!J9)*2/(I4+I5+I6+J4+J5+J6),"")</f>
        <v>0.1801809696574288</v>
      </c>
      <c r="K24" s="10">
        <f>IF((J4+J5+J6+K4+K5+K6)&gt;0,('Profit &amp; Loss'!K10+'Profit &amp; Loss'!K9)*2/(J4+J5+J6+K4+K5+K6),"")</f>
        <v>0.17191613549222165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AVENUE SUPERMARTS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455.28</v>
      </c>
      <c r="C4" s="1">
        <f>'Data Sheet'!C82</f>
        <v>729.99</v>
      </c>
      <c r="D4" s="1">
        <f>'Data Sheet'!D82</f>
        <v>806.84</v>
      </c>
      <c r="E4" s="1">
        <f>'Data Sheet'!E82</f>
        <v>1280.1400000000001</v>
      </c>
      <c r="F4" s="1">
        <f>'Data Sheet'!F82</f>
        <v>1375.14</v>
      </c>
      <c r="G4" s="1">
        <f>'Data Sheet'!G82</f>
        <v>1372.35</v>
      </c>
      <c r="H4" s="1">
        <f>'Data Sheet'!H82</f>
        <v>2630.27</v>
      </c>
      <c r="I4" s="1">
        <f>'Data Sheet'!I82</f>
        <v>2745.84</v>
      </c>
      <c r="J4" s="1">
        <f>'Data Sheet'!J82</f>
        <v>2462.9699999999998</v>
      </c>
      <c r="K4" s="1">
        <f>'Data Sheet'!K82</f>
        <v>3466.74</v>
      </c>
    </row>
    <row r="5" spans="1:11" x14ac:dyDescent="0.3">
      <c r="A5" t="s">
        <v>33</v>
      </c>
      <c r="B5" s="6">
        <f>'Data Sheet'!B83</f>
        <v>-2481.61</v>
      </c>
      <c r="C5" s="6">
        <f>'Data Sheet'!C83</f>
        <v>463.55</v>
      </c>
      <c r="D5" s="6">
        <f>'Data Sheet'!D83</f>
        <v>-958.37</v>
      </c>
      <c r="E5" s="6">
        <f>'Data Sheet'!E83</f>
        <v>-4656.5600000000004</v>
      </c>
      <c r="F5" s="6">
        <f>'Data Sheet'!F83</f>
        <v>-1110</v>
      </c>
      <c r="G5" s="6">
        <f>'Data Sheet'!G83</f>
        <v>-1289.49</v>
      </c>
      <c r="H5" s="6">
        <f>'Data Sheet'!H83</f>
        <v>-2313.1</v>
      </c>
      <c r="I5" s="6">
        <f>'Data Sheet'!I83</f>
        <v>-2468.23</v>
      </c>
      <c r="J5" s="6">
        <f>'Data Sheet'!J83</f>
        <v>-2185.31</v>
      </c>
      <c r="K5" s="6">
        <f>'Data Sheet'!K83</f>
        <v>-4206.96</v>
      </c>
    </row>
    <row r="6" spans="1:11" x14ac:dyDescent="0.3">
      <c r="A6" t="s">
        <v>34</v>
      </c>
      <c r="B6" s="6">
        <f>'Data Sheet'!B84</f>
        <v>2025.26</v>
      </c>
      <c r="C6" s="6">
        <f>'Data Sheet'!C84</f>
        <v>-1159.06</v>
      </c>
      <c r="D6" s="6">
        <f>'Data Sheet'!D84</f>
        <v>208.98</v>
      </c>
      <c r="E6" s="6">
        <f>'Data Sheet'!E84</f>
        <v>3357.42</v>
      </c>
      <c r="F6" s="6">
        <f>'Data Sheet'!F84</f>
        <v>-179.5</v>
      </c>
      <c r="G6" s="6">
        <f>'Data Sheet'!G84</f>
        <v>-179.24</v>
      </c>
      <c r="H6" s="6">
        <f>'Data Sheet'!H84</f>
        <v>-205.14</v>
      </c>
      <c r="I6" s="6">
        <f>'Data Sheet'!I84</f>
        <v>-147.63999999999999</v>
      </c>
      <c r="J6" s="6">
        <f>'Data Sheet'!J84</f>
        <v>-259.3</v>
      </c>
      <c r="K6" s="6">
        <f>'Data Sheet'!K84</f>
        <v>288.18</v>
      </c>
    </row>
    <row r="7" spans="1:11" s="2" customFormat="1" x14ac:dyDescent="0.3">
      <c r="A7" s="2" t="s">
        <v>35</v>
      </c>
      <c r="B7" s="1">
        <f>'Data Sheet'!B85</f>
        <v>-1.07</v>
      </c>
      <c r="C7" s="1">
        <f>'Data Sheet'!C85</f>
        <v>34.479999999999997</v>
      </c>
      <c r="D7" s="1">
        <f>'Data Sheet'!D85</f>
        <v>57.45</v>
      </c>
      <c r="E7" s="1">
        <f>'Data Sheet'!E85</f>
        <v>-19</v>
      </c>
      <c r="F7" s="1">
        <f>'Data Sheet'!F85</f>
        <v>85.64</v>
      </c>
      <c r="G7" s="1">
        <f>'Data Sheet'!G85</f>
        <v>-96.38</v>
      </c>
      <c r="H7" s="1">
        <f>'Data Sheet'!H85</f>
        <v>112.03</v>
      </c>
      <c r="I7" s="1">
        <f>'Data Sheet'!I85</f>
        <v>129.97</v>
      </c>
      <c r="J7" s="1">
        <f>'Data Sheet'!J85</f>
        <v>18.36</v>
      </c>
      <c r="K7" s="1">
        <f>'Data Sheet'!K85</f>
        <v>-452.04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0" activePane="bottomRight" state="frozen"/>
      <selection activeCell="C4" sqref="C4"/>
      <selection pane="topRight" activeCell="C4" sqref="C4"/>
      <selection pane="bottomLeft" activeCell="C4" sqref="C4"/>
      <selection pane="bottomRight" activeCell="B16" sqref="B16:K1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25" t="str">
        <f>IF(B2&lt;&gt;B3, "A NEW VERSION OF THE WORKSHEET IS AVAILABLE", "")</f>
        <v/>
      </c>
      <c r="F1" s="25"/>
      <c r="G1" s="25"/>
      <c r="H1" s="25"/>
      <c r="I1" s="25"/>
      <c r="J1" s="25"/>
      <c r="K1" s="25"/>
    </row>
    <row r="2" spans="1:11" x14ac:dyDescent="0.3">
      <c r="A2" s="1" t="s">
        <v>61</v>
      </c>
      <c r="B2" s="4">
        <v>2.1</v>
      </c>
      <c r="E2" s="26" t="s">
        <v>36</v>
      </c>
      <c r="F2" s="26"/>
      <c r="G2" s="26"/>
      <c r="H2" s="26"/>
      <c r="I2" s="26"/>
      <c r="J2" s="26"/>
      <c r="K2" s="26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65.220352051207456</v>
      </c>
    </row>
    <row r="7" spans="1:11" x14ac:dyDescent="0.3">
      <c r="A7" s="4" t="s">
        <v>31</v>
      </c>
      <c r="B7">
        <v>10</v>
      </c>
    </row>
    <row r="8" spans="1:11" x14ac:dyDescent="0.3">
      <c r="A8" s="4" t="s">
        <v>43</v>
      </c>
      <c r="B8">
        <v>4124.3999999999996</v>
      </c>
    </row>
    <row r="9" spans="1:11" x14ac:dyDescent="0.3">
      <c r="A9" s="4" t="s">
        <v>79</v>
      </c>
      <c r="B9">
        <v>268994.82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B17">
        <v>11897.7</v>
      </c>
      <c r="C17">
        <v>15033.2</v>
      </c>
      <c r="D17">
        <v>20004.52</v>
      </c>
      <c r="E17">
        <v>24870.2</v>
      </c>
      <c r="F17">
        <v>24143.06</v>
      </c>
      <c r="G17">
        <v>30976.27</v>
      </c>
      <c r="H17">
        <v>42839.56</v>
      </c>
      <c r="I17">
        <v>50788.83</v>
      </c>
      <c r="J17">
        <v>59358.05</v>
      </c>
      <c r="K17">
        <v>68820.740000000005</v>
      </c>
    </row>
    <row r="18" spans="1:11" s="6" customFormat="1" x14ac:dyDescent="0.3">
      <c r="A18" s="4" t="s">
        <v>80</v>
      </c>
      <c r="B18">
        <v>10357.25</v>
      </c>
      <c r="C18">
        <v>12846.95</v>
      </c>
      <c r="D18">
        <v>17445.490000000002</v>
      </c>
      <c r="E18">
        <v>21441.68</v>
      </c>
      <c r="F18">
        <v>20855.560000000001</v>
      </c>
      <c r="G18">
        <v>26891.77</v>
      </c>
      <c r="H18">
        <v>36884.769999999997</v>
      </c>
      <c r="I18">
        <v>43958.31</v>
      </c>
      <c r="J18">
        <v>51668.76</v>
      </c>
      <c r="K18">
        <v>59315.99</v>
      </c>
    </row>
    <row r="19" spans="1:11" s="6" customFormat="1" x14ac:dyDescent="0.3">
      <c r="A19" s="4" t="s">
        <v>81</v>
      </c>
      <c r="B19">
        <v>276.22000000000003</v>
      </c>
      <c r="C19">
        <v>211.31</v>
      </c>
      <c r="D19">
        <v>444.65</v>
      </c>
      <c r="E19">
        <v>338.75</v>
      </c>
      <c r="F19">
        <v>300.88</v>
      </c>
      <c r="G19">
        <v>494.38</v>
      </c>
      <c r="H19">
        <v>500.82</v>
      </c>
      <c r="I19">
        <v>683.77</v>
      </c>
      <c r="J19">
        <v>1117.06</v>
      </c>
      <c r="K19">
        <v>856.26</v>
      </c>
    </row>
    <row r="20" spans="1:11" s="6" customFormat="1" x14ac:dyDescent="0.3">
      <c r="A20" s="4" t="s">
        <v>82</v>
      </c>
      <c r="B20">
        <v>99.41</v>
      </c>
      <c r="C20">
        <v>121.26</v>
      </c>
      <c r="D20">
        <v>152.80000000000001</v>
      </c>
      <c r="E20">
        <v>188.24</v>
      </c>
      <c r="F20">
        <v>174.2</v>
      </c>
      <c r="G20">
        <v>207.86</v>
      </c>
      <c r="H20">
        <v>314.62</v>
      </c>
      <c r="I20">
        <v>376.59</v>
      </c>
      <c r="J20">
        <v>447.75</v>
      </c>
    </row>
    <row r="21" spans="1:11" s="6" customFormat="1" x14ac:dyDescent="0.3">
      <c r="A21" s="4" t="s">
        <v>83</v>
      </c>
      <c r="B21">
        <v>332.9</v>
      </c>
      <c r="C21">
        <v>373.72</v>
      </c>
      <c r="D21">
        <v>499.72</v>
      </c>
      <c r="E21">
        <v>645.96</v>
      </c>
      <c r="F21">
        <v>746.43</v>
      </c>
      <c r="G21">
        <v>805.85</v>
      </c>
      <c r="H21">
        <v>1116.56</v>
      </c>
      <c r="I21">
        <v>1323.43</v>
      </c>
      <c r="J21">
        <v>1751.85</v>
      </c>
    </row>
    <row r="22" spans="1:11" s="6" customFormat="1" x14ac:dyDescent="0.3">
      <c r="A22" s="4" t="s">
        <v>84</v>
      </c>
      <c r="B22">
        <v>192.67</v>
      </c>
      <c r="C22">
        <v>283.14</v>
      </c>
      <c r="D22">
        <v>356.17</v>
      </c>
      <c r="E22">
        <v>457.14</v>
      </c>
      <c r="F22">
        <v>537.58000000000004</v>
      </c>
      <c r="G22">
        <v>617.36</v>
      </c>
      <c r="H22">
        <v>748.16</v>
      </c>
      <c r="I22">
        <v>907.82</v>
      </c>
      <c r="J22">
        <v>1167.47</v>
      </c>
      <c r="K22">
        <v>1541.48</v>
      </c>
    </row>
    <row r="23" spans="1:11" s="6" customFormat="1" x14ac:dyDescent="0.3">
      <c r="A23" s="4" t="s">
        <v>85</v>
      </c>
      <c r="B23">
        <v>71.239999999999995</v>
      </c>
      <c r="C23">
        <v>96</v>
      </c>
      <c r="D23">
        <v>135.84</v>
      </c>
      <c r="E23">
        <v>66.400000000000006</v>
      </c>
      <c r="F23">
        <v>108.69</v>
      </c>
      <c r="G23">
        <v>143.41</v>
      </c>
      <c r="H23">
        <v>212.04</v>
      </c>
      <c r="I23">
        <v>274.43</v>
      </c>
      <c r="J23">
        <v>312.48</v>
      </c>
    </row>
    <row r="24" spans="1:11" s="6" customFormat="1" x14ac:dyDescent="0.3">
      <c r="A24" s="4" t="s">
        <v>86</v>
      </c>
      <c r="B24">
        <v>151.27000000000001</v>
      </c>
      <c r="C24">
        <v>170.58</v>
      </c>
      <c r="D24">
        <v>225.84</v>
      </c>
      <c r="E24">
        <v>281.22000000000003</v>
      </c>
      <c r="F24">
        <v>276.64999999999998</v>
      </c>
      <c r="G24">
        <v>302.05</v>
      </c>
      <c r="H24">
        <v>425.46</v>
      </c>
      <c r="I24">
        <v>526.38</v>
      </c>
      <c r="J24">
        <v>632.29</v>
      </c>
      <c r="K24">
        <v>3632.94</v>
      </c>
    </row>
    <row r="25" spans="1:11" s="6" customFormat="1" x14ac:dyDescent="0.3">
      <c r="A25" s="6" t="s">
        <v>9</v>
      </c>
      <c r="B25">
        <v>27.7</v>
      </c>
      <c r="C25">
        <v>87.75</v>
      </c>
      <c r="D25">
        <v>48.33</v>
      </c>
      <c r="E25">
        <v>59.99</v>
      </c>
      <c r="F25">
        <v>194.43</v>
      </c>
      <c r="G25">
        <v>113.64</v>
      </c>
      <c r="H25">
        <v>127.6</v>
      </c>
      <c r="I25">
        <v>144.58000000000001</v>
      </c>
      <c r="J25">
        <v>117.13</v>
      </c>
      <c r="K25">
        <v>74.099999999999994</v>
      </c>
    </row>
    <row r="26" spans="1:11" s="6" customFormat="1" x14ac:dyDescent="0.3">
      <c r="A26" s="6" t="s">
        <v>10</v>
      </c>
      <c r="B26">
        <v>127.82</v>
      </c>
      <c r="C26">
        <v>159</v>
      </c>
      <c r="D26">
        <v>212.49</v>
      </c>
      <c r="E26">
        <v>374.41</v>
      </c>
      <c r="F26">
        <v>414.16</v>
      </c>
      <c r="G26">
        <v>498.08</v>
      </c>
      <c r="H26">
        <v>638.87</v>
      </c>
      <c r="I26">
        <v>730.76</v>
      </c>
      <c r="J26">
        <v>869.52</v>
      </c>
      <c r="K26">
        <v>1037.02</v>
      </c>
    </row>
    <row r="27" spans="1:11" s="6" customFormat="1" x14ac:dyDescent="0.3">
      <c r="A27" s="6" t="s">
        <v>11</v>
      </c>
      <c r="B27">
        <v>121.98</v>
      </c>
      <c r="C27">
        <v>59.54</v>
      </c>
      <c r="D27">
        <v>47.21</v>
      </c>
      <c r="E27">
        <v>69.12</v>
      </c>
      <c r="F27">
        <v>41.65</v>
      </c>
      <c r="G27">
        <v>53.79</v>
      </c>
      <c r="H27">
        <v>67.41</v>
      </c>
      <c r="I27">
        <v>58.13</v>
      </c>
      <c r="J27">
        <v>69.45</v>
      </c>
      <c r="K27">
        <v>142.05000000000001</v>
      </c>
    </row>
    <row r="28" spans="1:11" s="6" customFormat="1" x14ac:dyDescent="0.3">
      <c r="A28" s="6" t="s">
        <v>12</v>
      </c>
      <c r="B28">
        <v>747.08</v>
      </c>
      <c r="C28">
        <v>1222.07</v>
      </c>
      <c r="D28">
        <v>1421.94</v>
      </c>
      <c r="E28">
        <v>1744.77</v>
      </c>
      <c r="F28">
        <v>1483.45</v>
      </c>
      <c r="G28">
        <v>2064.12</v>
      </c>
      <c r="H28">
        <v>3060.09</v>
      </c>
      <c r="I28">
        <v>3461.33</v>
      </c>
      <c r="J28">
        <v>3672.67</v>
      </c>
      <c r="K28">
        <v>4081.62</v>
      </c>
    </row>
    <row r="29" spans="1:11" s="6" customFormat="1" x14ac:dyDescent="0.3">
      <c r="A29" s="6" t="s">
        <v>13</v>
      </c>
      <c r="B29">
        <v>268.27999999999997</v>
      </c>
      <c r="C29">
        <v>415.79</v>
      </c>
      <c r="D29">
        <v>519.48</v>
      </c>
      <c r="E29">
        <v>443.79</v>
      </c>
      <c r="F29">
        <v>384.02</v>
      </c>
      <c r="G29">
        <v>571.72</v>
      </c>
      <c r="H29">
        <v>681.75</v>
      </c>
      <c r="I29">
        <v>925.72</v>
      </c>
      <c r="J29">
        <v>965.22</v>
      </c>
      <c r="K29">
        <v>1111.76</v>
      </c>
    </row>
    <row r="30" spans="1:11" s="6" customFormat="1" x14ac:dyDescent="0.3">
      <c r="A30" s="6" t="s">
        <v>14</v>
      </c>
      <c r="B30">
        <v>478.75</v>
      </c>
      <c r="C30">
        <v>806.26</v>
      </c>
      <c r="D30">
        <v>902.54</v>
      </c>
      <c r="E30">
        <v>1301.08</v>
      </c>
      <c r="F30">
        <v>1099.49</v>
      </c>
      <c r="G30">
        <v>1492.55</v>
      </c>
      <c r="H30">
        <v>2378.5100000000002</v>
      </c>
      <c r="I30">
        <v>2536.17</v>
      </c>
      <c r="J30">
        <v>2708.02</v>
      </c>
      <c r="K30">
        <v>2970.49</v>
      </c>
    </row>
    <row r="31" spans="1:11" s="6" customFormat="1" x14ac:dyDescent="0.3">
      <c r="A31" s="6" t="s">
        <v>70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">
      <c r="A42" s="6" t="s">
        <v>6</v>
      </c>
      <c r="B42">
        <v>13572.47</v>
      </c>
      <c r="C42">
        <v>12726.55</v>
      </c>
      <c r="D42">
        <v>14069.14</v>
      </c>
      <c r="E42">
        <v>14444.5</v>
      </c>
      <c r="F42">
        <v>15972.55</v>
      </c>
      <c r="G42">
        <v>14871.86</v>
      </c>
      <c r="H42">
        <v>16359.7</v>
      </c>
      <c r="I42">
        <v>16676.3</v>
      </c>
      <c r="J42">
        <v>18100.88</v>
      </c>
      <c r="K42">
        <v>17683.86</v>
      </c>
    </row>
    <row r="43" spans="1:11" s="6" customFormat="1" x14ac:dyDescent="0.3">
      <c r="A43" s="6" t="s">
        <v>7</v>
      </c>
      <c r="B43">
        <v>12452.58</v>
      </c>
      <c r="C43">
        <v>11782.91</v>
      </c>
      <c r="D43">
        <v>12847.89</v>
      </c>
      <c r="E43">
        <v>13350.73</v>
      </c>
      <c r="F43">
        <v>14755.31</v>
      </c>
      <c r="G43">
        <v>13916.79</v>
      </c>
      <c r="H43">
        <v>15060.66</v>
      </c>
      <c r="I43">
        <v>15462.65</v>
      </c>
      <c r="J43">
        <v>16637.509999999998</v>
      </c>
      <c r="K43">
        <v>16473.330000000002</v>
      </c>
    </row>
    <row r="44" spans="1:11" s="6" customFormat="1" x14ac:dyDescent="0.3">
      <c r="A44" s="6" t="s">
        <v>9</v>
      </c>
      <c r="B44">
        <v>32.92</v>
      </c>
      <c r="C44">
        <v>37.869999999999997</v>
      </c>
      <c r="D44">
        <v>41.6</v>
      </c>
      <c r="E44">
        <v>33.520000000000003</v>
      </c>
      <c r="F44">
        <v>24.14</v>
      </c>
      <c r="G44">
        <v>25.05</v>
      </c>
      <c r="H44">
        <v>19.43</v>
      </c>
      <c r="I44">
        <v>19.57</v>
      </c>
      <c r="J44">
        <v>16.93</v>
      </c>
      <c r="K44">
        <v>18.170000000000002</v>
      </c>
    </row>
    <row r="45" spans="1:11" s="6" customFormat="1" x14ac:dyDescent="0.3">
      <c r="A45" s="6" t="s">
        <v>10</v>
      </c>
      <c r="B45">
        <v>189.33</v>
      </c>
      <c r="C45">
        <v>204.89</v>
      </c>
      <c r="D45">
        <v>192.76</v>
      </c>
      <c r="E45">
        <v>207.78</v>
      </c>
      <c r="F45">
        <v>228.12</v>
      </c>
      <c r="G45">
        <v>240.86</v>
      </c>
      <c r="H45">
        <v>231.7</v>
      </c>
      <c r="I45">
        <v>253.47</v>
      </c>
      <c r="J45">
        <v>268.29000000000002</v>
      </c>
      <c r="K45">
        <v>283.56</v>
      </c>
    </row>
    <row r="46" spans="1:11" s="6" customFormat="1" x14ac:dyDescent="0.3">
      <c r="A46" s="6" t="s">
        <v>11</v>
      </c>
      <c r="B46">
        <v>14.55</v>
      </c>
      <c r="C46">
        <v>13.42</v>
      </c>
      <c r="D46">
        <v>15.96</v>
      </c>
      <c r="E46">
        <v>16.32</v>
      </c>
      <c r="F46">
        <v>18.21</v>
      </c>
      <c r="G46">
        <v>18.96</v>
      </c>
      <c r="H46">
        <v>29.3</v>
      </c>
      <c r="I46">
        <v>34.96</v>
      </c>
      <c r="J46">
        <v>36.82</v>
      </c>
      <c r="K46">
        <v>40.97</v>
      </c>
    </row>
    <row r="47" spans="1:11" s="6" customFormat="1" x14ac:dyDescent="0.3">
      <c r="A47" s="6" t="s">
        <v>12</v>
      </c>
      <c r="B47">
        <v>948.93</v>
      </c>
      <c r="C47">
        <v>763.2</v>
      </c>
      <c r="D47">
        <v>1054.1300000000001</v>
      </c>
      <c r="E47">
        <v>903.19</v>
      </c>
      <c r="F47">
        <v>995.05</v>
      </c>
      <c r="G47">
        <v>720.3</v>
      </c>
      <c r="H47">
        <v>1057.47</v>
      </c>
      <c r="I47">
        <v>944.79</v>
      </c>
      <c r="J47">
        <v>1175.19</v>
      </c>
      <c r="K47">
        <v>904.17</v>
      </c>
    </row>
    <row r="48" spans="1:11" s="6" customFormat="1" x14ac:dyDescent="0.3">
      <c r="A48" s="6" t="s">
        <v>13</v>
      </c>
      <c r="B48">
        <v>258.52</v>
      </c>
      <c r="C48">
        <v>200.06</v>
      </c>
      <c r="D48">
        <v>280.45</v>
      </c>
      <c r="E48">
        <v>243.75</v>
      </c>
      <c r="F48">
        <v>271.51</v>
      </c>
      <c r="G48">
        <v>169.51</v>
      </c>
      <c r="H48">
        <v>284.66000000000003</v>
      </c>
      <c r="I48">
        <v>259.94</v>
      </c>
      <c r="J48">
        <v>319.41000000000003</v>
      </c>
      <c r="K48">
        <v>247.75</v>
      </c>
    </row>
    <row r="49" spans="1:11" s="6" customFormat="1" x14ac:dyDescent="0.3">
      <c r="A49" s="6" t="s">
        <v>14</v>
      </c>
      <c r="B49">
        <v>690.61</v>
      </c>
      <c r="C49">
        <v>563.25</v>
      </c>
      <c r="D49">
        <v>773.82</v>
      </c>
      <c r="E49">
        <v>659.58</v>
      </c>
      <c r="F49">
        <v>723.72</v>
      </c>
      <c r="G49">
        <v>550.9</v>
      </c>
      <c r="H49">
        <v>772.97</v>
      </c>
      <c r="I49">
        <v>685.01</v>
      </c>
      <c r="J49">
        <v>855.92</v>
      </c>
      <c r="K49">
        <v>656.59</v>
      </c>
    </row>
    <row r="50" spans="1:11" x14ac:dyDescent="0.3">
      <c r="A50" s="6" t="s">
        <v>8</v>
      </c>
      <c r="B50">
        <v>1119.8900000000001</v>
      </c>
      <c r="C50">
        <v>943.64</v>
      </c>
      <c r="D50">
        <v>1221.25</v>
      </c>
      <c r="E50">
        <v>1093.77</v>
      </c>
      <c r="F50">
        <v>1217.24</v>
      </c>
      <c r="G50">
        <v>955.07</v>
      </c>
      <c r="H50">
        <v>1299.04</v>
      </c>
      <c r="I50">
        <v>1213.6500000000001</v>
      </c>
      <c r="J50">
        <v>1463.37</v>
      </c>
      <c r="K50">
        <v>1210.53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624.08000000000004</v>
      </c>
      <c r="C57">
        <v>624.08000000000004</v>
      </c>
      <c r="D57">
        <v>624.08000000000004</v>
      </c>
      <c r="E57">
        <v>647.77</v>
      </c>
      <c r="F57">
        <v>647.77</v>
      </c>
      <c r="G57">
        <v>647.77</v>
      </c>
      <c r="H57">
        <v>648.26</v>
      </c>
      <c r="I57">
        <v>650.73</v>
      </c>
      <c r="J57">
        <v>650.73</v>
      </c>
      <c r="K57">
        <v>651.96</v>
      </c>
    </row>
    <row r="58" spans="1:11" x14ac:dyDescent="0.3">
      <c r="A58" s="6" t="s">
        <v>25</v>
      </c>
      <c r="B58">
        <v>3217.7</v>
      </c>
      <c r="C58">
        <v>4044.97</v>
      </c>
      <c r="D58">
        <v>4963.37</v>
      </c>
      <c r="E58">
        <v>10431.969999999999</v>
      </c>
      <c r="F58">
        <v>11535.94</v>
      </c>
      <c r="G58">
        <v>13029.87</v>
      </c>
      <c r="H58">
        <v>15430.44</v>
      </c>
      <c r="I58">
        <v>18047.09</v>
      </c>
      <c r="J58">
        <v>20777.02</v>
      </c>
      <c r="K58">
        <v>23812.080000000002</v>
      </c>
    </row>
    <row r="59" spans="1:11" x14ac:dyDescent="0.3">
      <c r="A59" s="6" t="s">
        <v>71</v>
      </c>
      <c r="B59">
        <v>1497.32</v>
      </c>
      <c r="C59">
        <v>439.25</v>
      </c>
      <c r="D59">
        <v>700.15</v>
      </c>
      <c r="E59">
        <v>333.19</v>
      </c>
      <c r="F59">
        <v>392.71</v>
      </c>
      <c r="G59">
        <v>646.94000000000005</v>
      </c>
      <c r="H59">
        <v>642.98</v>
      </c>
      <c r="I59">
        <v>592.16</v>
      </c>
      <c r="J59">
        <v>819.62</v>
      </c>
      <c r="K59">
        <v>2424.9899999999998</v>
      </c>
    </row>
    <row r="60" spans="1:11" x14ac:dyDescent="0.3">
      <c r="A60" s="6" t="s">
        <v>72</v>
      </c>
      <c r="B60">
        <v>480.18</v>
      </c>
      <c r="C60">
        <v>539.91999999999996</v>
      </c>
      <c r="D60">
        <v>717.9</v>
      </c>
      <c r="E60">
        <v>663.23</v>
      </c>
      <c r="F60">
        <v>1078.6300000000001</v>
      </c>
      <c r="G60">
        <v>1146.4000000000001</v>
      </c>
      <c r="H60">
        <v>1382.84</v>
      </c>
      <c r="I60">
        <v>1882.5</v>
      </c>
      <c r="J60">
        <v>2065.41</v>
      </c>
      <c r="K60">
        <v>2635.23</v>
      </c>
    </row>
    <row r="61" spans="1:11" s="1" customFormat="1" x14ac:dyDescent="0.3">
      <c r="A61" s="1" t="s">
        <v>26</v>
      </c>
      <c r="B61">
        <v>5819.28</v>
      </c>
      <c r="C61">
        <v>5648.22</v>
      </c>
      <c r="D61">
        <v>7005.5</v>
      </c>
      <c r="E61">
        <v>12076.16</v>
      </c>
      <c r="F61">
        <v>13655.05</v>
      </c>
      <c r="G61">
        <v>15470.98</v>
      </c>
      <c r="H61">
        <v>18104.52</v>
      </c>
      <c r="I61">
        <v>21172.48</v>
      </c>
      <c r="J61">
        <v>24312.78</v>
      </c>
      <c r="K61">
        <v>29524.26</v>
      </c>
    </row>
    <row r="62" spans="1:11" x14ac:dyDescent="0.3">
      <c r="A62" s="6" t="s">
        <v>27</v>
      </c>
      <c r="B62">
        <v>2577.75</v>
      </c>
      <c r="C62">
        <v>3399.97</v>
      </c>
      <c r="D62">
        <v>4400.37</v>
      </c>
      <c r="E62">
        <v>5948.03</v>
      </c>
      <c r="F62">
        <v>7008.8</v>
      </c>
      <c r="G62">
        <v>9260.02</v>
      </c>
      <c r="H62">
        <v>11340.48</v>
      </c>
      <c r="I62">
        <v>13415</v>
      </c>
      <c r="J62">
        <v>16206.46</v>
      </c>
      <c r="K62">
        <v>20090.310000000001</v>
      </c>
    </row>
    <row r="63" spans="1:11" x14ac:dyDescent="0.3">
      <c r="A63" s="6" t="s">
        <v>28</v>
      </c>
      <c r="B63">
        <v>152.88999999999999</v>
      </c>
      <c r="C63">
        <v>147.07</v>
      </c>
      <c r="D63">
        <v>376.84</v>
      </c>
      <c r="E63">
        <v>364.4</v>
      </c>
      <c r="F63">
        <v>1019.59</v>
      </c>
      <c r="G63">
        <v>1129.3399999999999</v>
      </c>
      <c r="H63">
        <v>829.16</v>
      </c>
      <c r="I63">
        <v>935.22</v>
      </c>
      <c r="J63">
        <v>1099.3499999999999</v>
      </c>
      <c r="K63">
        <v>1299.96</v>
      </c>
    </row>
    <row r="64" spans="1:11" x14ac:dyDescent="0.3">
      <c r="A64" s="6" t="s">
        <v>29</v>
      </c>
      <c r="B64">
        <v>25.69</v>
      </c>
      <c r="C64">
        <v>68.180000000000007</v>
      </c>
      <c r="D64">
        <v>16.53</v>
      </c>
      <c r="E64">
        <v>14.68</v>
      </c>
      <c r="F64">
        <v>2.95</v>
      </c>
      <c r="G64">
        <v>5.94</v>
      </c>
      <c r="H64">
        <v>202.2</v>
      </c>
      <c r="I64">
        <v>106.67</v>
      </c>
      <c r="J64">
        <v>3.26</v>
      </c>
      <c r="K64">
        <v>4.01</v>
      </c>
    </row>
    <row r="65" spans="1:11" x14ac:dyDescent="0.3">
      <c r="A65" s="6" t="s">
        <v>73</v>
      </c>
      <c r="B65">
        <v>3062.95</v>
      </c>
      <c r="C65">
        <v>2033</v>
      </c>
      <c r="D65">
        <v>2211.7600000000002</v>
      </c>
      <c r="E65">
        <v>5749.05</v>
      </c>
      <c r="F65">
        <v>5623.71</v>
      </c>
      <c r="G65">
        <v>5075.68</v>
      </c>
      <c r="H65">
        <v>5732.68</v>
      </c>
      <c r="I65">
        <v>6715.59</v>
      </c>
      <c r="J65">
        <v>7003.71</v>
      </c>
      <c r="K65">
        <v>8129.98</v>
      </c>
    </row>
    <row r="66" spans="1:11" s="1" customFormat="1" x14ac:dyDescent="0.3">
      <c r="A66" s="1" t="s">
        <v>26</v>
      </c>
      <c r="B66">
        <v>5819.28</v>
      </c>
      <c r="C66">
        <v>5648.22</v>
      </c>
      <c r="D66">
        <v>7005.5</v>
      </c>
      <c r="E66">
        <v>12076.16</v>
      </c>
      <c r="F66">
        <v>13655.05</v>
      </c>
      <c r="G66">
        <v>15470.98</v>
      </c>
      <c r="H66">
        <v>18104.52</v>
      </c>
      <c r="I66">
        <v>21172.48</v>
      </c>
      <c r="J66">
        <v>24312.78</v>
      </c>
      <c r="K66">
        <v>29524.26</v>
      </c>
    </row>
    <row r="67" spans="1:11" s="6" customFormat="1" x14ac:dyDescent="0.3">
      <c r="A67" s="6" t="s">
        <v>78</v>
      </c>
      <c r="B67">
        <v>21</v>
      </c>
      <c r="C67">
        <v>33.520000000000003</v>
      </c>
      <c r="D67">
        <v>64.37</v>
      </c>
      <c r="E67">
        <v>19.55</v>
      </c>
      <c r="F67">
        <v>43.58</v>
      </c>
      <c r="G67">
        <v>66.89</v>
      </c>
      <c r="H67">
        <v>62.16</v>
      </c>
      <c r="I67">
        <v>166.37</v>
      </c>
      <c r="J67">
        <v>153.79</v>
      </c>
      <c r="K67">
        <v>149.34</v>
      </c>
    </row>
    <row r="68" spans="1:11" x14ac:dyDescent="0.3">
      <c r="A68" s="6" t="s">
        <v>45</v>
      </c>
      <c r="B68">
        <v>947.9</v>
      </c>
      <c r="C68">
        <v>1163.45</v>
      </c>
      <c r="D68">
        <v>1608.65</v>
      </c>
      <c r="E68">
        <v>1947.4</v>
      </c>
      <c r="F68">
        <v>2248.2800000000002</v>
      </c>
      <c r="G68">
        <v>2742.66</v>
      </c>
      <c r="H68">
        <v>3243.48</v>
      </c>
      <c r="I68">
        <v>3927.31</v>
      </c>
      <c r="J68">
        <v>5044.37</v>
      </c>
      <c r="K68">
        <v>5900.64</v>
      </c>
    </row>
    <row r="69" spans="1:11" x14ac:dyDescent="0.3">
      <c r="A69" s="4" t="s">
        <v>87</v>
      </c>
      <c r="B69">
        <v>1884.29</v>
      </c>
      <c r="C69">
        <v>560.17999999999995</v>
      </c>
      <c r="D69">
        <v>219.07</v>
      </c>
      <c r="E69">
        <v>107.88</v>
      </c>
      <c r="F69">
        <v>1445.58</v>
      </c>
      <c r="G69">
        <v>298.58</v>
      </c>
      <c r="H69">
        <v>1408.33</v>
      </c>
      <c r="I69">
        <v>638.17999999999995</v>
      </c>
      <c r="J69">
        <v>358.2</v>
      </c>
      <c r="K69">
        <v>303.77999999999997</v>
      </c>
    </row>
    <row r="70" spans="1:11" x14ac:dyDescent="0.3">
      <c r="A70" s="4" t="s">
        <v>74</v>
      </c>
      <c r="B70">
        <v>624084486</v>
      </c>
      <c r="C70">
        <v>624084486</v>
      </c>
      <c r="D70">
        <v>624084486</v>
      </c>
      <c r="E70">
        <v>647774691</v>
      </c>
      <c r="F70">
        <v>647774691</v>
      </c>
      <c r="G70">
        <v>647774691</v>
      </c>
      <c r="H70">
        <v>648263978</v>
      </c>
      <c r="I70">
        <v>650733068</v>
      </c>
      <c r="J70">
        <v>650733068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455.28</v>
      </c>
      <c r="C82">
        <v>729.99</v>
      </c>
      <c r="D82">
        <v>806.84</v>
      </c>
      <c r="E82">
        <v>1280.1400000000001</v>
      </c>
      <c r="F82">
        <v>1375.14</v>
      </c>
      <c r="G82">
        <v>1372.35</v>
      </c>
      <c r="H82">
        <v>2630.27</v>
      </c>
      <c r="I82">
        <v>2745.84</v>
      </c>
      <c r="J82">
        <v>2462.9699999999998</v>
      </c>
      <c r="K82">
        <v>3466.74</v>
      </c>
    </row>
    <row r="83" spans="1:11" s="6" customFormat="1" x14ac:dyDescent="0.3">
      <c r="A83" s="6" t="s">
        <v>33</v>
      </c>
      <c r="B83">
        <v>-2481.61</v>
      </c>
      <c r="C83">
        <v>463.55</v>
      </c>
      <c r="D83">
        <v>-958.37</v>
      </c>
      <c r="E83">
        <v>-4656.5600000000004</v>
      </c>
      <c r="F83">
        <v>-1110</v>
      </c>
      <c r="G83">
        <v>-1289.49</v>
      </c>
      <c r="H83">
        <v>-2313.1</v>
      </c>
      <c r="I83">
        <v>-2468.23</v>
      </c>
      <c r="J83">
        <v>-2185.31</v>
      </c>
      <c r="K83">
        <v>-4206.96</v>
      </c>
    </row>
    <row r="84" spans="1:11" s="6" customFormat="1" x14ac:dyDescent="0.3">
      <c r="A84" s="6" t="s">
        <v>34</v>
      </c>
      <c r="B84">
        <v>2025.26</v>
      </c>
      <c r="C84">
        <v>-1159.06</v>
      </c>
      <c r="D84">
        <v>208.98</v>
      </c>
      <c r="E84">
        <v>3357.42</v>
      </c>
      <c r="F84">
        <v>-179.5</v>
      </c>
      <c r="G84">
        <v>-179.24</v>
      </c>
      <c r="H84">
        <v>-205.14</v>
      </c>
      <c r="I84">
        <v>-147.63999999999999</v>
      </c>
      <c r="J84">
        <v>-259.3</v>
      </c>
      <c r="K84">
        <v>288.18</v>
      </c>
    </row>
    <row r="85" spans="1:11" s="1" customFormat="1" x14ac:dyDescent="0.3">
      <c r="A85" s="6" t="s">
        <v>35</v>
      </c>
      <c r="B85">
        <v>-1.07</v>
      </c>
      <c r="C85">
        <v>34.479999999999997</v>
      </c>
      <c r="D85">
        <v>57.45</v>
      </c>
      <c r="E85">
        <v>-19</v>
      </c>
      <c r="F85">
        <v>85.64</v>
      </c>
      <c r="G85">
        <v>-96.38</v>
      </c>
      <c r="H85">
        <v>112.03</v>
      </c>
      <c r="I85">
        <v>129.97</v>
      </c>
      <c r="J85">
        <v>18.36</v>
      </c>
      <c r="K85">
        <v>-452.04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637.85</v>
      </c>
      <c r="C90">
        <v>1324.8</v>
      </c>
      <c r="D90">
        <v>1471.1</v>
      </c>
      <c r="E90">
        <v>2187.5</v>
      </c>
      <c r="F90">
        <v>2859.05</v>
      </c>
      <c r="G90">
        <v>4003.35</v>
      </c>
      <c r="H90">
        <v>3401.05</v>
      </c>
      <c r="I90">
        <v>4525.6000000000004</v>
      </c>
      <c r="J90">
        <v>4083.2</v>
      </c>
      <c r="K90">
        <v>3956.8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62.41</v>
      </c>
      <c r="C93" s="24">
        <v>62.41</v>
      </c>
      <c r="D93" s="24">
        <v>62.41</v>
      </c>
      <c r="E93" s="24">
        <v>64.78</v>
      </c>
      <c r="F93" s="24">
        <v>64.78</v>
      </c>
      <c r="G93" s="24">
        <v>64.78</v>
      </c>
      <c r="H93" s="24">
        <v>64.83</v>
      </c>
      <c r="I93" s="24">
        <v>65.069999999999993</v>
      </c>
      <c r="J93" s="24">
        <v>65.069999999999993</v>
      </c>
      <c r="K93" s="24">
        <v>65.2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D199-8A6B-4ECB-80CB-69155C8A573D}">
  <dimension ref="C4:AB69"/>
  <sheetViews>
    <sheetView tabSelected="1" topLeftCell="E12" workbookViewId="0">
      <selection activeCell="U47" sqref="U47"/>
    </sheetView>
  </sheetViews>
  <sheetFormatPr defaultRowHeight="14.4" x14ac:dyDescent="0.3"/>
  <cols>
    <col min="5" max="5" width="11.21875" customWidth="1"/>
    <col min="11" max="11" width="20" customWidth="1"/>
    <col min="12" max="12" width="13.5546875" customWidth="1"/>
    <col min="13" max="13" width="32.44140625" customWidth="1"/>
    <col min="20" max="20" width="16.88671875" customWidth="1"/>
    <col min="21" max="21" width="15.33203125" customWidth="1"/>
    <col min="22" max="22" width="13.21875" customWidth="1"/>
    <col min="23" max="23" width="15.88671875" customWidth="1"/>
    <col min="24" max="24" width="13.33203125" customWidth="1"/>
    <col min="25" max="28" width="15.44140625" customWidth="1"/>
  </cols>
  <sheetData>
    <row r="4" spans="3:13" x14ac:dyDescent="0.3">
      <c r="C4" t="s">
        <v>118</v>
      </c>
      <c r="D4" s="31">
        <f>AVERAGE(E8:E16)</f>
        <v>0.22088089487406029</v>
      </c>
    </row>
    <row r="6" spans="3:13" x14ac:dyDescent="0.3">
      <c r="C6" s="2" t="s">
        <v>93</v>
      </c>
      <c r="D6" s="29" t="s">
        <v>94</v>
      </c>
      <c r="E6" s="2" t="s">
        <v>117</v>
      </c>
      <c r="K6" s="2" t="s">
        <v>95</v>
      </c>
      <c r="L6" s="2" t="s">
        <v>96</v>
      </c>
      <c r="M6" s="2" t="s">
        <v>97</v>
      </c>
    </row>
    <row r="7" spans="3:13" x14ac:dyDescent="0.3">
      <c r="C7" s="12">
        <v>42825</v>
      </c>
      <c r="D7" s="27">
        <v>11897.7</v>
      </c>
      <c r="K7" t="s">
        <v>102</v>
      </c>
      <c r="L7" t="s">
        <v>98</v>
      </c>
      <c r="M7" t="s">
        <v>99</v>
      </c>
    </row>
    <row r="8" spans="3:13" x14ac:dyDescent="0.3">
      <c r="C8" s="12">
        <v>43190</v>
      </c>
      <c r="D8" s="27">
        <v>15033.2</v>
      </c>
      <c r="E8" s="30">
        <f>D8/D7-1</f>
        <v>0.26353833093791246</v>
      </c>
      <c r="K8" t="s">
        <v>103</v>
      </c>
      <c r="L8" t="s">
        <v>101</v>
      </c>
      <c r="M8" t="s">
        <v>100</v>
      </c>
    </row>
    <row r="9" spans="3:13" x14ac:dyDescent="0.3">
      <c r="C9" s="12">
        <v>43555</v>
      </c>
      <c r="D9" s="27">
        <v>20004.52</v>
      </c>
      <c r="E9" s="30">
        <f t="shared" ref="E9:E16" si="0">D9/D8-1</f>
        <v>0.33068940744485542</v>
      </c>
      <c r="K9" t="s">
        <v>104</v>
      </c>
      <c r="L9" t="s">
        <v>105</v>
      </c>
      <c r="M9" t="s">
        <v>106</v>
      </c>
    </row>
    <row r="10" spans="3:13" x14ac:dyDescent="0.3">
      <c r="C10" s="12">
        <v>43921</v>
      </c>
      <c r="D10" s="27">
        <v>24870.2</v>
      </c>
      <c r="E10" s="30">
        <f t="shared" si="0"/>
        <v>0.24322903023916598</v>
      </c>
      <c r="K10" t="s">
        <v>107</v>
      </c>
      <c r="L10" t="s">
        <v>108</v>
      </c>
    </row>
    <row r="11" spans="3:13" x14ac:dyDescent="0.3">
      <c r="C11" s="12">
        <v>44286</v>
      </c>
      <c r="D11" s="27">
        <v>24143.06</v>
      </c>
      <c r="E11" s="30">
        <f t="shared" si="0"/>
        <v>-2.9237400583831175E-2</v>
      </c>
      <c r="L11" t="s">
        <v>109</v>
      </c>
    </row>
    <row r="12" spans="3:13" x14ac:dyDescent="0.3">
      <c r="C12" s="12">
        <v>44651</v>
      </c>
      <c r="D12" s="27">
        <v>30976.27</v>
      </c>
      <c r="E12" s="30">
        <f t="shared" si="0"/>
        <v>0.28302998874210639</v>
      </c>
      <c r="L12" t="s">
        <v>110</v>
      </c>
    </row>
    <row r="13" spans="3:13" x14ac:dyDescent="0.3">
      <c r="C13" s="12">
        <v>45016</v>
      </c>
      <c r="D13" s="27">
        <v>42839.56</v>
      </c>
      <c r="E13" s="30">
        <f t="shared" si="0"/>
        <v>0.38297993915987938</v>
      </c>
    </row>
    <row r="14" spans="3:13" x14ac:dyDescent="0.3">
      <c r="C14" s="12">
        <v>45382</v>
      </c>
      <c r="D14" s="27">
        <v>50788.83</v>
      </c>
      <c r="E14" s="30">
        <f t="shared" si="0"/>
        <v>0.18555909537819737</v>
      </c>
      <c r="L14" t="s">
        <v>111</v>
      </c>
    </row>
    <row r="15" spans="3:13" x14ac:dyDescent="0.3">
      <c r="C15" s="12">
        <v>45747</v>
      </c>
      <c r="D15" s="27">
        <v>59358.05</v>
      </c>
      <c r="E15" s="30">
        <f t="shared" si="0"/>
        <v>0.16872253210007004</v>
      </c>
      <c r="L15" t="s">
        <v>112</v>
      </c>
    </row>
    <row r="16" spans="3:13" x14ac:dyDescent="0.3">
      <c r="C16" s="12">
        <v>46112</v>
      </c>
      <c r="D16" s="27">
        <v>68820.740000000005</v>
      </c>
      <c r="E16" s="30">
        <f t="shared" si="0"/>
        <v>0.15941713044818684</v>
      </c>
      <c r="L16" t="s">
        <v>113</v>
      </c>
    </row>
    <row r="17" spans="3:16" x14ac:dyDescent="0.3">
      <c r="C17" s="28">
        <v>46477</v>
      </c>
      <c r="D17" s="27">
        <f>D16*(1+$D$4)</f>
        <v>84021.92663709505</v>
      </c>
      <c r="E17" s="31">
        <f>D4</f>
        <v>0.22088089487406029</v>
      </c>
      <c r="L17" t="s">
        <v>114</v>
      </c>
    </row>
    <row r="18" spans="3:16" x14ac:dyDescent="0.3">
      <c r="C18" s="28">
        <v>46843</v>
      </c>
      <c r="D18" s="27">
        <f t="shared" ref="D18:D25" si="1">D17*(1+$D$4)</f>
        <v>102580.76498173925</v>
      </c>
      <c r="E18" s="31">
        <f>E17</f>
        <v>0.22088089487406029</v>
      </c>
      <c r="K18" t="s">
        <v>116</v>
      </c>
      <c r="L18" t="s">
        <v>115</v>
      </c>
    </row>
    <row r="19" spans="3:16" x14ac:dyDescent="0.3">
      <c r="C19" s="28">
        <v>47208</v>
      </c>
      <c r="D19" s="27">
        <f t="shared" si="1"/>
        <v>125238.89614777149</v>
      </c>
      <c r="E19" s="31">
        <f t="shared" ref="E19:E25" si="2">E18</f>
        <v>0.22088089487406029</v>
      </c>
    </row>
    <row r="20" spans="3:16" x14ac:dyDescent="0.3">
      <c r="C20" s="28">
        <v>47573</v>
      </c>
      <c r="D20" s="27">
        <f t="shared" si="1"/>
        <v>152901.77560193077</v>
      </c>
      <c r="E20" s="31">
        <f t="shared" si="2"/>
        <v>0.22088089487406029</v>
      </c>
    </row>
    <row r="21" spans="3:16" x14ac:dyDescent="0.3">
      <c r="C21" s="28">
        <v>47938</v>
      </c>
      <c r="D21" s="27">
        <f t="shared" si="1"/>
        <v>186674.856624718</v>
      </c>
      <c r="E21" s="31">
        <f t="shared" si="2"/>
        <v>0.22088089487406029</v>
      </c>
    </row>
    <row r="22" spans="3:16" x14ac:dyDescent="0.3">
      <c r="C22" s="28">
        <v>48304</v>
      </c>
      <c r="D22" s="27">
        <f t="shared" si="1"/>
        <v>227907.76600647264</v>
      </c>
      <c r="E22" s="31">
        <f t="shared" si="2"/>
        <v>0.22088089487406029</v>
      </c>
    </row>
    <row r="23" spans="3:16" x14ac:dyDescent="0.3">
      <c r="C23" s="28">
        <v>48669</v>
      </c>
      <c r="D23" s="27">
        <f t="shared" si="1"/>
        <v>278248.23731073027</v>
      </c>
      <c r="E23" s="31">
        <f t="shared" si="2"/>
        <v>0.22088089487406029</v>
      </c>
    </row>
    <row r="24" spans="3:16" x14ac:dyDescent="0.3">
      <c r="C24" s="28">
        <v>49034</v>
      </c>
      <c r="D24" s="27">
        <f t="shared" si="1"/>
        <v>339707.95696505427</v>
      </c>
      <c r="E24" s="31">
        <f t="shared" si="2"/>
        <v>0.22088089487406029</v>
      </c>
    </row>
    <row r="25" spans="3:16" x14ac:dyDescent="0.3">
      <c r="C25" s="28">
        <v>49399</v>
      </c>
      <c r="D25" s="27">
        <f t="shared" si="1"/>
        <v>414742.95449533424</v>
      </c>
      <c r="E25" s="31">
        <f t="shared" si="2"/>
        <v>0.22088089487406029</v>
      </c>
    </row>
    <row r="27" spans="3:16" x14ac:dyDescent="0.3">
      <c r="C27" t="s">
        <v>103</v>
      </c>
      <c r="D27" s="31">
        <f>MEDIAN(E30:E38)</f>
        <v>0.24322903023916598</v>
      </c>
      <c r="J27" s="30">
        <f>_xlfn.RRI(H38,J29,J38)</f>
        <v>0.1918610641006917</v>
      </c>
    </row>
    <row r="28" spans="3:16" x14ac:dyDescent="0.3">
      <c r="C28" s="2" t="s">
        <v>93</v>
      </c>
      <c r="D28" s="29" t="s">
        <v>94</v>
      </c>
      <c r="E28" s="2" t="s">
        <v>117</v>
      </c>
      <c r="H28" s="2" t="s">
        <v>119</v>
      </c>
      <c r="I28" s="2" t="s">
        <v>93</v>
      </c>
      <c r="J28" s="29" t="s">
        <v>94</v>
      </c>
      <c r="M28" s="2" t="s">
        <v>119</v>
      </c>
      <c r="N28" s="2" t="s">
        <v>93</v>
      </c>
      <c r="O28" s="29" t="s">
        <v>94</v>
      </c>
    </row>
    <row r="29" spans="3:16" x14ac:dyDescent="0.3">
      <c r="C29" s="12">
        <v>42825</v>
      </c>
      <c r="D29" s="27">
        <v>11897.7</v>
      </c>
      <c r="H29" s="20">
        <v>1</v>
      </c>
      <c r="I29" s="12">
        <v>42825</v>
      </c>
      <c r="J29" s="27">
        <v>11897.7</v>
      </c>
      <c r="M29" s="20">
        <v>1</v>
      </c>
      <c r="N29" s="12">
        <v>42825</v>
      </c>
      <c r="O29" s="27">
        <v>11897.7</v>
      </c>
    </row>
    <row r="30" spans="3:16" x14ac:dyDescent="0.3">
      <c r="C30" s="12">
        <v>43190</v>
      </c>
      <c r="D30" s="27">
        <v>15033.2</v>
      </c>
      <c r="E30" s="30">
        <f>D30/D29-1</f>
        <v>0.26353833093791246</v>
      </c>
      <c r="H30" s="20">
        <v>2</v>
      </c>
      <c r="I30" s="12">
        <v>43190</v>
      </c>
      <c r="J30" s="27"/>
      <c r="M30" s="20">
        <v>2</v>
      </c>
      <c r="N30" s="12">
        <v>43190</v>
      </c>
      <c r="O30" s="27">
        <v>15033.2</v>
      </c>
      <c r="P30" s="30">
        <f>O30/O29-1</f>
        <v>0.26353833093791246</v>
      </c>
    </row>
    <row r="31" spans="3:16" x14ac:dyDescent="0.3">
      <c r="C31" s="12">
        <v>43555</v>
      </c>
      <c r="D31" s="27">
        <v>20004.52</v>
      </c>
      <c r="E31" s="30">
        <f t="shared" ref="E31:E47" si="3">D31/D30-1</f>
        <v>0.33068940744485542</v>
      </c>
      <c r="H31" s="20">
        <v>3</v>
      </c>
      <c r="I31" s="12">
        <v>43555</v>
      </c>
      <c r="J31" s="27"/>
      <c r="M31" s="20">
        <v>3</v>
      </c>
      <c r="N31" s="12">
        <v>43555</v>
      </c>
      <c r="O31" s="27">
        <v>20004.52</v>
      </c>
      <c r="P31" s="30">
        <f t="shared" ref="P31:P47" si="4">O31/O30-1</f>
        <v>0.33068940744485542</v>
      </c>
    </row>
    <row r="32" spans="3:16" x14ac:dyDescent="0.3">
      <c r="C32" s="12">
        <v>43921</v>
      </c>
      <c r="D32" s="27">
        <v>24870.2</v>
      </c>
      <c r="E32" s="30">
        <f t="shared" si="3"/>
        <v>0.24322903023916598</v>
      </c>
      <c r="H32" s="20">
        <v>4</v>
      </c>
      <c r="I32" s="12">
        <v>43921</v>
      </c>
      <c r="J32" s="27"/>
      <c r="M32" s="20">
        <v>4</v>
      </c>
      <c r="N32" s="12">
        <v>43921</v>
      </c>
      <c r="O32" s="27">
        <v>24870.2</v>
      </c>
      <c r="P32" s="30">
        <f t="shared" si="4"/>
        <v>0.24322903023916598</v>
      </c>
    </row>
    <row r="33" spans="3:16" x14ac:dyDescent="0.3">
      <c r="C33" s="12">
        <v>44286</v>
      </c>
      <c r="D33" s="27">
        <v>24143.06</v>
      </c>
      <c r="E33" s="30">
        <f t="shared" si="3"/>
        <v>-2.9237400583831175E-2</v>
      </c>
      <c r="H33" s="20">
        <v>5</v>
      </c>
      <c r="I33" s="12">
        <v>44286</v>
      </c>
      <c r="J33" s="27"/>
      <c r="M33" s="20">
        <v>5</v>
      </c>
      <c r="N33" s="12">
        <v>44286</v>
      </c>
      <c r="O33" s="27">
        <v>24143.06</v>
      </c>
      <c r="P33" s="30">
        <f t="shared" si="4"/>
        <v>-2.9237400583831175E-2</v>
      </c>
    </row>
    <row r="34" spans="3:16" x14ac:dyDescent="0.3">
      <c r="C34" s="12">
        <v>44651</v>
      </c>
      <c r="D34" s="27">
        <v>30976.27</v>
      </c>
      <c r="E34" s="30">
        <f t="shared" si="3"/>
        <v>0.28302998874210639</v>
      </c>
      <c r="H34" s="20">
        <v>6</v>
      </c>
      <c r="I34" s="12">
        <v>44651</v>
      </c>
      <c r="J34" s="27"/>
      <c r="M34" s="20">
        <v>6</v>
      </c>
      <c r="N34" s="12">
        <v>44651</v>
      </c>
      <c r="O34" s="27">
        <v>30976.27</v>
      </c>
      <c r="P34" s="30">
        <f t="shared" si="4"/>
        <v>0.28302998874210639</v>
      </c>
    </row>
    <row r="35" spans="3:16" x14ac:dyDescent="0.3">
      <c r="C35" s="12">
        <v>45016</v>
      </c>
      <c r="D35" s="27">
        <v>42839.56</v>
      </c>
      <c r="E35" s="30">
        <f t="shared" si="3"/>
        <v>0.38297993915987938</v>
      </c>
      <c r="H35" s="20">
        <v>7</v>
      </c>
      <c r="I35" s="12">
        <v>45016</v>
      </c>
      <c r="J35" s="27"/>
      <c r="M35" s="20">
        <v>7</v>
      </c>
      <c r="N35" s="12">
        <v>45016</v>
      </c>
      <c r="O35" s="27">
        <v>42839.56</v>
      </c>
      <c r="P35" s="30">
        <f t="shared" si="4"/>
        <v>0.38297993915987938</v>
      </c>
    </row>
    <row r="36" spans="3:16" x14ac:dyDescent="0.3">
      <c r="C36" s="12">
        <v>45382</v>
      </c>
      <c r="D36" s="27">
        <v>50788.83</v>
      </c>
      <c r="E36" s="30">
        <f t="shared" si="3"/>
        <v>0.18555909537819737</v>
      </c>
      <c r="H36" s="20">
        <v>8</v>
      </c>
      <c r="I36" s="12">
        <v>45382</v>
      </c>
      <c r="J36" s="27"/>
      <c r="M36" s="20">
        <v>8</v>
      </c>
      <c r="N36" s="12">
        <v>45382</v>
      </c>
      <c r="O36" s="27">
        <v>50788.83</v>
      </c>
      <c r="P36" s="30">
        <f t="shared" si="4"/>
        <v>0.18555909537819737</v>
      </c>
    </row>
    <row r="37" spans="3:16" x14ac:dyDescent="0.3">
      <c r="C37" s="12">
        <v>45747</v>
      </c>
      <c r="D37" s="27">
        <v>59358.05</v>
      </c>
      <c r="E37" s="30">
        <f t="shared" si="3"/>
        <v>0.16872253210007004</v>
      </c>
      <c r="H37" s="20">
        <v>9</v>
      </c>
      <c r="I37" s="12">
        <v>45747</v>
      </c>
      <c r="J37" s="27"/>
      <c r="M37" s="20">
        <v>9</v>
      </c>
      <c r="N37" s="12">
        <v>45747</v>
      </c>
      <c r="O37" s="27">
        <v>59358.05</v>
      </c>
      <c r="P37" s="30">
        <f t="shared" si="4"/>
        <v>0.16872253210007004</v>
      </c>
    </row>
    <row r="38" spans="3:16" x14ac:dyDescent="0.3">
      <c r="C38" s="12">
        <v>46112</v>
      </c>
      <c r="D38" s="27">
        <v>68820.740000000005</v>
      </c>
      <c r="E38" s="30">
        <f t="shared" si="3"/>
        <v>0.15941713044818684</v>
      </c>
      <c r="H38" s="20">
        <v>10</v>
      </c>
      <c r="I38" s="12">
        <v>46112</v>
      </c>
      <c r="J38" s="27">
        <v>68820.740000000005</v>
      </c>
      <c r="M38" s="20">
        <v>10</v>
      </c>
      <c r="N38" s="12">
        <v>46112</v>
      </c>
      <c r="O38" s="27">
        <v>68820.740000000005</v>
      </c>
      <c r="P38" s="30">
        <f t="shared" si="4"/>
        <v>0.15941713044818684</v>
      </c>
    </row>
    <row r="39" spans="3:16" x14ac:dyDescent="0.3">
      <c r="C39" s="28">
        <v>46477</v>
      </c>
      <c r="D39" s="27">
        <f>D38*(1+$D$27)</f>
        <v>85559.941850541785</v>
      </c>
      <c r="E39" s="30">
        <f>D27</f>
        <v>0.24322903023916598</v>
      </c>
      <c r="H39" s="20">
        <v>11</v>
      </c>
      <c r="I39" s="28">
        <v>46477</v>
      </c>
      <c r="J39" s="27">
        <f>J38*(1+$J$27)</f>
        <v>82024.760408597038</v>
      </c>
      <c r="M39" s="20">
        <v>11</v>
      </c>
      <c r="N39" s="28">
        <v>46477</v>
      </c>
      <c r="O39" s="27">
        <f>FORECAST(M39,$O$29:$O$38,$M$29:$M$38)</f>
        <v>69448.018000000011</v>
      </c>
      <c r="P39" s="30">
        <f t="shared" si="4"/>
        <v>9.1146651430951131E-3</v>
      </c>
    </row>
    <row r="40" spans="3:16" x14ac:dyDescent="0.3">
      <c r="C40" s="28">
        <v>46843</v>
      </c>
      <c r="D40" s="27">
        <f t="shared" ref="D40:D47" si="5">D39*(1+$D$27)</f>
        <v>106370.60353416849</v>
      </c>
      <c r="E40" s="30">
        <f>E39</f>
        <v>0.24322903023916598</v>
      </c>
      <c r="H40" s="20">
        <v>12</v>
      </c>
      <c r="I40" s="28">
        <v>46843</v>
      </c>
      <c r="J40" s="27">
        <f t="shared" ref="J40:J47" si="6">J39*(1+$J$27)</f>
        <v>97762.118223194746</v>
      </c>
      <c r="M40" s="20">
        <v>12</v>
      </c>
      <c r="N40" s="28">
        <v>46843</v>
      </c>
      <c r="O40" s="27">
        <f t="shared" ref="O40:O47" si="7">FORECAST(M40,$O$29:$O$38,$M$29:$M$38)</f>
        <v>75734.346181818168</v>
      </c>
      <c r="P40" s="30">
        <f t="shared" si="4"/>
        <v>9.0518467810242642E-2</v>
      </c>
    </row>
    <row r="41" spans="3:16" x14ac:dyDescent="0.3">
      <c r="C41" s="28">
        <v>47208</v>
      </c>
      <c r="D41" s="27">
        <f t="shared" si="5"/>
        <v>132243.0222777391</v>
      </c>
      <c r="E41" s="30">
        <f t="shared" ref="E41:E47" si="8">E40</f>
        <v>0.24322903023916598</v>
      </c>
      <c r="H41" s="20">
        <v>13</v>
      </c>
      <c r="I41" s="28">
        <v>47208</v>
      </c>
      <c r="J41" s="27">
        <f t="shared" si="6"/>
        <v>116518.86225423451</v>
      </c>
      <c r="M41" s="20">
        <v>13</v>
      </c>
      <c r="N41" s="28">
        <v>47208</v>
      </c>
      <c r="O41" s="27">
        <f t="shared" si="7"/>
        <v>82020.674363636354</v>
      </c>
      <c r="P41" s="30">
        <f t="shared" si="4"/>
        <v>8.3004983851400427E-2</v>
      </c>
    </row>
    <row r="42" spans="3:16" x14ac:dyDescent="0.3">
      <c r="C42" s="28">
        <v>47573</v>
      </c>
      <c r="D42" s="27">
        <f t="shared" si="5"/>
        <v>164408.36434225002</v>
      </c>
      <c r="E42" s="30">
        <f t="shared" si="8"/>
        <v>0.24322903023916598</v>
      </c>
      <c r="H42" s="20">
        <v>14</v>
      </c>
      <c r="I42" s="28">
        <v>47573</v>
      </c>
      <c r="J42" s="27">
        <f t="shared" si="6"/>
        <v>138874.29515413387</v>
      </c>
      <c r="M42" s="20">
        <v>14</v>
      </c>
      <c r="N42" s="28">
        <v>47573</v>
      </c>
      <c r="O42" s="27">
        <f t="shared" si="7"/>
        <v>88307.002545454539</v>
      </c>
      <c r="P42" s="30">
        <f t="shared" si="4"/>
        <v>7.6643215025859579E-2</v>
      </c>
    </row>
    <row r="43" spans="3:16" x14ac:dyDescent="0.3">
      <c r="C43" s="28">
        <v>47938</v>
      </c>
      <c r="D43" s="27">
        <f t="shared" si="5"/>
        <v>204397.25136442296</v>
      </c>
      <c r="E43" s="30">
        <f t="shared" si="8"/>
        <v>0.24322903023916598</v>
      </c>
      <c r="H43" s="20">
        <v>15</v>
      </c>
      <c r="I43" s="28">
        <v>47938</v>
      </c>
      <c r="J43" s="27">
        <f t="shared" si="6"/>
        <v>165518.86519863954</v>
      </c>
      <c r="M43" s="20">
        <v>15</v>
      </c>
      <c r="N43" s="28">
        <v>47938</v>
      </c>
      <c r="O43" s="27">
        <f t="shared" si="7"/>
        <v>94593.330727272725</v>
      </c>
      <c r="P43" s="30">
        <f t="shared" si="4"/>
        <v>7.1187199209738816E-2</v>
      </c>
    </row>
    <row r="44" spans="3:16" x14ac:dyDescent="0.3">
      <c r="C44" s="28">
        <v>48304</v>
      </c>
      <c r="D44" s="27">
        <f t="shared" si="5"/>
        <v>254112.59659734261</v>
      </c>
      <c r="E44" s="30">
        <f t="shared" si="8"/>
        <v>0.24322903023916598</v>
      </c>
      <c r="H44" s="20">
        <v>16</v>
      </c>
      <c r="I44" s="28">
        <v>48304</v>
      </c>
      <c r="J44" s="27">
        <f t="shared" si="6"/>
        <v>197275.49080438947</v>
      </c>
      <c r="M44" s="20">
        <v>16</v>
      </c>
      <c r="N44" s="28">
        <v>48304</v>
      </c>
      <c r="O44" s="27">
        <f t="shared" si="7"/>
        <v>100879.65890909091</v>
      </c>
      <c r="P44" s="30">
        <f t="shared" si="4"/>
        <v>6.6456357266271304E-2</v>
      </c>
    </row>
    <row r="45" spans="3:16" x14ac:dyDescent="0.3">
      <c r="C45" s="28">
        <v>48669</v>
      </c>
      <c r="D45" s="27">
        <f t="shared" si="5"/>
        <v>315920.15703927062</v>
      </c>
      <c r="E45" s="30">
        <f t="shared" si="8"/>
        <v>0.24322903023916598</v>
      </c>
      <c r="H45" s="20">
        <v>17</v>
      </c>
      <c r="I45" s="28">
        <v>48669</v>
      </c>
      <c r="J45" s="27">
        <f t="shared" si="6"/>
        <v>235124.97639110585</v>
      </c>
      <c r="M45" s="20">
        <v>17</v>
      </c>
      <c r="N45" s="28">
        <v>48669</v>
      </c>
      <c r="O45" s="27">
        <f t="shared" si="7"/>
        <v>107165.9870909091</v>
      </c>
      <c r="P45" s="30">
        <f t="shared" si="4"/>
        <v>6.2315121301938614E-2</v>
      </c>
    </row>
    <row r="46" spans="3:16" x14ac:dyDescent="0.3">
      <c r="C46" s="28">
        <v>49034</v>
      </c>
      <c r="D46" s="27">
        <f t="shared" si="5"/>
        <v>392761.11046893743</v>
      </c>
      <c r="E46" s="30">
        <f t="shared" si="8"/>
        <v>0.24322903023916598</v>
      </c>
      <c r="H46" s="20">
        <v>18</v>
      </c>
      <c r="I46" s="28">
        <v>49034</v>
      </c>
      <c r="J46" s="27">
        <f t="shared" si="6"/>
        <v>280236.30455815344</v>
      </c>
      <c r="M46" s="20">
        <v>18</v>
      </c>
      <c r="N46" s="28">
        <v>49034</v>
      </c>
      <c r="O46" s="27">
        <f t="shared" si="7"/>
        <v>113452.31527272725</v>
      </c>
      <c r="P46" s="30">
        <f t="shared" si="4"/>
        <v>5.8659732928932451E-2</v>
      </c>
    </row>
    <row r="47" spans="3:16" x14ac:dyDescent="0.3">
      <c r="C47" s="28">
        <v>49399</v>
      </c>
      <c r="D47" s="27">
        <f t="shared" si="5"/>
        <v>488292.01448395505</v>
      </c>
      <c r="E47" s="30">
        <f t="shared" si="8"/>
        <v>0.24322903023916598</v>
      </c>
      <c r="H47" s="20">
        <v>19</v>
      </c>
      <c r="I47" s="28">
        <v>49399</v>
      </c>
      <c r="J47" s="27">
        <f t="shared" si="6"/>
        <v>334002.74015032628</v>
      </c>
      <c r="M47" s="20">
        <v>19</v>
      </c>
      <c r="N47" s="28">
        <v>49399</v>
      </c>
      <c r="O47" s="27">
        <f t="shared" si="7"/>
        <v>119738.64345454544</v>
      </c>
      <c r="P47" s="30">
        <f t="shared" si="4"/>
        <v>5.5409430532171289E-2</v>
      </c>
    </row>
    <row r="50" spans="3:25" x14ac:dyDescent="0.3">
      <c r="C50" s="2" t="s">
        <v>93</v>
      </c>
      <c r="D50" s="29" t="s">
        <v>94</v>
      </c>
      <c r="E50" s="2" t="s">
        <v>117</v>
      </c>
      <c r="G50" s="2" t="s">
        <v>93</v>
      </c>
      <c r="H50" s="29" t="s">
        <v>94</v>
      </c>
      <c r="I50" s="2" t="s">
        <v>117</v>
      </c>
      <c r="N50" s="2" t="s">
        <v>93</v>
      </c>
      <c r="O50" s="29" t="s">
        <v>94</v>
      </c>
      <c r="P50" s="2" t="s">
        <v>117</v>
      </c>
    </row>
    <row r="51" spans="3:25" x14ac:dyDescent="0.3">
      <c r="C51" s="12">
        <v>42825</v>
      </c>
      <c r="D51" s="27">
        <v>11897.7</v>
      </c>
      <c r="G51" s="12">
        <v>42825</v>
      </c>
      <c r="H51" s="27">
        <v>11897.7</v>
      </c>
      <c r="N51" s="12">
        <v>42825</v>
      </c>
      <c r="O51" s="27">
        <v>11897.7</v>
      </c>
      <c r="T51" t="s">
        <v>120</v>
      </c>
    </row>
    <row r="52" spans="3:25" ht="15" thickBot="1" x14ac:dyDescent="0.35">
      <c r="C52" s="12">
        <v>43190</v>
      </c>
      <c r="D52" s="27">
        <v>15033.2</v>
      </c>
      <c r="G52" s="12">
        <v>43190</v>
      </c>
      <c r="H52" s="27">
        <v>15033.2</v>
      </c>
      <c r="N52" s="12">
        <v>43190</v>
      </c>
      <c r="O52" s="27">
        <v>15033.2</v>
      </c>
    </row>
    <row r="53" spans="3:25" x14ac:dyDescent="0.3">
      <c r="C53" s="12">
        <v>43555</v>
      </c>
      <c r="D53" s="27">
        <v>20004.52</v>
      </c>
      <c r="G53" s="12">
        <v>43555</v>
      </c>
      <c r="H53" s="27">
        <v>20004.52</v>
      </c>
      <c r="N53" s="12">
        <v>43555</v>
      </c>
      <c r="O53" s="27">
        <v>20004.52</v>
      </c>
      <c r="T53" s="35" t="s">
        <v>121</v>
      </c>
      <c r="U53" s="35"/>
    </row>
    <row r="54" spans="3:25" x14ac:dyDescent="0.3">
      <c r="C54" s="12">
        <v>43921</v>
      </c>
      <c r="D54" s="27">
        <v>24870.2</v>
      </c>
      <c r="G54" s="12">
        <v>43921</v>
      </c>
      <c r="H54" s="27">
        <v>24870.2</v>
      </c>
      <c r="N54" s="12">
        <v>43921</v>
      </c>
      <c r="O54" s="27">
        <v>24870.2</v>
      </c>
      <c r="T54" s="32" t="s">
        <v>122</v>
      </c>
      <c r="U54" s="32">
        <v>0.97328328108208184</v>
      </c>
    </row>
    <row r="55" spans="3:25" x14ac:dyDescent="0.3">
      <c r="C55" s="12">
        <v>44286</v>
      </c>
      <c r="D55" s="27">
        <v>24143.06</v>
      </c>
      <c r="G55" s="12">
        <v>44286</v>
      </c>
      <c r="H55" s="27">
        <v>24143.06</v>
      </c>
      <c r="N55" s="12">
        <v>44286</v>
      </c>
      <c r="O55" s="27">
        <v>24143.06</v>
      </c>
      <c r="T55" s="36" t="s">
        <v>123</v>
      </c>
      <c r="U55" s="36">
        <v>0.9472803452339027</v>
      </c>
    </row>
    <row r="56" spans="3:25" x14ac:dyDescent="0.3">
      <c r="C56" s="12">
        <v>44651</v>
      </c>
      <c r="D56" s="27">
        <v>30976.27</v>
      </c>
      <c r="G56" s="12">
        <v>44651</v>
      </c>
      <c r="H56" s="27">
        <v>30976.27</v>
      </c>
      <c r="N56" s="12">
        <v>44651</v>
      </c>
      <c r="O56" s="27">
        <v>30976.27</v>
      </c>
      <c r="T56" s="32" t="s">
        <v>124</v>
      </c>
      <c r="U56" s="32">
        <v>0.94069038838814056</v>
      </c>
    </row>
    <row r="57" spans="3:25" x14ac:dyDescent="0.3">
      <c r="C57" s="12">
        <v>45016</v>
      </c>
      <c r="D57" s="27">
        <v>42839.56</v>
      </c>
      <c r="G57" s="12">
        <v>45016</v>
      </c>
      <c r="H57" s="27">
        <v>42839.56</v>
      </c>
      <c r="N57" s="12">
        <v>45016</v>
      </c>
      <c r="O57" s="27">
        <v>42839.56</v>
      </c>
      <c r="T57" s="32" t="s">
        <v>125</v>
      </c>
      <c r="U57" s="32">
        <v>4762.4019382330525</v>
      </c>
    </row>
    <row r="58" spans="3:25" ht="15" thickBot="1" x14ac:dyDescent="0.35">
      <c r="C58" s="12">
        <v>45382</v>
      </c>
      <c r="D58" s="27">
        <v>50788.83</v>
      </c>
      <c r="G58" s="12">
        <v>45382</v>
      </c>
      <c r="H58" s="27">
        <v>50788.83</v>
      </c>
      <c r="N58" s="12">
        <v>45382</v>
      </c>
      <c r="O58" s="27">
        <v>50788.83</v>
      </c>
      <c r="T58" s="33" t="s">
        <v>126</v>
      </c>
      <c r="U58" s="33">
        <v>10</v>
      </c>
    </row>
    <row r="59" spans="3:25" x14ac:dyDescent="0.3">
      <c r="C59" s="12">
        <v>45747</v>
      </c>
      <c r="D59" s="27">
        <v>59358.05</v>
      </c>
      <c r="G59" s="12">
        <v>45747</v>
      </c>
      <c r="H59" s="27">
        <v>59358.05</v>
      </c>
      <c r="N59" s="12">
        <v>45747</v>
      </c>
      <c r="O59" s="27">
        <v>59358.05</v>
      </c>
    </row>
    <row r="60" spans="3:25" ht="15" thickBot="1" x14ac:dyDescent="0.35">
      <c r="C60" s="12">
        <v>46112</v>
      </c>
      <c r="D60" s="27">
        <v>68820.740000000005</v>
      </c>
      <c r="G60" s="12">
        <v>46112</v>
      </c>
      <c r="H60" s="27">
        <v>68820.740000000005</v>
      </c>
      <c r="N60" s="12">
        <v>46112</v>
      </c>
      <c r="O60" s="27">
        <v>68820.740000000005</v>
      </c>
      <c r="T60" t="s">
        <v>127</v>
      </c>
    </row>
    <row r="61" spans="3:25" x14ac:dyDescent="0.3">
      <c r="C61" s="28">
        <v>46477</v>
      </c>
      <c r="G61" s="28">
        <v>46477</v>
      </c>
      <c r="N61" s="28">
        <v>46477</v>
      </c>
      <c r="T61" s="34"/>
      <c r="U61" s="34" t="s">
        <v>130</v>
      </c>
      <c r="V61" s="34" t="s">
        <v>131</v>
      </c>
      <c r="W61" s="34" t="s">
        <v>132</v>
      </c>
      <c r="X61" s="34" t="s">
        <v>133</v>
      </c>
      <c r="Y61" s="34" t="s">
        <v>134</v>
      </c>
    </row>
    <row r="62" spans="3:25" x14ac:dyDescent="0.3">
      <c r="C62" s="28">
        <v>46843</v>
      </c>
      <c r="G62" s="28">
        <v>46843</v>
      </c>
      <c r="N62" s="28">
        <v>46843</v>
      </c>
      <c r="T62" s="32" t="s">
        <v>107</v>
      </c>
      <c r="U62" s="32">
        <v>1</v>
      </c>
      <c r="V62" s="32">
        <v>3260228565.7855229</v>
      </c>
      <c r="W62" s="32">
        <v>3260228565.7855229</v>
      </c>
      <c r="X62" s="32">
        <v>143.74606198568273</v>
      </c>
      <c r="Y62" s="32">
        <v>2.1583329521678559E-6</v>
      </c>
    </row>
    <row r="63" spans="3:25" x14ac:dyDescent="0.3">
      <c r="C63" s="28">
        <v>47208</v>
      </c>
      <c r="G63" s="28">
        <v>47208</v>
      </c>
      <c r="N63" s="28">
        <v>47208</v>
      </c>
      <c r="T63" s="32" t="s">
        <v>128</v>
      </c>
      <c r="U63" s="32">
        <v>8</v>
      </c>
      <c r="V63" s="32">
        <v>181443777.77028745</v>
      </c>
      <c r="W63" s="32">
        <v>22680472.221285932</v>
      </c>
      <c r="X63" s="32"/>
      <c r="Y63" s="32"/>
    </row>
    <row r="64" spans="3:25" ht="15" thickBot="1" x14ac:dyDescent="0.35">
      <c r="C64" s="28">
        <v>47573</v>
      </c>
      <c r="G64" s="28">
        <v>47573</v>
      </c>
      <c r="N64" s="28">
        <v>47573</v>
      </c>
      <c r="T64" s="33" t="s">
        <v>26</v>
      </c>
      <c r="U64" s="33">
        <v>9</v>
      </c>
      <c r="V64" s="33">
        <v>3441672343.5558105</v>
      </c>
      <c r="W64" s="33"/>
      <c r="X64" s="33"/>
      <c r="Y64" s="33"/>
    </row>
    <row r="65" spans="3:28" ht="15" thickBot="1" x14ac:dyDescent="0.35">
      <c r="C65" s="28">
        <v>47938</v>
      </c>
      <c r="G65" s="28">
        <v>47938</v>
      </c>
      <c r="N65" s="28">
        <v>47938</v>
      </c>
    </row>
    <row r="66" spans="3:28" x14ac:dyDescent="0.3">
      <c r="C66" s="28">
        <v>48304</v>
      </c>
      <c r="G66" s="28">
        <v>48304</v>
      </c>
      <c r="N66" s="28">
        <v>48304</v>
      </c>
      <c r="T66" s="34"/>
      <c r="U66" s="34" t="s">
        <v>135</v>
      </c>
      <c r="V66" s="34" t="s">
        <v>125</v>
      </c>
      <c r="W66" s="34" t="s">
        <v>136</v>
      </c>
      <c r="X66" s="34" t="s">
        <v>137</v>
      </c>
      <c r="Y66" s="34" t="s">
        <v>138</v>
      </c>
      <c r="Z66" s="34" t="s">
        <v>139</v>
      </c>
      <c r="AA66" s="34" t="s">
        <v>140</v>
      </c>
      <c r="AB66" s="34" t="s">
        <v>141</v>
      </c>
    </row>
    <row r="67" spans="3:28" x14ac:dyDescent="0.3">
      <c r="C67" s="28">
        <v>48669</v>
      </c>
      <c r="G67" s="28">
        <v>48669</v>
      </c>
      <c r="N67" s="28">
        <v>48669</v>
      </c>
      <c r="T67" s="32" t="s">
        <v>129</v>
      </c>
      <c r="U67" s="36">
        <v>298.40799999998853</v>
      </c>
      <c r="V67" s="32">
        <v>3253.3398792523103</v>
      </c>
      <c r="W67" s="32">
        <v>9.1723585937959026E-2</v>
      </c>
      <c r="X67" s="32">
        <v>0.92917286883859673</v>
      </c>
      <c r="Y67" s="32">
        <v>-7203.8072147804651</v>
      </c>
      <c r="Z67" s="32">
        <v>7800.6232147804421</v>
      </c>
      <c r="AA67" s="32">
        <v>-7203.8072147804651</v>
      </c>
      <c r="AB67" s="32">
        <v>7800.6232147804421</v>
      </c>
    </row>
    <row r="68" spans="3:28" ht="15" thickBot="1" x14ac:dyDescent="0.35">
      <c r="C68" s="28">
        <v>49034</v>
      </c>
      <c r="G68" s="28">
        <v>49034</v>
      </c>
      <c r="N68" s="28">
        <v>49034</v>
      </c>
      <c r="T68" s="33" t="s">
        <v>119</v>
      </c>
      <c r="U68" s="37">
        <v>6286.328181818184</v>
      </c>
      <c r="V68" s="33">
        <v>524.32319689621386</v>
      </c>
      <c r="W68" s="33">
        <v>11.989414580607463</v>
      </c>
      <c r="X68" s="33">
        <v>2.1583329521678483E-6</v>
      </c>
      <c r="Y68" s="33">
        <v>5077.2367215920458</v>
      </c>
      <c r="Z68" s="33">
        <v>7495.4196420443222</v>
      </c>
      <c r="AA68" s="33">
        <v>5077.2367215920458</v>
      </c>
      <c r="AB68" s="33">
        <v>7495.4196420443222</v>
      </c>
    </row>
    <row r="69" spans="3:28" x14ac:dyDescent="0.3">
      <c r="C69" s="28">
        <v>49399</v>
      </c>
      <c r="G69" s="28">
        <v>49399</v>
      </c>
      <c r="N69" s="28">
        <v>49399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Profit &amp; Loss</vt:lpstr>
      <vt:lpstr>Quarters</vt:lpstr>
      <vt:lpstr>Balance Sheet</vt:lpstr>
      <vt:lpstr>Cash Flow</vt:lpstr>
      <vt:lpstr>Customization</vt:lpstr>
      <vt:lpstr>Data Sheet</vt:lpstr>
      <vt:lpstr>Sheet1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SANJEEV PARMAR</cp:lastModifiedBy>
  <cp:lastPrinted>2012-12-06T18:14:13Z</cp:lastPrinted>
  <dcterms:created xsi:type="dcterms:W3CDTF">2012-08-17T09:55:37Z</dcterms:created>
  <dcterms:modified xsi:type="dcterms:W3CDTF">2026-05-27T16:53:32Z</dcterms:modified>
</cp:coreProperties>
</file>